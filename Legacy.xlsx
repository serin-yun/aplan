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amorepacific-my.sharepoint.com/personal/itpe_yun_amorepacific_com/Documents/문서/업무정리/@비아이매트릭스/3.인터페이스/BIM 인터페이스 정의서/"/>
    </mc:Choice>
  </mc:AlternateContent>
  <xr:revisionPtr revIDLastSave="548" documentId="8_{5D21FACE-213F-4CCD-A6C9-F9E17C0158FF}" xr6:coauthVersionLast="47" xr6:coauthVersionMax="47" xr10:uidLastSave="{2172A433-3AED-4B58-8CD1-B47F1D432BE5}"/>
  <bookViews>
    <workbookView xWindow="28680" yWindow="-120" windowWidth="29040" windowHeight="15720" activeTab="1" xr2:uid="{D71346ED-9DD4-4A93-B30A-07CE2392C301}"/>
  </bookViews>
  <sheets>
    <sheet name="개요" sheetId="1" r:id="rId1"/>
    <sheet name="SAP" sheetId="9" r:id="rId2"/>
    <sheet name="BW" sheetId="8" r:id="rId3"/>
    <sheet name="CDP" sheetId="7" r:id="rId4"/>
    <sheet name="NPD" sheetId="6" r:id="rId5"/>
    <sheet name="IAM" sheetId="3" r:id="rId6"/>
    <sheet name="구매포털" sheetId="5" r:id="rId7"/>
    <sheet name="MES" sheetId="4" r:id="rId8"/>
  </sheets>
  <definedNames>
    <definedName name="_xlnm._FilterDatabase" localSheetId="1" hidden="1">SAP!$B$2:$AF$39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C5" i="1"/>
  <c r="C6" i="1"/>
  <c r="C7" i="1"/>
  <c r="C8" i="1"/>
  <c r="C9" i="1"/>
  <c r="C10" i="1"/>
  <c r="C11" i="1"/>
  <c r="C4" i="1"/>
  <c r="C12" i="1" l="1"/>
</calcChain>
</file>

<file path=xl/sharedStrings.xml><?xml version="1.0" encoding="utf-8"?>
<sst xmlns="http://schemas.openxmlformats.org/spreadsheetml/2006/main" count="1932" uniqueCount="645">
  <si>
    <t>시스템</t>
    <phoneticPr fontId="1" type="noConversion"/>
  </si>
  <si>
    <t>본수</t>
    <phoneticPr fontId="1" type="noConversion"/>
  </si>
  <si>
    <t>Inbound</t>
    <phoneticPr fontId="1" type="noConversion"/>
  </si>
  <si>
    <t>Outbound</t>
    <phoneticPr fontId="1" type="noConversion"/>
  </si>
  <si>
    <t>개발요청서</t>
    <phoneticPr fontId="1" type="noConversion"/>
  </si>
  <si>
    <t>SAP</t>
    <phoneticPr fontId="1" type="noConversion"/>
  </si>
  <si>
    <t>BW</t>
    <phoneticPr fontId="1" type="noConversion"/>
  </si>
  <si>
    <t>CDP</t>
    <phoneticPr fontId="1" type="noConversion"/>
  </si>
  <si>
    <t>NPD</t>
    <phoneticPr fontId="1" type="noConversion"/>
  </si>
  <si>
    <t>구매포털</t>
    <phoneticPr fontId="1" type="noConversion"/>
  </si>
  <si>
    <t>MES</t>
    <phoneticPr fontId="1" type="noConversion"/>
  </si>
  <si>
    <t>AP-ON</t>
    <phoneticPr fontId="1" type="noConversion"/>
  </si>
  <si>
    <t>IAM</t>
    <phoneticPr fontId="1" type="noConversion"/>
  </si>
  <si>
    <t>기타</t>
    <phoneticPr fontId="1" type="noConversion"/>
  </si>
  <si>
    <t>1(SSO)</t>
    <phoneticPr fontId="1" type="noConversion"/>
  </si>
  <si>
    <t>No.</t>
  </si>
  <si>
    <t>Source 
System</t>
    <phoneticPr fontId="1" type="noConversion"/>
  </si>
  <si>
    <t>Interface
ID</t>
  </si>
  <si>
    <t>IN/OUT</t>
  </si>
  <si>
    <t>맵핑정의 ID</t>
    <phoneticPr fontId="1" type="noConversion"/>
  </si>
  <si>
    <t>맵핑정의 항목</t>
    <phoneticPr fontId="1" type="noConversion"/>
  </si>
  <si>
    <t xml:space="preserve">사용처 </t>
    <phoneticPr fontId="1" type="noConversion"/>
  </si>
  <si>
    <t>Entity 
분류</t>
    <phoneticPr fontId="1" type="noConversion"/>
  </si>
  <si>
    <t>작업유형</t>
    <phoneticPr fontId="1" type="noConversion"/>
  </si>
  <si>
    <t>I/F정의서</t>
    <phoneticPr fontId="1" type="noConversion"/>
  </si>
  <si>
    <t>적용순서</t>
    <phoneticPr fontId="1" type="noConversion"/>
  </si>
  <si>
    <t>진행상태</t>
    <phoneticPr fontId="1" type="noConversion"/>
  </si>
  <si>
    <t>I/F Table</t>
    <phoneticPr fontId="1" type="noConversion"/>
  </si>
  <si>
    <t>STG Table(표준화)</t>
  </si>
  <si>
    <t xml:space="preserve"> 비고</t>
    <phoneticPr fontId="1" type="noConversion"/>
  </si>
  <si>
    <t>Aplan
구분</t>
    <phoneticPr fontId="6" type="noConversion"/>
  </si>
  <si>
    <t>Source
System</t>
    <phoneticPr fontId="6" type="noConversion"/>
  </si>
  <si>
    <t>작업유형</t>
    <phoneticPr fontId="6" type="noConversion"/>
  </si>
  <si>
    <t>Delta/Full
Data</t>
  </si>
  <si>
    <t>API/File</t>
  </si>
  <si>
    <t>비고</t>
    <phoneticPr fontId="6" type="noConversion"/>
  </si>
  <si>
    <t>모듈</t>
    <phoneticPr fontId="1" type="noConversion"/>
  </si>
  <si>
    <t>기존IF ID</t>
    <phoneticPr fontId="1" type="noConversion"/>
  </si>
  <si>
    <t>ERP코멘트</t>
    <phoneticPr fontId="1" type="noConversion"/>
  </si>
  <si>
    <t>유형</t>
    <phoneticPr fontId="1" type="noConversion"/>
  </si>
  <si>
    <t>공수(M/D)</t>
    <phoneticPr fontId="1" type="noConversion"/>
  </si>
  <si>
    <t>Batch Cycle</t>
    <phoneticPr fontId="6" type="noConversion"/>
  </si>
  <si>
    <t>Batch Cycle
Detail</t>
    <phoneticPr fontId="6" type="noConversion"/>
  </si>
  <si>
    <t>Source/Target
Table Name</t>
    <phoneticPr fontId="6" type="noConversion"/>
  </si>
  <si>
    <t>IAM</t>
  </si>
  <si>
    <t>TBD</t>
  </si>
  <si>
    <t>INBOUND</t>
  </si>
  <si>
    <t>CP-04</t>
    <phoneticPr fontId="1" type="noConversion"/>
  </si>
  <si>
    <t>Role 권한 승인 정보</t>
    <phoneticPr fontId="1" type="noConversion"/>
  </si>
  <si>
    <t>SYS</t>
    <phoneticPr fontId="1" type="noConversion"/>
  </si>
  <si>
    <t>M</t>
  </si>
  <si>
    <t>유지</t>
  </si>
  <si>
    <t>Y</t>
    <phoneticPr fontId="1" type="noConversion"/>
  </si>
  <si>
    <t>ALIFCI_AUTH_ROLE</t>
  </si>
  <si>
    <t>ALCDCM_AUTH_ROLE</t>
  </si>
  <si>
    <t>System</t>
  </si>
  <si>
    <t>유지</t>
    <phoneticPr fontId="6" type="noConversion"/>
  </si>
  <si>
    <t>-</t>
  </si>
  <si>
    <t>API</t>
  </si>
  <si>
    <t>LEGI3532 CP-04.Role 권한 승인 정보</t>
    <phoneticPr fontId="1" type="noConversion"/>
  </si>
  <si>
    <t>IAM 박소영님/레이아웃 재정의</t>
    <phoneticPr fontId="1" type="noConversion"/>
  </si>
  <si>
    <t>변경(상)</t>
    <phoneticPr fontId="1" type="noConversion"/>
  </si>
  <si>
    <t>2/Day</t>
    <phoneticPr fontId="1" type="noConversion"/>
  </si>
  <si>
    <t>11:30:00 AM / 04:30 PM</t>
  </si>
  <si>
    <t>EX_IF_ROLE</t>
  </si>
  <si>
    <t>계정 승인 정보</t>
    <phoneticPr fontId="1" type="noConversion"/>
  </si>
  <si>
    <t>ALIFCI_USER_ACCT</t>
  </si>
  <si>
    <t>ALCDCM_USER_ACCT</t>
  </si>
  <si>
    <t>Delta</t>
  </si>
  <si>
    <t>LEGI3531 CP-04. 계정 승인 정보</t>
    <phoneticPr fontId="1" type="noConversion"/>
  </si>
  <si>
    <t>EX_IF_RES_USER</t>
  </si>
  <si>
    <t>LEGI3533</t>
  </si>
  <si>
    <t>OUTBOUND</t>
  </si>
  <si>
    <t>CP-120</t>
    <phoneticPr fontId="1" type="noConversion"/>
  </si>
  <si>
    <t>싱글플랫폼 Role 정보</t>
  </si>
  <si>
    <t>DP</t>
  </si>
  <si>
    <t>M</t>
    <phoneticPr fontId="1" type="noConversion"/>
  </si>
  <si>
    <t>확인필요</t>
  </si>
  <si>
    <t>N</t>
  </si>
  <si>
    <t>N/A</t>
  </si>
  <si>
    <t>삭제된 I/F 복원했지만 재확인 필요</t>
    <phoneticPr fontId="1" type="noConversion"/>
  </si>
  <si>
    <t>SSO 연동</t>
    <phoneticPr fontId="1" type="noConversion"/>
  </si>
  <si>
    <t>비고</t>
    <phoneticPr fontId="1" type="noConversion"/>
  </si>
  <si>
    <t>Target System</t>
    <phoneticPr fontId="1" type="noConversion"/>
  </si>
  <si>
    <t>기존
Interface
ID</t>
    <phoneticPr fontId="1" type="noConversion"/>
  </si>
  <si>
    <t>기존
맵핑정의 ID</t>
    <phoneticPr fontId="1" type="noConversion"/>
  </si>
  <si>
    <t xml:space="preserve">Source </t>
    <phoneticPr fontId="1" type="noConversion"/>
  </si>
  <si>
    <t>주제어</t>
  </si>
  <si>
    <t>MES</t>
  </si>
  <si>
    <t>LEGI3537</t>
  </si>
  <si>
    <t>SP-103</t>
    <phoneticPr fontId="1" type="noConversion"/>
  </si>
  <si>
    <t>직입고 PIR</t>
  </si>
  <si>
    <t>SP</t>
  </si>
  <si>
    <t>A</t>
    <phoneticPr fontId="1" type="noConversion"/>
  </si>
  <si>
    <t>N</t>
    <phoneticPr fontId="1" type="noConversion"/>
  </si>
  <si>
    <t>LEGI3537 SP-103.직입고 PIR</t>
    <phoneticPr fontId="1" type="noConversion"/>
  </si>
  <si>
    <t>미사용했던 I/F 변경 많을 것으로 판단</t>
    <phoneticPr fontId="1" type="noConversion"/>
  </si>
  <si>
    <t>On-Demand</t>
  </si>
  <si>
    <t>LEGI3538</t>
  </si>
  <si>
    <t>SP-104</t>
    <phoneticPr fontId="1" type="noConversion"/>
  </si>
  <si>
    <t>관리품 PIR</t>
  </si>
  <si>
    <t>LEGI3538 SP-104.관리품 PIR</t>
    <phoneticPr fontId="1" type="noConversion"/>
  </si>
  <si>
    <t>구매포털</t>
  </si>
  <si>
    <t>CP-36</t>
    <phoneticPr fontId="1" type="noConversion"/>
  </si>
  <si>
    <t>협력사 원부자재 재고</t>
    <phoneticPr fontId="1" type="noConversion"/>
  </si>
  <si>
    <t>SP</t>
    <phoneticPr fontId="1" type="noConversion"/>
  </si>
  <si>
    <t>A</t>
  </si>
  <si>
    <t>ALIFCI_SBCN_MTRL_INVN</t>
  </si>
  <si>
    <t>ALCDCA_SBCN_MTRL_INVN</t>
  </si>
  <si>
    <t>제고의 소유권? 외주가공???</t>
    <phoneticPr fontId="1" type="noConversion"/>
  </si>
  <si>
    <t>Full</t>
  </si>
  <si>
    <t>LEGI3534 CP-36.협력사 원부자재 재고</t>
    <phoneticPr fontId="1" type="noConversion"/>
  </si>
  <si>
    <t>유지</t>
    <phoneticPr fontId="1" type="noConversion"/>
  </si>
  <si>
    <t>W,D</t>
    <phoneticPr fontId="1" type="noConversion"/>
  </si>
  <si>
    <t>Daily</t>
  </si>
  <si>
    <t>-</t>
    <phoneticPr fontId="6" type="noConversion"/>
  </si>
  <si>
    <t>NPD</t>
  </si>
  <si>
    <t>CP-25</t>
    <phoneticPr fontId="1" type="noConversion"/>
  </si>
  <si>
    <t>NPD 자재 목록</t>
    <phoneticPr fontId="1" type="noConversion"/>
  </si>
  <si>
    <t>공통</t>
    <phoneticPr fontId="1" type="noConversion"/>
  </si>
  <si>
    <t>ALIFCI_DVLP_MTRL</t>
  </si>
  <si>
    <t>ALCDCM_DVLP_MTRL</t>
  </si>
  <si>
    <t>공통</t>
  </si>
  <si>
    <t>현행화 주기 나 대상 검토 필요, 현재 업데이트가 되고 있지 않음</t>
    <phoneticPr fontId="6" type="noConversion"/>
  </si>
  <si>
    <t>PPI2027 CP-25.NPD 자재 목록</t>
    <phoneticPr fontId="1" type="noConversion"/>
  </si>
  <si>
    <t>필드 추가(NPD 소비자가 72P)</t>
    <phoneticPr fontId="1" type="noConversion"/>
  </si>
  <si>
    <t>변경</t>
    <phoneticPr fontId="1" type="noConversion"/>
  </si>
  <si>
    <t>ZPL_IF_DEVHEAD_SINGLE</t>
  </si>
  <si>
    <t>CP-24</t>
    <phoneticPr fontId="1" type="noConversion"/>
  </si>
  <si>
    <t>SKU In 일정</t>
    <phoneticPr fontId="1" type="noConversion"/>
  </si>
  <si>
    <t>ALIFCI_MTRL_LNCH_SCH</t>
  </si>
  <si>
    <t>ALCDCM_MTRL_LNCH_SCH</t>
  </si>
  <si>
    <t>PPI2026 CP-24.SKU In 일정</t>
    <phoneticPr fontId="1" type="noConversion"/>
  </si>
  <si>
    <t>필드 추가(NPD 생산회의 상태 68P)</t>
    <phoneticPr fontId="1" type="noConversion"/>
  </si>
  <si>
    <t>ZPL_IF_MT_SINGLE</t>
  </si>
  <si>
    <t>PPI2029</t>
  </si>
  <si>
    <t>CP-107</t>
    <phoneticPr fontId="1" type="noConversion"/>
  </si>
  <si>
    <t>초도 오더량(자재-PG별)+판매출시일</t>
  </si>
  <si>
    <t>인터페이스 + SSO 연동</t>
    <phoneticPr fontId="1" type="noConversion"/>
  </si>
  <si>
    <t>CDP</t>
  </si>
  <si>
    <t>DP-50</t>
    <phoneticPr fontId="1" type="noConversion"/>
  </si>
  <si>
    <t>거래처 협업 유통사 판매 재고</t>
    <phoneticPr fontId="1" type="noConversion"/>
  </si>
  <si>
    <t>신규</t>
    <phoneticPr fontId="1" type="noConversion"/>
  </si>
  <si>
    <t>신규추가_2025.10.20</t>
  </si>
  <si>
    <t>신규</t>
  </si>
  <si>
    <t>재고, 판매</t>
  </si>
  <si>
    <t xml:space="preserve">신규 </t>
  </si>
  <si>
    <t>신규 (거래처 협업 유통사 데이터, 84P)</t>
  </si>
  <si>
    <t>DP-51</t>
    <phoneticPr fontId="1" type="noConversion"/>
  </si>
  <si>
    <t>거래처 협업 유통사 판매 재고(월)</t>
    <phoneticPr fontId="1" type="noConversion"/>
  </si>
  <si>
    <t>재고, 판매 (월)</t>
  </si>
  <si>
    <t>SP-42</t>
    <phoneticPr fontId="1" type="noConversion"/>
  </si>
  <si>
    <t>재고 Aging 상태</t>
    <phoneticPr fontId="1" type="noConversion"/>
  </si>
  <si>
    <t>SAP, EWM, 아폴로, 3PL 데이터를 CDP에서 통합하여 연계</t>
  </si>
  <si>
    <t>신규 (재고 Aging, 52P)</t>
  </si>
  <si>
    <t>DP-52</t>
    <phoneticPr fontId="1" type="noConversion"/>
  </si>
  <si>
    <t>엔진상품 리스트</t>
    <phoneticPr fontId="1" type="noConversion"/>
  </si>
  <si>
    <t>LEGI3521</t>
  </si>
  <si>
    <t>CP-104</t>
    <phoneticPr fontId="1" type="noConversion"/>
  </si>
  <si>
    <t>장납기 SKU</t>
  </si>
  <si>
    <t>상세내용필요</t>
    <phoneticPr fontId="1" type="noConversion"/>
  </si>
  <si>
    <t>File</t>
  </si>
  <si>
    <t>LEGI3521 CP-104.장납기 SKU</t>
  </si>
  <si>
    <t>D</t>
    <phoneticPr fontId="6" type="noConversion"/>
  </si>
  <si>
    <t>FTP_S3_BUCKET</t>
  </si>
  <si>
    <t>LEGI3522</t>
  </si>
  <si>
    <t>CP-105</t>
    <phoneticPr fontId="1" type="noConversion"/>
  </si>
  <si>
    <t>판매계획 가능 목록-국내</t>
  </si>
  <si>
    <t>LEGI3522 CP-105.판매계획 가능 목록-국내</t>
    <phoneticPr fontId="1" type="noConversion"/>
  </si>
  <si>
    <t>W</t>
    <phoneticPr fontId="1" type="noConversion"/>
  </si>
  <si>
    <t>LEGI3523</t>
  </si>
  <si>
    <t>CP-106</t>
    <phoneticPr fontId="1" type="noConversion"/>
  </si>
  <si>
    <t>판매계획 가능 목록-해외</t>
  </si>
  <si>
    <t>LEGI3523 CP-106.판매계획 가능 목록-해외</t>
    <phoneticPr fontId="1" type="noConversion"/>
  </si>
  <si>
    <t>LEGI3525</t>
  </si>
  <si>
    <t>CP-115</t>
    <phoneticPr fontId="1" type="noConversion"/>
  </si>
  <si>
    <t>SKU In/Out(FT)</t>
    <phoneticPr fontId="1" type="noConversion"/>
  </si>
  <si>
    <t>LEGI3525 CP-115. SKU In Out(FT)</t>
    <phoneticPr fontId="1" type="noConversion"/>
  </si>
  <si>
    <t>LEGI3526</t>
  </si>
  <si>
    <t>CP-116</t>
    <phoneticPr fontId="1" type="noConversion"/>
  </si>
  <si>
    <t>월별 판매계획(FT)</t>
  </si>
  <si>
    <t>LEGI3526 CP-116.월별 판매계획(FT)</t>
    <phoneticPr fontId="1" type="noConversion"/>
  </si>
  <si>
    <t>BW</t>
  </si>
  <si>
    <t>CP-23</t>
    <phoneticPr fontId="1" type="noConversion"/>
  </si>
  <si>
    <t>SKU 현황</t>
    <phoneticPr fontId="1" type="noConversion"/>
  </si>
  <si>
    <t>ALIFCI_MTRL_PS</t>
  </si>
  <si>
    <t>ALCDCM_MTRL_PS</t>
  </si>
  <si>
    <t>??? 사용목적</t>
    <phoneticPr fontId="1" type="noConversion"/>
  </si>
  <si>
    <t>BII0229 CP-23.SKU 현황</t>
    <phoneticPr fontId="1" type="noConversion"/>
  </si>
  <si>
    <t>ZBI_SEND_FILE_TO_O9</t>
  </si>
  <si>
    <t>CP-12</t>
    <phoneticPr fontId="1" type="noConversion"/>
  </si>
  <si>
    <t>재고</t>
    <phoneticPr fontId="1" type="noConversion"/>
  </si>
  <si>
    <t>ALIFCI_INVN</t>
  </si>
  <si>
    <t>ALCDCA_INVN</t>
  </si>
  <si>
    <t>BII0224 CP-12.재고</t>
  </si>
  <si>
    <t>D</t>
    <phoneticPr fontId="1" type="noConversion"/>
  </si>
  <si>
    <t>DP</t>
    <phoneticPr fontId="1" type="noConversion"/>
  </si>
  <si>
    <t>CP-20</t>
    <phoneticPr fontId="1" type="noConversion"/>
  </si>
  <si>
    <t>주문 실적/결품 수량</t>
    <phoneticPr fontId="1" type="noConversion"/>
  </si>
  <si>
    <t>수정</t>
  </si>
  <si>
    <t>ALIFCI_ORD_LACK</t>
  </si>
  <si>
    <t>ALCDCA_ORD_LACK</t>
  </si>
  <si>
    <t>주간=&gt; 일간 변경</t>
    <phoneticPr fontId="1" type="noConversion"/>
  </si>
  <si>
    <t>수정</t>
    <phoneticPr fontId="6" type="noConversion"/>
  </si>
  <si>
    <t>Layout 변경(PG → Sold-To-Party 로 변경</t>
    <phoneticPr fontId="6" type="noConversion"/>
  </si>
  <si>
    <t>BII0227 CP-20.주문 실적/결품 수량</t>
    <phoneticPr fontId="1" type="noConversion"/>
  </si>
  <si>
    <t>거래처 단위 로직 변경</t>
    <phoneticPr fontId="1" type="noConversion"/>
  </si>
  <si>
    <t>CP-21</t>
    <phoneticPr fontId="1" type="noConversion"/>
  </si>
  <si>
    <t>판매 실적</t>
    <phoneticPr fontId="1" type="noConversion"/>
  </si>
  <si>
    <t>설계</t>
    <phoneticPr fontId="1" type="noConversion"/>
  </si>
  <si>
    <t>ALIFCI_SAL_PRFR</t>
    <phoneticPr fontId="1" type="noConversion"/>
  </si>
  <si>
    <t>ALCDCA_SAL_PRFR</t>
  </si>
  <si>
    <t>판매실적의 내용확인 필요.  주간=&gt; 일간 변경</t>
    <phoneticPr fontId="1" type="noConversion"/>
  </si>
  <si>
    <t>BII0228 CP-21.판매 실적</t>
    <phoneticPr fontId="1" type="noConversion"/>
  </si>
  <si>
    <t>CP-39</t>
    <phoneticPr fontId="1" type="noConversion"/>
  </si>
  <si>
    <t>SKU 목표</t>
    <phoneticPr fontId="1" type="noConversion"/>
  </si>
  <si>
    <t>ALIFCI_YRLY_SAL_PLAN</t>
  </si>
  <si>
    <t>ALCDCA_YRLY_SAL_PLAN</t>
  </si>
  <si>
    <t>년월+SKU 단위 판매목표수량</t>
    <phoneticPr fontId="1" type="noConversion"/>
  </si>
  <si>
    <t>BII0230 CP-39.SKU 목표</t>
    <phoneticPr fontId="1" type="noConversion"/>
  </si>
  <si>
    <t>CP-42</t>
    <phoneticPr fontId="1" type="noConversion"/>
  </si>
  <si>
    <t>기준환율</t>
    <phoneticPr fontId="1" type="noConversion"/>
  </si>
  <si>
    <t>ALIFCI_STND_EXRT</t>
  </si>
  <si>
    <t>ALCDCA_STND_EXRT</t>
  </si>
  <si>
    <t>환율일자가 없음</t>
    <phoneticPr fontId="1" type="noConversion"/>
  </si>
  <si>
    <t>유지(값의 정합성 확인 필요) 영업 조직별 기준환율이 I/F 되어야 함</t>
    <phoneticPr fontId="6" type="noConversion"/>
  </si>
  <si>
    <t>BII0232 CP-42.기준환율</t>
    <phoneticPr fontId="1" type="noConversion"/>
  </si>
  <si>
    <t>CP-49</t>
    <phoneticPr fontId="1" type="noConversion"/>
  </si>
  <si>
    <t>거래처 재고</t>
    <phoneticPr fontId="1" type="noConversion"/>
  </si>
  <si>
    <t>ALIFCI_PRTN_INVN</t>
  </si>
  <si>
    <t>ALCDCA_PRTN_INVN</t>
  </si>
  <si>
    <t>BII0234 CP-49.거래처 재고</t>
    <phoneticPr fontId="1" type="noConversion"/>
  </si>
  <si>
    <t>CP-19</t>
    <phoneticPr fontId="1" type="noConversion"/>
  </si>
  <si>
    <t>기타 수요(잡출)</t>
    <phoneticPr fontId="1" type="noConversion"/>
  </si>
  <si>
    <t>ALIFCI_OTH_DMD</t>
  </si>
  <si>
    <t>ALCDCA_OTH_DMD</t>
  </si>
  <si>
    <t>Layout 변경(PG → Sold-To-Party 로 변경</t>
    <phoneticPr fontId="1" type="noConversion"/>
  </si>
  <si>
    <t>BII0226 CP-19.기타 수요(잡출)</t>
    <phoneticPr fontId="1" type="noConversion"/>
  </si>
  <si>
    <t>Weekly,Daily</t>
  </si>
  <si>
    <t>??</t>
    <phoneticPr fontId="1" type="noConversion"/>
  </si>
  <si>
    <t>채널- GPS 목표채널 Mapping 정보</t>
    <phoneticPr fontId="1" type="noConversion"/>
  </si>
  <si>
    <t>그룹거래처 채널- GPS 목표채널 Mapping 정보 BW 에서 신규 I/F 필요</t>
  </si>
  <si>
    <t>W</t>
  </si>
  <si>
    <t>15Min</t>
  </si>
  <si>
    <t>DP-42-1</t>
  </si>
  <si>
    <t>DP-42-1.  자재정보추가_BW</t>
  </si>
  <si>
    <t>DP-42-2</t>
  </si>
  <si>
    <t>DP-42-2.  자재정보추가_BW</t>
  </si>
  <si>
    <t>DP-42-3</t>
  </si>
  <si>
    <t>DP-42-3.  자재정보추가_BW</t>
  </si>
  <si>
    <t>DP-43-1</t>
  </si>
  <si>
    <t>DP-43-1. 거래처정보추가_BW</t>
  </si>
  <si>
    <t>DP-43-2</t>
  </si>
  <si>
    <t>DP-43-2. 거래처정보추가_BW</t>
  </si>
  <si>
    <t>DP-43-3</t>
  </si>
  <si>
    <t>DP-43-3. 거래처정보추가_BW</t>
  </si>
  <si>
    <t>DP-43-4</t>
  </si>
  <si>
    <t>DP-43-4. 거래처정보추가_BW</t>
  </si>
  <si>
    <t>DP-43-5</t>
  </si>
  <si>
    <t>DP-43-5. 거래처정보추가_BW</t>
  </si>
  <si>
    <t>DP-44</t>
    <phoneticPr fontId="1" type="noConversion"/>
  </si>
  <si>
    <t>DP-44. 마감계획_BW</t>
    <phoneticPr fontId="1" type="noConversion"/>
  </si>
  <si>
    <t>DP-46</t>
    <phoneticPr fontId="1" type="noConversion"/>
  </si>
  <si>
    <t>DP-46. 판매실적_거래처&amp;SKU</t>
    <phoneticPr fontId="1" type="noConversion"/>
  </si>
  <si>
    <t>DP-48</t>
    <phoneticPr fontId="1" type="noConversion"/>
  </si>
  <si>
    <t>DP-48. 주문실적_거래처&amp;SKU</t>
    <phoneticPr fontId="1" type="noConversion"/>
  </si>
  <si>
    <t>DP-49</t>
    <phoneticPr fontId="1" type="noConversion"/>
  </si>
  <si>
    <t>DP-49. 목표&amp;예상이익</t>
    <phoneticPr fontId="1" type="noConversion"/>
  </si>
  <si>
    <t>INFA</t>
  </si>
  <si>
    <t>CP-112</t>
    <phoneticPr fontId="1" type="noConversion"/>
  </si>
  <si>
    <t>주별 판매계획+RTF</t>
  </si>
  <si>
    <t>CP-121</t>
    <phoneticPr fontId="1" type="noConversion"/>
  </si>
  <si>
    <t>협업거래처 정보</t>
  </si>
  <si>
    <t>수정</t>
    <phoneticPr fontId="1" type="noConversion"/>
  </si>
  <si>
    <t>CP-128</t>
    <phoneticPr fontId="1" type="noConversion"/>
  </si>
  <si>
    <t>버전별 주별 판매,공급,BLF 계획</t>
  </si>
  <si>
    <t>CP-130</t>
    <phoneticPr fontId="1" type="noConversion"/>
  </si>
  <si>
    <t>SKU In Out(BW)</t>
  </si>
  <si>
    <t>판매계획 Short(Detail)</t>
    <phoneticPr fontId="1" type="noConversion"/>
  </si>
  <si>
    <t>SAP</t>
  </si>
  <si>
    <t>CP-03</t>
    <phoneticPr fontId="1" type="noConversion"/>
  </si>
  <si>
    <t>조직도</t>
    <phoneticPr fontId="1" type="noConversion"/>
  </si>
  <si>
    <t xml:space="preserve">공통 </t>
    <phoneticPr fontId="1" type="noConversion"/>
  </si>
  <si>
    <t>ALIFCI_OGCH_MSTR</t>
    <phoneticPr fontId="1" type="noConversion"/>
  </si>
  <si>
    <t>ALCDCM_OGCH_MSTR</t>
  </si>
  <si>
    <t>회사/법인 조직도</t>
    <phoneticPr fontId="1" type="noConversion"/>
  </si>
  <si>
    <t>SD</t>
    <phoneticPr fontId="1" type="noConversion"/>
  </si>
  <si>
    <t>SDI4012 CP-03.조직도</t>
  </si>
  <si>
    <t>확장</t>
    <phoneticPr fontId="1" type="noConversion"/>
  </si>
  <si>
    <t>Random</t>
  </si>
  <si>
    <t>ZSD_SEND_ORG_01</t>
  </si>
  <si>
    <t>CP-01</t>
    <phoneticPr fontId="1" type="noConversion"/>
  </si>
  <si>
    <t>자재마스터(영업조직: CP)</t>
    <phoneticPr fontId="1" type="noConversion"/>
  </si>
  <si>
    <t>ALIFCI_MTRL_MSTR_CP</t>
    <phoneticPr fontId="1" type="noConversion"/>
  </si>
  <si>
    <t>ALCDCM_MTRL_MSTR
ALCDCM_MTRL_MSTR_CP</t>
    <phoneticPr fontId="1" type="noConversion"/>
  </si>
  <si>
    <t>영업조직/Item 별 속성정보</t>
    <phoneticPr fontId="1" type="noConversion"/>
  </si>
  <si>
    <t>SDI4004 CP-01.자재마스터</t>
    <phoneticPr fontId="1" type="noConversion"/>
  </si>
  <si>
    <t>필드추가</t>
    <phoneticPr fontId="1" type="noConversion"/>
  </si>
  <si>
    <t>10Min</t>
  </si>
  <si>
    <t>ZSD_SEND_MATERIAL_01</t>
  </si>
  <si>
    <t>SP-02</t>
    <phoneticPr fontId="1" type="noConversion"/>
  </si>
  <si>
    <t>자재마스터(플랜트: SP)</t>
    <phoneticPr fontId="1" type="noConversion"/>
  </si>
  <si>
    <t>ALIFCI_MTRL_MSTR_SP</t>
    <phoneticPr fontId="1" type="noConversion"/>
  </si>
  <si>
    <t>ALCDCM_MTRL_MSTR_SP</t>
    <phoneticPr fontId="1" type="noConversion"/>
  </si>
  <si>
    <t>PP</t>
    <phoneticPr fontId="1" type="noConversion"/>
  </si>
  <si>
    <t>PPI2015 SP-02.자재 마스터</t>
    <phoneticPr fontId="1" type="noConversion"/>
  </si>
  <si>
    <t>ZPP_IF_MAT_SEND_SP</t>
  </si>
  <si>
    <t>CP-10</t>
    <phoneticPr fontId="1" type="noConversion"/>
  </si>
  <si>
    <t>자재 단가</t>
    <phoneticPr fontId="1" type="noConversion"/>
  </si>
  <si>
    <t>ALIFCI_MTRL_UTPR</t>
  </si>
  <si>
    <t>ALCDCM_MTRL_UTPR</t>
  </si>
  <si>
    <t>제품판매가</t>
    <phoneticPr fontId="1" type="noConversion"/>
  </si>
  <si>
    <t>판가 정보</t>
    <phoneticPr fontId="6" type="noConversion"/>
  </si>
  <si>
    <t>SDI4009 CP-10.자재 단가</t>
    <phoneticPr fontId="1" type="noConversion"/>
  </si>
  <si>
    <t>ZSD_SEND_CHANNEL_PRICE</t>
  </si>
  <si>
    <t>CP-07</t>
    <phoneticPr fontId="1" type="noConversion"/>
  </si>
  <si>
    <t>제품 허가 정보</t>
    <phoneticPr fontId="1" type="noConversion"/>
  </si>
  <si>
    <t>ALIFCI_MTRL_WARR</t>
  </si>
  <si>
    <t>ALCDCM_MTRL_WARR</t>
  </si>
  <si>
    <t>국가별 제품사용허가 정보</t>
    <phoneticPr fontId="1" type="noConversion"/>
  </si>
  <si>
    <t>BOD 및 SKU IN/OUT 에서 사용함</t>
    <phoneticPr fontId="6" type="noConversion"/>
  </si>
  <si>
    <t>SDI4029 CP-07.제품 허가 정보</t>
    <phoneticPr fontId="1" type="noConversion"/>
  </si>
  <si>
    <t>티움넷-&gt;SAP 허가 관리 대상 로직 확인 필요</t>
    <phoneticPr fontId="1" type="noConversion"/>
  </si>
  <si>
    <t>ZSD_SEND_CONFIRM_MAT_O9</t>
  </si>
  <si>
    <t>SP-19</t>
    <phoneticPr fontId="1" type="noConversion"/>
  </si>
  <si>
    <t>자재마스터 대체단위 인터페이스 매핑구조</t>
    <phoneticPr fontId="1" type="noConversion"/>
  </si>
  <si>
    <t>ALIFCI_MTRL_UNIT_CNVT</t>
  </si>
  <si>
    <t>ALCDCM_MTRL_UNIT_CNVT</t>
  </si>
  <si>
    <t>자재별 UOM conversion</t>
    <phoneticPr fontId="1" type="noConversion"/>
  </si>
  <si>
    <t>Full</t>
    <phoneticPr fontId="1" type="noConversion"/>
  </si>
  <si>
    <t>PPI2017 SP-19.자재마스터 대체단위 인터페이스 매핑구조</t>
    <phoneticPr fontId="1" type="noConversion"/>
  </si>
  <si>
    <t>필드 추가</t>
    <phoneticPr fontId="1" type="noConversion"/>
  </si>
  <si>
    <t>SP-13</t>
    <phoneticPr fontId="1" type="noConversion"/>
  </si>
  <si>
    <t>자재마스터 원가정보</t>
    <phoneticPr fontId="1" type="noConversion"/>
  </si>
  <si>
    <t>ALIFCI_MTRL_PRPR</t>
  </si>
  <si>
    <t>ALCDCM_MTRL_PRPR</t>
  </si>
  <si>
    <t>자재원가인지 판가인지 확인필요</t>
    <phoneticPr fontId="1" type="noConversion"/>
  </si>
  <si>
    <t>해외 정보 확인 필요</t>
    <phoneticPr fontId="6" type="noConversion"/>
  </si>
  <si>
    <t>PPI2011 SP-13.자재마스터 원가정보</t>
    <phoneticPr fontId="1" type="noConversion"/>
  </si>
  <si>
    <t>ZPP_IF_STD_PRICE_SEND_SP</t>
  </si>
  <si>
    <t>SP-18</t>
    <phoneticPr fontId="1" type="noConversion"/>
  </si>
  <si>
    <t>플랜트 저장위치 매핑 마스터</t>
    <phoneticPr fontId="1" type="noConversion"/>
  </si>
  <si>
    <t>ALIFCI_INVN_SLOC</t>
  </si>
  <si>
    <t>ALCDCM_INVN_SLOC</t>
  </si>
  <si>
    <t>CP-02</t>
    <phoneticPr fontId="1" type="noConversion"/>
  </si>
  <si>
    <t>거래처마스터</t>
    <phoneticPr fontId="1" type="noConversion"/>
  </si>
  <si>
    <t>ALIFCI_PRTN_MSTR</t>
    <phoneticPr fontId="1" type="noConversion"/>
  </si>
  <si>
    <t>ALCDCM_PRTN_MSTR</t>
  </si>
  <si>
    <t>거래처 그룹 기준정보 필요.(데이터 존재여부)</t>
    <phoneticPr fontId="1" type="noConversion"/>
  </si>
  <si>
    <t>SDI4005 CP-02.거래처마스터</t>
    <phoneticPr fontId="1" type="noConversion"/>
  </si>
  <si>
    <t>ZSD_SEND_CUSTOMER_01</t>
  </si>
  <si>
    <t>CP-32</t>
    <phoneticPr fontId="1" type="noConversion"/>
  </si>
  <si>
    <t>수출 진행 모니터링</t>
    <phoneticPr fontId="1" type="noConversion"/>
  </si>
  <si>
    <t>ALIFCI_EXPO_PRGR_MONI</t>
  </si>
  <si>
    <t>ALCDCA_EXPO_PRGR_MONI</t>
  </si>
  <si>
    <t>SDI4030 CP-32.수출 진행 모니터링</t>
    <phoneticPr fontId="1" type="noConversion"/>
  </si>
  <si>
    <t>ZSD_SEND_EXPORT_O9</t>
  </si>
  <si>
    <t>SP-01</t>
    <phoneticPr fontId="1" type="noConversion"/>
  </si>
  <si>
    <t>BOM Master</t>
    <phoneticPr fontId="1" type="noConversion"/>
  </si>
  <si>
    <t>ALIFCI_BOM_MSTR</t>
  </si>
  <si>
    <t>ALCDCM_BOM_MSTR</t>
  </si>
  <si>
    <t>PPI2003 SP-01.BOM</t>
    <phoneticPr fontId="1" type="noConversion"/>
  </si>
  <si>
    <t>신규 플랜트 로직 수정 필요</t>
    <phoneticPr fontId="1" type="noConversion"/>
  </si>
  <si>
    <t>ZPP_IF_BOM_SEND_SP</t>
  </si>
  <si>
    <t>SP-05</t>
    <phoneticPr fontId="1" type="noConversion"/>
  </si>
  <si>
    <t>작업장 마스터</t>
    <phoneticPr fontId="1" type="noConversion"/>
  </si>
  <si>
    <t>ALIFCI_MFG_WKNS</t>
  </si>
  <si>
    <t>ALCDCM_MFG_WKNS</t>
  </si>
  <si>
    <t>(작업장 기준 Grouping 해서 Resource 로 정의</t>
    <phoneticPr fontId="6" type="noConversion"/>
  </si>
  <si>
    <t>PPI2006 SP-05.작업장 마스터</t>
    <phoneticPr fontId="1" type="noConversion"/>
  </si>
  <si>
    <t>ZPP_IF_WORKCENTER_SEND_SP</t>
    <phoneticPr fontId="6" type="noConversion"/>
  </si>
  <si>
    <t>SP-06</t>
    <phoneticPr fontId="1" type="noConversion"/>
  </si>
  <si>
    <t>ROS</t>
    <phoneticPr fontId="1" type="noConversion"/>
  </si>
  <si>
    <t>ALIFCI_ROS_MSTR</t>
  </si>
  <si>
    <t>ALCDCM_ROS_MSTR</t>
  </si>
  <si>
    <t>신규</t>
    <phoneticPr fontId="6" type="noConversion"/>
  </si>
  <si>
    <t>해외사업장 확장으로 인해서 원천을 SAP 로 변경, MES 한국 Plant만 존재함</t>
    <phoneticPr fontId="6" type="noConversion"/>
  </si>
  <si>
    <t>신규-LEGI2972 SP-06.ROS</t>
    <phoneticPr fontId="1" type="noConversion"/>
  </si>
  <si>
    <t>목(Thu)/토(Sat)</t>
    <phoneticPr fontId="6" type="noConversion"/>
  </si>
  <si>
    <t>MWRKTI_ROS_PACK_PRFR_SND</t>
    <phoneticPr fontId="6" type="noConversion"/>
  </si>
  <si>
    <t>SP-10</t>
    <phoneticPr fontId="1" type="noConversion"/>
  </si>
  <si>
    <t>생산 오더</t>
    <phoneticPr fontId="1" type="noConversion"/>
  </si>
  <si>
    <t>ALIFCI_MFG_ORD</t>
  </si>
  <si>
    <t>ALCDCA_MFG_ORD</t>
  </si>
  <si>
    <t>국내 포함 전체(해외)Plant  반영 필요</t>
    <phoneticPr fontId="6" type="noConversion"/>
  </si>
  <si>
    <t>PPI2009 SP-10.생산 오더</t>
    <phoneticPr fontId="1" type="noConversion"/>
  </si>
  <si>
    <t>ZPP_IF_PROD_ORDER_SEND_SP</t>
  </si>
  <si>
    <t>SP-11</t>
    <phoneticPr fontId="1" type="noConversion"/>
  </si>
  <si>
    <t>구매정보레코드</t>
    <phoneticPr fontId="1" type="noConversion"/>
  </si>
  <si>
    <t>ALIFCI_PUR_ORD</t>
  </si>
  <si>
    <t>ALCDCA_PUR_ORD</t>
  </si>
  <si>
    <t>ODM 포함 전체 구매오더로 반영되어야 하고 확인 필요</t>
    <phoneticPr fontId="6" type="noConversion"/>
  </si>
  <si>
    <t>PPI2010 SP-11.구매오더</t>
    <phoneticPr fontId="1" type="noConversion"/>
  </si>
  <si>
    <t>ZPP_IF_PURCH_ORDER_SEND_SP</t>
  </si>
  <si>
    <t>SP-03</t>
    <phoneticPr fontId="1" type="noConversion"/>
  </si>
  <si>
    <t>구매정보(ODM 외주 원부자재)</t>
    <phoneticPr fontId="1" type="noConversion"/>
  </si>
  <si>
    <t>ALIFCI_MTRL_PUR</t>
  </si>
  <si>
    <t>ALCDCM_MTRL_PUR</t>
  </si>
  <si>
    <t>ODM Network 구성 및 포장재 구매처 정의  (Category 컬럼-&gt; 구매 또는 외주가공 정의 가능)</t>
    <phoneticPr fontId="6" type="noConversion"/>
  </si>
  <si>
    <t>PPI2004 SP-03.구매정보(ODM 외주 원부자재)</t>
    <phoneticPr fontId="1" type="noConversion"/>
  </si>
  <si>
    <t>ZPP_IF_INFOREC_SEND_SP</t>
  </si>
  <si>
    <t>SP-04</t>
    <phoneticPr fontId="1" type="noConversion"/>
  </si>
  <si>
    <t>협력사 마스터</t>
    <phoneticPr fontId="1" type="noConversion"/>
  </si>
  <si>
    <t>ALIFCI_SBCN_MSTR</t>
  </si>
  <si>
    <t>ALCDCM_SBCN_MSTR</t>
  </si>
  <si>
    <t>PPI2005 SP-04.협력사 마스터</t>
  </si>
  <si>
    <t>ZPP_IF_VENDOR_SEND_SP</t>
    <phoneticPr fontId="6" type="noConversion"/>
  </si>
  <si>
    <t>SP-14</t>
    <phoneticPr fontId="1" type="noConversion"/>
  </si>
  <si>
    <t>가용화 입고 실적</t>
    <phoneticPr fontId="1" type="noConversion"/>
  </si>
  <si>
    <t>ALIFCI_AVAB_WRHS_PRFR</t>
  </si>
  <si>
    <t>ALCDCA_AVAB_WRHS_PRFR</t>
  </si>
  <si>
    <t>가용재고 계산</t>
    <phoneticPr fontId="1" type="noConversion"/>
  </si>
  <si>
    <t>엔진 Input은 아니나 활용 측면에서 검토 필요</t>
    <phoneticPr fontId="6" type="noConversion"/>
  </si>
  <si>
    <t>PPI2016 SP-14.가용화 입고 실적</t>
    <phoneticPr fontId="1" type="noConversion"/>
  </si>
  <si>
    <t>2/day( 11AM , 03PM)</t>
    <phoneticPr fontId="6" type="noConversion"/>
  </si>
  <si>
    <t>ZPP_IF_AVAIL_STOCK_SEND_SP</t>
    <phoneticPr fontId="1" type="noConversion"/>
  </si>
  <si>
    <t>CP-37</t>
    <phoneticPr fontId="1" type="noConversion"/>
  </si>
  <si>
    <t>SOP 잔량 정보</t>
    <phoneticPr fontId="1" type="noConversion"/>
  </si>
  <si>
    <t>ALIFCI_LOAD_RMN_QTY</t>
  </si>
  <si>
    <t>ALCDCA_LOAD_RMN_QTY</t>
  </si>
  <si>
    <t>선적잔량</t>
    <phoneticPr fontId="6" type="noConversion"/>
  </si>
  <si>
    <t>SC</t>
    <phoneticPr fontId="1" type="noConversion"/>
  </si>
  <si>
    <t>SDI4026 CP-37.SOP 잔량 정보</t>
    <phoneticPr fontId="1" type="noConversion"/>
  </si>
  <si>
    <t>해외요청량 프로세스 Aplan 개발 범위에 따라 공수 변동</t>
    <phoneticPr fontId="1" type="noConversion"/>
  </si>
  <si>
    <t>Sunday</t>
  </si>
  <si>
    <t>ZSC_PIR_O9_SAP_002</t>
  </si>
  <si>
    <t>SP-08</t>
    <phoneticPr fontId="1" type="noConversion"/>
  </si>
  <si>
    <t>반제품 포장재 MD04 재고</t>
    <phoneticPr fontId="1" type="noConversion"/>
  </si>
  <si>
    <t>ALIFCI_SMPR_INVN</t>
  </si>
  <si>
    <t>ALCDCA_SMPR_INVN</t>
  </si>
  <si>
    <t>반제품 재고 수량 + QA 수량</t>
    <phoneticPr fontId="6" type="noConversion"/>
  </si>
  <si>
    <t>PPI2007 SP-08.반제품 포장재 MD04 재고</t>
    <phoneticPr fontId="1" type="noConversion"/>
  </si>
  <si>
    <t>ZPP_IF_MD04STOCK_SEND_SP</t>
  </si>
  <si>
    <t>CP-34</t>
    <phoneticPr fontId="1" type="noConversion"/>
  </si>
  <si>
    <t>CP 코드 마스터</t>
    <phoneticPr fontId="1" type="noConversion"/>
  </si>
  <si>
    <t>ALIFCI_CMPY_MSTR</t>
  </si>
  <si>
    <t>ALCDCM_CMPY_MSTR</t>
  </si>
  <si>
    <t>SAP 공통코드를 인터페이스???</t>
    <phoneticPr fontId="1" type="noConversion"/>
  </si>
  <si>
    <t>SDI4011 CP-34.CP 코드 마스터</t>
    <phoneticPr fontId="1" type="noConversion"/>
  </si>
  <si>
    <t>왜 신규 인터페이스인지 확인 필요</t>
    <phoneticPr fontId="1" type="noConversion"/>
  </si>
  <si>
    <t>APOI0002</t>
  </si>
  <si>
    <t>OUTBOUND</t>
    <phoneticPr fontId="1" type="noConversion"/>
  </si>
  <si>
    <t>SP-101</t>
    <phoneticPr fontId="1" type="noConversion"/>
  </si>
  <si>
    <t>생산 PIR</t>
  </si>
  <si>
    <t>N/A</t>
    <phoneticPr fontId="1" type="noConversion"/>
  </si>
  <si>
    <t>PPI2028</t>
  </si>
  <si>
    <t>SP-102</t>
    <phoneticPr fontId="1" type="noConversion"/>
  </si>
  <si>
    <t>단종 정보</t>
  </si>
  <si>
    <t>APOI0003</t>
  </si>
  <si>
    <t>SP-105</t>
    <phoneticPr fontId="1" type="noConversion"/>
  </si>
  <si>
    <t>매입공급</t>
  </si>
  <si>
    <t>SDI4028</t>
  </si>
  <si>
    <t>CP-101</t>
    <phoneticPr fontId="1" type="noConversion"/>
  </si>
  <si>
    <t>SDI4020</t>
  </si>
  <si>
    <t>CP-102</t>
    <phoneticPr fontId="1" type="noConversion"/>
  </si>
  <si>
    <t>할당 내역+Carry-Over 수량+SCP재고</t>
  </si>
  <si>
    <t>PG 마스터 정보</t>
  </si>
  <si>
    <t>SDI4022</t>
  </si>
  <si>
    <t>CP-109</t>
    <phoneticPr fontId="1" type="noConversion"/>
  </si>
  <si>
    <t>할당예정 상품</t>
  </si>
  <si>
    <t>삭제된 I/F 복원</t>
    <phoneticPr fontId="1" type="noConversion"/>
  </si>
  <si>
    <t>SDI4023</t>
  </si>
  <si>
    <t>CP-110</t>
    <phoneticPr fontId="1" type="noConversion"/>
  </si>
  <si>
    <t>수기 대상 자재 RTF</t>
  </si>
  <si>
    <t>SDI4032</t>
  </si>
  <si>
    <t>CP-118</t>
    <phoneticPr fontId="1" type="noConversion"/>
  </si>
  <si>
    <t>SKU In 일정</t>
  </si>
  <si>
    <t>SDI4031</t>
  </si>
  <si>
    <t>CP-119</t>
    <phoneticPr fontId="1" type="noConversion"/>
  </si>
  <si>
    <t>SKU Out 일정</t>
  </si>
  <si>
    <t>SDI4033</t>
  </si>
  <si>
    <t>CP-127</t>
    <phoneticPr fontId="1" type="noConversion"/>
  </si>
  <si>
    <t>LT 리드타임</t>
  </si>
  <si>
    <t>APO</t>
    <phoneticPr fontId="1" type="noConversion"/>
  </si>
  <si>
    <t>APOI0002 SP-101.생산 PIR</t>
  </si>
  <si>
    <t>확장, 로직 복잡도 높고 개선 요건 다수</t>
    <phoneticPr fontId="1" type="noConversion"/>
  </si>
  <si>
    <t>ZSN_RECEIVE_FILE_FROM_O9</t>
  </si>
  <si>
    <t xml:space="preserve">PPI2028 SP-102 단종 정보 (기존 o9 구조와 다르게 변경사항 있음) </t>
    <phoneticPr fontId="1" type="noConversion"/>
  </si>
  <si>
    <r>
      <rPr>
        <b/>
        <sz val="9"/>
        <color theme="1"/>
        <rFont val="맑은 고딕"/>
        <family val="3"/>
        <charset val="129"/>
      </rPr>
      <t>1) Aplan -&gt; SAP: 자재, 생산단종월, 판매단종월 인터페이스</t>
    </r>
    <r>
      <rPr>
        <sz val="9"/>
        <color theme="1"/>
        <rFont val="맑은 고딕"/>
        <family val="3"/>
        <charset val="129"/>
      </rPr>
      <t xml:space="preserve">
2) SAP에서 압축 품의 (Aplan에서 품의하지 않음) 
3) SAP -&gt; Aplan: 압축품의일(월), 압축대상분류 인터페이스</t>
    </r>
    <phoneticPr fontId="1" type="noConversion"/>
  </si>
  <si>
    <t>ZPP_IF_SP_SEND_COMPRESS_SKU</t>
  </si>
  <si>
    <t>APOI0003 SP-105.매입공급</t>
    <phoneticPr fontId="1" type="noConversion"/>
  </si>
  <si>
    <t>SDI4028 CP-101.선적 PIR</t>
  </si>
  <si>
    <t>로직 복잡도 높음</t>
    <phoneticPr fontId="1" type="noConversion"/>
  </si>
  <si>
    <t>ZSC_PIR_O9_SAP_001</t>
  </si>
  <si>
    <t>SDI4020 CP-102.할당 내역+Carry-Over 수량+SCP재고</t>
    <phoneticPr fontId="1" type="noConversion"/>
  </si>
  <si>
    <t>로직 복잡도 높고 PG 변경에 따른 변화사항 반영</t>
    <phoneticPr fontId="1" type="noConversion"/>
  </si>
  <si>
    <t>ZSD_RECEIVE_FILE_FROM_O9</t>
  </si>
  <si>
    <t>SAP</t>
    <phoneticPr fontId="6" type="noConversion"/>
  </si>
  <si>
    <t>2025.10.29일자 업데이트</t>
    <phoneticPr fontId="1" type="noConversion"/>
  </si>
  <si>
    <t>*추가 필요</t>
    <phoneticPr fontId="1" type="noConversion"/>
  </si>
  <si>
    <t>IN</t>
  </si>
  <si>
    <t>단종 품의 완료 상태</t>
  </si>
  <si>
    <t>Real Time</t>
  </si>
  <si>
    <t>SAP에서 압축 품의 후 상태 수신</t>
    <phoneticPr fontId="1" type="noConversion"/>
  </si>
  <si>
    <r>
      <t xml:space="preserve">1) Aplan -&gt; SAP: 자재, 생산단종월, 판매단종월 인터페이스
2) SAP에서 압축 품의 (Aplan에서 품의하지 않음) 
</t>
    </r>
    <r>
      <rPr>
        <b/>
        <sz val="9"/>
        <color theme="1"/>
        <rFont val="맑은 고딕"/>
        <family val="3"/>
        <charset val="129"/>
      </rPr>
      <t>3) SAP -&gt; Aplan: 압축품의일(월), 압축대상분류 인터페이스</t>
    </r>
    <phoneticPr fontId="1" type="noConversion"/>
  </si>
  <si>
    <t>공장달력 인터페이스</t>
    <phoneticPr fontId="1" type="noConversion"/>
  </si>
  <si>
    <t>SD</t>
  </si>
  <si>
    <t>CP-40</t>
    <phoneticPr fontId="1" type="noConversion"/>
  </si>
  <si>
    <t>신규추가_2025.10.20</t>
    <phoneticPr fontId="1" type="noConversion"/>
  </si>
  <si>
    <t>재고(계획용)</t>
  </si>
  <si>
    <t>SDI4018 CP-40.재고(계획용)</t>
  </si>
  <si>
    <t>DN, GI 상태 고려한 기준 변경</t>
  </si>
  <si>
    <t>변경(상)</t>
  </si>
  <si>
    <t>D</t>
  </si>
  <si>
    <t>CP-40</t>
  </si>
  <si>
    <t>판매실적(계획용)</t>
    <phoneticPr fontId="6" type="noConversion"/>
  </si>
  <si>
    <t>판매실적(계획용)</t>
  </si>
  <si>
    <t>PP</t>
  </si>
  <si>
    <t>CP-06</t>
    <phoneticPr fontId="1" type="noConversion"/>
  </si>
  <si>
    <t>플랜트 저장위치 마스터</t>
    <phoneticPr fontId="1" type="noConversion"/>
  </si>
  <si>
    <t>BIM Inbound 추가</t>
  </si>
  <si>
    <t>신규 -SDI4013 CP-06.PG별 영업 저장위치 매핑 마스터</t>
  </si>
  <si>
    <t>PG BIM에서 관리하기 위해 플랜트/저장위치 마스터 필요</t>
  </si>
  <si>
    <t>SP-41</t>
    <phoneticPr fontId="1" type="noConversion"/>
  </si>
  <si>
    <t>SP-41. 저장위치리스트</t>
  </si>
  <si>
    <t>신규추가_2025.10.21-확인필요</t>
    <phoneticPr fontId="1" type="noConversion"/>
  </si>
  <si>
    <t>SP-20</t>
    <phoneticPr fontId="1" type="noConversion"/>
  </si>
  <si>
    <t>PPI2018 SP-20.공장달력 인터페이스</t>
  </si>
  <si>
    <t>공장달력 인터페이스 누락되어 추가</t>
  </si>
  <si>
    <t>총계</t>
    <phoneticPr fontId="1" type="noConversion"/>
  </si>
  <si>
    <t>Inbound: SAP -&gt; BIM 단종품의완료상태 (SAP에 추가 필요)
Outbound: SAP-&gt;AP-ON 품의 건 (BIM 무관)</t>
    <phoneticPr fontId="1" type="noConversion"/>
  </si>
  <si>
    <t>개발 일정</t>
    <phoneticPr fontId="1" type="noConversion"/>
  </si>
  <si>
    <t>협의 필요사항</t>
    <phoneticPr fontId="1" type="noConversion"/>
  </si>
  <si>
    <t>3. BI매트릭스 SSO 연동 방식 확인 요청 (IAM 담당자 협의 필요)</t>
    <phoneticPr fontId="1" type="noConversion"/>
  </si>
  <si>
    <t>1. 기존 인터페이스 그대로 유지하면 될지 (EAI 타겟만 변경)</t>
    <phoneticPr fontId="1" type="noConversion"/>
  </si>
  <si>
    <t>1. 구매포털에서 보내줘야할 데이터 확장 조건, 필드 추가 여부 확인</t>
    <phoneticPr fontId="1" type="noConversion"/>
  </si>
  <si>
    <t>브랜드: 아모레퍼시픽, 이니스프리, 에뛰드, 에스쁘아, 아모스, 타타하퍼</t>
    <phoneticPr fontId="1" type="noConversion"/>
  </si>
  <si>
    <t>2. 계정 및 권한 신청 시 1) UI 접속 및 조회 권한 2) 데이터 수정 권한 3) 특별권한(원가) 로 관리할 것인지</t>
    <phoneticPr fontId="1" type="noConversion"/>
  </si>
  <si>
    <t>플랜트: 1110, 1111, 1510, 1113, CN20, US30</t>
    <phoneticPr fontId="1" type="noConversion"/>
  </si>
  <si>
    <t>2. 인터페이스 활용 목적 확인</t>
    <phoneticPr fontId="1" type="noConversion"/>
  </si>
  <si>
    <t>1. NPD에서 보내줘야할 데이터 확장 조건 확인</t>
    <phoneticPr fontId="1" type="noConversion"/>
  </si>
  <si>
    <t>2. 필드 추가</t>
    <phoneticPr fontId="1" type="noConversion"/>
  </si>
  <si>
    <t>NPD 자재목록에 NPD 소비자가</t>
    <phoneticPr fontId="1" type="noConversion"/>
  </si>
  <si>
    <t>SKU In 일정에 NPD 생산회의 상태</t>
    <phoneticPr fontId="1" type="noConversion"/>
  </si>
  <si>
    <t>프로그램</t>
    <phoneticPr fontId="6" type="noConversion"/>
  </si>
  <si>
    <t>집계테이블</t>
    <phoneticPr fontId="6" type="noConversion"/>
  </si>
  <si>
    <t>I/F테이블</t>
    <phoneticPr fontId="6" type="noConversion"/>
  </si>
  <si>
    <t>LOG테이블</t>
    <phoneticPr fontId="6" type="noConversion"/>
  </si>
  <si>
    <t>집계 FM</t>
    <phoneticPr fontId="6" type="noConversion"/>
  </si>
  <si>
    <t>I/F FM</t>
    <phoneticPr fontId="6" type="noConversion"/>
  </si>
  <si>
    <t>ZPP02230</t>
  </si>
  <si>
    <t/>
  </si>
  <si>
    <t>ZMDT8020</t>
  </si>
  <si>
    <t>ZPPT2230</t>
  </si>
  <si>
    <t>ZPPT2231</t>
  </si>
  <si>
    <t>ZPP02310</t>
  </si>
  <si>
    <t>ZPPT2310</t>
  </si>
  <si>
    <t>ZPPT2210</t>
  </si>
  <si>
    <t>ZPPT2331</t>
  </si>
  <si>
    <t>ZPP02220</t>
  </si>
  <si>
    <t>ZPPT2220</t>
  </si>
  <si>
    <t>ZPP02260</t>
  </si>
  <si>
    <t>ZPPT2260</t>
  </si>
  <si>
    <t>기존 MES에서 I/F(신규)</t>
    <phoneticPr fontId="1" type="noConversion"/>
  </si>
  <si>
    <t>ZPP02330 (참고만하고 신규)</t>
    <phoneticPr fontId="1" type="noConversion"/>
  </si>
  <si>
    <t>ZPP02290</t>
  </si>
  <si>
    <t>ZPPT2290</t>
  </si>
  <si>
    <t>ZPP02240</t>
  </si>
  <si>
    <t>ZPPT2240</t>
  </si>
  <si>
    <t>ZPP02300</t>
  </si>
  <si>
    <t>ZPPT2300</t>
  </si>
  <si>
    <t>ZPP02340</t>
  </si>
  <si>
    <t>ZPPT2340</t>
  </si>
  <si>
    <t>ZPP02250</t>
  </si>
  <si>
    <t>ZPPT2250</t>
  </si>
  <si>
    <t>ZPP02270</t>
  </si>
  <si>
    <t>ZPPT2270</t>
  </si>
  <si>
    <t>ZME10020</t>
  </si>
  <si>
    <t>ZMET0102</t>
  </si>
  <si>
    <t>ZSC00288</t>
  </si>
  <si>
    <t>ZSCT0073</t>
  </si>
  <si>
    <t>ZPPT2350 (O9-&gt;SAP)
ZSCT0075C (SAP-&gt;APON)
ZSCT0076C (SAP-&gt;O9)
ZPPT2351(SAP-&gt;O9)</t>
    <phoneticPr fontId="1" type="noConversion"/>
  </si>
  <si>
    <t>ZPP_IF_SP_SEND_COMPRESS_SKU
ZMM_CHANGE_COMP_APON_STATUS
ZPP_IF_COMPSKU_APON_STAT</t>
    <phoneticPr fontId="1" type="noConversion"/>
  </si>
  <si>
    <t>ZSN02210 (APO-&gt;SAP이관)</t>
    <phoneticPr fontId="1" type="noConversion"/>
  </si>
  <si>
    <t>ZSN_RECEIVE_FILE_FROM_O9</t>
    <phoneticPr fontId="1" type="noConversion"/>
  </si>
  <si>
    <t>ZSN02220 (APO-&gt;SAP이관)</t>
    <phoneticPr fontId="1" type="noConversion"/>
  </si>
  <si>
    <t>ZSD02310</t>
  </si>
  <si>
    <t>ZSDT0265_IF</t>
  </si>
  <si>
    <t>ZSDI0265_LOG</t>
  </si>
  <si>
    <t>ZSD02440</t>
  </si>
  <si>
    <t>ZSDT0286_IF</t>
  </si>
  <si>
    <t>ZSDI0286_LOG</t>
  </si>
  <si>
    <t>ZSD02330</t>
  </si>
  <si>
    <t>ZSDT0269_IF</t>
  </si>
  <si>
    <t>ZSDI0269_LOG</t>
  </si>
  <si>
    <t>Lot ID별 재고정보=재고(계획용)</t>
    <phoneticPr fontId="1" type="noConversion"/>
  </si>
  <si>
    <t>ZSD02391</t>
  </si>
  <si>
    <t>ZSD02390</t>
    <phoneticPr fontId="1" type="noConversion"/>
  </si>
  <si>
    <t>ZSD02300</t>
  </si>
  <si>
    <t>ZSDT0264</t>
  </si>
  <si>
    <t>ZSDT0264_IF</t>
  </si>
  <si>
    <t>ZSDI0264_LOG</t>
  </si>
  <si>
    <t>ZSD02400</t>
  </si>
  <si>
    <t>ZSDT0301_IFO9</t>
  </si>
  <si>
    <t>ZSDT0282</t>
  </si>
  <si>
    <t>ZSDT0301</t>
  </si>
  <si>
    <t>ZSD02410</t>
  </si>
  <si>
    <t>ZSDT0301M_IFO9</t>
  </si>
  <si>
    <t>ZSDI0301M_LOG</t>
  </si>
  <si>
    <t>ZSD_SEND_MANUAL_MAT</t>
  </si>
  <si>
    <t>ZSD_SKU_INO9</t>
  </si>
  <si>
    <t>ZSD_SKU_OUTO9</t>
  </si>
  <si>
    <t>ZSD_RCV_ALLOCINFO_O9</t>
    <phoneticPr fontId="1" type="noConversion"/>
  </si>
  <si>
    <t>ZSD_SEND_MATERIAL_01</t>
    <phoneticPr fontId="1" type="noConversion"/>
  </si>
  <si>
    <t>ZSD_SEND_CHANNEL_PRICE</t>
    <phoneticPr fontId="1" type="noConversion"/>
  </si>
  <si>
    <t>ZSD_SEND_CONFIRM_MAT_O9</t>
    <phoneticPr fontId="1" type="noConversion"/>
  </si>
  <si>
    <t>ZPP_IF_MAT_ALTUNIT_SEND_SP</t>
    <phoneticPr fontId="1" type="noConversion"/>
  </si>
  <si>
    <t>ZPP_IF_STD_PRICE_SEND_SP</t>
    <phoneticPr fontId="1" type="noConversion"/>
  </si>
  <si>
    <t>ZPP_IF_LOCGRP_MAPPING_SEND_SP</t>
    <phoneticPr fontId="1" type="noConversion"/>
  </si>
  <si>
    <t>ZSD_SEND_CUSTOMER_01</t>
    <phoneticPr fontId="1" type="noConversion"/>
  </si>
  <si>
    <t>ZSD_SEND_EXPORT_O9</t>
    <phoneticPr fontId="1" type="noConversion"/>
  </si>
  <si>
    <t>ZPP_IF_BOM_SEND_SP</t>
    <phoneticPr fontId="1" type="noConversion"/>
  </si>
  <si>
    <t>ZPP_IF_WORKCENTER_SEND_SP</t>
    <phoneticPr fontId="1" type="noConversion"/>
  </si>
  <si>
    <t>ZPP_IF_PROD_ORDER_SEND_SP</t>
    <phoneticPr fontId="1" type="noConversion"/>
  </si>
  <si>
    <t>ZPP_IF_PURCH_ORDER_SEND_SP</t>
    <phoneticPr fontId="1" type="noConversion"/>
  </si>
  <si>
    <t>ZPP_IF_INFOREC_SEND_SP</t>
    <phoneticPr fontId="1" type="noConversion"/>
  </si>
  <si>
    <t>ZPP_IF_VENDOR_SEND_SP</t>
    <phoneticPr fontId="1" type="noConversion"/>
  </si>
  <si>
    <t>ZSC_PIR_O9_SAP_002</t>
    <phoneticPr fontId="1" type="noConversion"/>
  </si>
  <si>
    <t>ZPP_IF_MD04STOCK_SEND_SP</t>
    <phoneticPr fontId="1" type="noConversion"/>
  </si>
  <si>
    <t>ZSD_SEND_TEXT_01</t>
    <phoneticPr fontId="1" type="noConversion"/>
  </si>
  <si>
    <t>ZSD_SEND_FILE_TO_O9</t>
    <phoneticPr fontId="1" type="noConversion"/>
  </si>
  <si>
    <t>ZSD_SEND_PG_MASTER_01</t>
    <phoneticPr fontId="1" type="noConversion"/>
  </si>
  <si>
    <t>ZME_MES_FACTORY_CAL</t>
    <phoneticPr fontId="1" type="noConversion"/>
  </si>
  <si>
    <t>ZSC_PIR_O9_SAP_001</t>
    <phoneticPr fontId="1" type="noConversion"/>
  </si>
  <si>
    <t>ZSD80050</t>
    <phoneticPr fontId="1" type="noConversion"/>
  </si>
  <si>
    <t>ZSDI8109</t>
    <phoneticPr fontId="1" type="noConversion"/>
  </si>
  <si>
    <t>ZSDI8110</t>
    <phoneticPr fontId="1" type="noConversion"/>
  </si>
  <si>
    <t>* SD인터페이스 매핑 마스터 테이블: ZSDI9901</t>
    <phoneticPr fontId="1" type="noConversion"/>
  </si>
  <si>
    <t>ZSDI8107</t>
    <phoneticPr fontId="1" type="noConversion"/>
  </si>
  <si>
    <t>ZSDI0274_LOG</t>
    <phoneticPr fontId="1" type="noConversion"/>
  </si>
  <si>
    <t>ZSD80040</t>
    <phoneticPr fontId="1" type="noConversion"/>
  </si>
  <si>
    <t>ZSD02360</t>
    <phoneticPr fontId="1" type="noConversion"/>
  </si>
  <si>
    <t>ZSD80060</t>
    <phoneticPr fontId="1" type="noConversion"/>
  </si>
  <si>
    <t>선적 PIR(서다은님, 나웅재님+SD모듈+SP팀 협의)</t>
    <phoneticPr fontId="1" type="noConversion"/>
  </si>
  <si>
    <t>ZSC_PIR_O9_SAP_003</t>
    <phoneticPr fontId="1" type="noConversion"/>
  </si>
  <si>
    <t>ZSCT0382</t>
    <phoneticPr fontId="1" type="noConversion"/>
  </si>
  <si>
    <t>SDI4033 CP-127.LT 리드타임</t>
    <phoneticPr fontId="1" type="noConversion"/>
  </si>
  <si>
    <t>ZSC00381</t>
    <phoneticPr fontId="1" type="noConversion"/>
  </si>
  <si>
    <t>ZSCT0386</t>
    <phoneticPr fontId="1" type="noConversion"/>
  </si>
  <si>
    <t>삭제된 I/F 복원했지만 재확인 필요
=&gt; 10/31일 항목 수정키로 재확정</t>
    <phoneticPr fontId="1" type="noConversion"/>
  </si>
  <si>
    <t>LEGI3532</t>
  </si>
  <si>
    <t>LEGI3531</t>
  </si>
  <si>
    <t>No.</t>
    <phoneticPr fontId="1" type="noConversion"/>
  </si>
  <si>
    <t>PPI2027</t>
  </si>
  <si>
    <t>PPI2026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</si>
</sst>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u/>
      <sz val="9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sz val="9"/>
      <name val="맑은 고딕"/>
      <family val="3"/>
      <charset val="129"/>
    </font>
    <font>
      <strike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rgb="FFFFFF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A6A6A6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 wrapText="1" readingOrder="1"/>
    </xf>
    <xf numFmtId="0" fontId="8" fillId="7" borderId="1" xfId="0" applyFont="1" applyFill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4" fillId="0" borderId="1" xfId="0" applyFont="1" applyBorder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0" borderId="1" xfId="0" quotePrefix="1" applyFont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 readingOrder="1"/>
    </xf>
    <xf numFmtId="0" fontId="9" fillId="5" borderId="1" xfId="1" applyFont="1" applyFill="1" applyBorder="1" applyAlignment="1">
      <alignment horizontal="left" vertical="center" wrapText="1" readingOrder="1"/>
    </xf>
    <xf numFmtId="0" fontId="8" fillId="6" borderId="1" xfId="0" applyFont="1" applyFill="1" applyBorder="1" applyAlignment="1">
      <alignment horizontal="left" vertical="center" wrapText="1" readingOrder="1"/>
    </xf>
    <xf numFmtId="0" fontId="8" fillId="10" borderId="1" xfId="0" applyFont="1" applyFill="1" applyBorder="1" applyAlignment="1">
      <alignment horizontal="center" vertical="center" wrapText="1" readingOrder="1"/>
    </xf>
    <xf numFmtId="0" fontId="9" fillId="10" borderId="1" xfId="1" applyFont="1" applyFill="1" applyBorder="1" applyAlignment="1">
      <alignment horizontal="left" vertical="center" wrapText="1" readingOrder="1"/>
    </xf>
    <xf numFmtId="0" fontId="10" fillId="0" borderId="1" xfId="0" quotePrefix="1" applyFont="1" applyBorder="1" applyAlignment="1">
      <alignment horizontal="left" vertical="center"/>
    </xf>
    <xf numFmtId="0" fontId="9" fillId="7" borderId="1" xfId="1" applyFont="1" applyFill="1" applyBorder="1" applyAlignment="1">
      <alignment horizontal="left" vertical="center" wrapText="1" readingOrder="1"/>
    </xf>
    <xf numFmtId="0" fontId="2" fillId="11" borderId="1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 wrapText="1" readingOrder="1"/>
    </xf>
    <xf numFmtId="0" fontId="7" fillId="12" borderId="3" xfId="1" applyFill="1" applyBorder="1" applyAlignment="1">
      <alignment horizontal="left" vertical="center"/>
    </xf>
    <xf numFmtId="0" fontId="4" fillId="12" borderId="3" xfId="0" applyFont="1" applyFill="1" applyBorder="1">
      <alignment vertical="center"/>
    </xf>
    <xf numFmtId="0" fontId="4" fillId="12" borderId="4" xfId="0" applyFont="1" applyFill="1" applyBorder="1" applyAlignment="1">
      <alignment horizontal="center" vertical="center"/>
    </xf>
    <xf numFmtId="20" fontId="12" fillId="13" borderId="1" xfId="0" applyNumberFormat="1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/>
    </xf>
    <xf numFmtId="20" fontId="11" fillId="13" borderId="1" xfId="0" applyNumberFormat="1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 readingOrder="1"/>
    </xf>
    <xf numFmtId="0" fontId="7" fillId="12" borderId="1" xfId="1" applyFill="1" applyBorder="1" applyAlignment="1">
      <alignment horizontal="left" vertical="center"/>
    </xf>
    <xf numFmtId="0" fontId="4" fillId="12" borderId="1" xfId="0" applyFont="1" applyFill="1" applyBorder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 readingOrder="1"/>
    </xf>
    <xf numFmtId="0" fontId="9" fillId="15" borderId="1" xfId="1" applyFont="1" applyFill="1" applyBorder="1" applyAlignment="1">
      <alignment horizontal="left" vertical="center" wrapText="1" readingOrder="1"/>
    </xf>
    <xf numFmtId="0" fontId="4" fillId="12" borderId="1" xfId="0" applyFont="1" applyFill="1" applyBorder="1" applyAlignment="1">
      <alignment horizontal="left" vertical="center"/>
    </xf>
    <xf numFmtId="0" fontId="10" fillId="0" borderId="1" xfId="0" quotePrefix="1" applyFont="1" applyBorder="1">
      <alignment vertical="center"/>
    </xf>
    <xf numFmtId="0" fontId="10" fillId="0" borderId="1" xfId="0" quotePrefix="1" applyFont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0" fontId="10" fillId="0" borderId="1" xfId="0" quotePrefix="1" applyFont="1" applyBorder="1" applyAlignment="1">
      <alignment horizontal="right" vertical="center" wrapText="1"/>
    </xf>
    <xf numFmtId="0" fontId="10" fillId="0" borderId="1" xfId="0" quotePrefix="1" applyFont="1" applyBorder="1" applyAlignment="1">
      <alignment vertical="top" wrapText="1"/>
    </xf>
    <xf numFmtId="0" fontId="10" fillId="0" borderId="1" xfId="0" quotePrefix="1" applyFont="1" applyBorder="1" applyAlignment="1">
      <alignment horizontal="right" vertical="top" wrapText="1"/>
    </xf>
    <xf numFmtId="0" fontId="10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20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20" fontId="11" fillId="0" borderId="1" xfId="0" applyNumberFormat="1" applyFont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7" fillId="0" borderId="1" xfId="1" applyBorder="1" applyAlignment="1">
      <alignment horizontal="left" vertical="center" wrapText="1" readingOrder="1"/>
    </xf>
    <xf numFmtId="0" fontId="10" fillId="4" borderId="1" xfId="0" applyFont="1" applyFill="1" applyBorder="1" applyAlignment="1">
      <alignment horizontal="center" vertical="center"/>
    </xf>
    <xf numFmtId="0" fontId="9" fillId="4" borderId="1" xfId="1" applyFont="1" applyFill="1" applyBorder="1" applyAlignment="1">
      <alignment vertical="center"/>
    </xf>
    <xf numFmtId="0" fontId="4" fillId="16" borderId="1" xfId="0" applyFont="1" applyFill="1" applyBorder="1">
      <alignment vertical="center"/>
    </xf>
    <xf numFmtId="0" fontId="0" fillId="17" borderId="1" xfId="0" applyFill="1" applyBorder="1">
      <alignment vertical="center"/>
    </xf>
    <xf numFmtId="0" fontId="0" fillId="17" borderId="1" xfId="0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10" fillId="8" borderId="5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10" fillId="8" borderId="7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 readingOrder="1"/>
    </xf>
    <xf numFmtId="0" fontId="9" fillId="7" borderId="6" xfId="1" applyFont="1" applyFill="1" applyBorder="1" applyAlignment="1">
      <alignment horizontal="left" vertical="center" wrapText="1" readingOrder="1"/>
    </xf>
    <xf numFmtId="0" fontId="8" fillId="0" borderId="6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horizontal="left" vertical="center" wrapText="1" readingOrder="1"/>
    </xf>
    <xf numFmtId="0" fontId="8" fillId="6" borderId="6" xfId="0" applyFont="1" applyFill="1" applyBorder="1" applyAlignment="1">
      <alignment horizontal="left" vertical="center" wrapText="1" readingOrder="1"/>
    </xf>
    <xf numFmtId="0" fontId="4" fillId="0" borderId="6" xfId="0" applyFont="1" applyBorder="1">
      <alignment vertical="center"/>
    </xf>
    <xf numFmtId="0" fontId="10" fillId="0" borderId="6" xfId="0" applyFont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8" fillId="10" borderId="6" xfId="0" applyFont="1" applyFill="1" applyBorder="1" applyAlignment="1">
      <alignment horizontal="center" vertical="center" wrapText="1" readingOrder="1"/>
    </xf>
    <xf numFmtId="0" fontId="9" fillId="10" borderId="6" xfId="1" applyFont="1" applyFill="1" applyBorder="1" applyAlignment="1">
      <alignment horizontal="left" vertical="center" wrapText="1" readingOrder="1"/>
    </xf>
    <xf numFmtId="0" fontId="10" fillId="0" borderId="6" xfId="0" applyFont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left" vertical="center"/>
    </xf>
    <xf numFmtId="0" fontId="12" fillId="0" borderId="6" xfId="0" applyFont="1" applyBorder="1">
      <alignment vertical="center"/>
    </xf>
    <xf numFmtId="0" fontId="12" fillId="0" borderId="6" xfId="0" applyFont="1" applyBorder="1" applyAlignment="1">
      <alignment horizontal="right" vertical="center"/>
    </xf>
    <xf numFmtId="0" fontId="11" fillId="9" borderId="6" xfId="0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center" vertical="center" wrapText="1" readingOrder="1"/>
    </xf>
    <xf numFmtId="0" fontId="9" fillId="7" borderId="10" xfId="1" applyFont="1" applyFill="1" applyBorder="1" applyAlignment="1">
      <alignment horizontal="left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left" vertical="center" wrapText="1" readingOrder="1"/>
    </xf>
    <xf numFmtId="0" fontId="8" fillId="6" borderId="10" xfId="0" applyFont="1" applyFill="1" applyBorder="1" applyAlignment="1">
      <alignment horizontal="left" vertical="center" wrapText="1" readingOrder="1"/>
    </xf>
    <xf numFmtId="0" fontId="4" fillId="0" borderId="10" xfId="0" applyFont="1" applyBorder="1">
      <alignment vertical="center"/>
    </xf>
    <xf numFmtId="0" fontId="10" fillId="0" borderId="10" xfId="0" applyFont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0" borderId="10" xfId="0" quotePrefix="1" applyFont="1" applyBorder="1">
      <alignment vertical="center"/>
    </xf>
    <xf numFmtId="0" fontId="10" fillId="0" borderId="10" xfId="0" quotePrefix="1" applyFont="1" applyBorder="1" applyAlignment="1">
      <alignment horizontal="right" vertical="center"/>
    </xf>
    <xf numFmtId="0" fontId="11" fillId="8" borderId="10" xfId="0" applyFont="1" applyFill="1" applyBorder="1" applyAlignment="1">
      <alignment horizontal="left" vertical="center"/>
    </xf>
    <xf numFmtId="0" fontId="10" fillId="8" borderId="11" xfId="0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center" vertical="center" wrapText="1" readingOrder="1"/>
    </xf>
    <xf numFmtId="0" fontId="9" fillId="7" borderId="8" xfId="1" applyFont="1" applyFill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6" borderId="8" xfId="0" applyFont="1" applyFill="1" applyBorder="1" applyAlignment="1">
      <alignment horizontal="left" vertical="center" wrapText="1" readingOrder="1"/>
    </xf>
    <xf numFmtId="0" fontId="4" fillId="0" borderId="8" xfId="0" applyFont="1" applyBorder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right" vertical="center"/>
    </xf>
    <xf numFmtId="0" fontId="11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8" fillId="10" borderId="8" xfId="0" applyFont="1" applyFill="1" applyBorder="1" applyAlignment="1">
      <alignment horizontal="center" vertical="center" wrapText="1" readingOrder="1"/>
    </xf>
    <xf numFmtId="0" fontId="9" fillId="10" borderId="8" xfId="1" applyFont="1" applyFill="1" applyBorder="1" applyAlignment="1">
      <alignment horizontal="left" vertical="center" wrapText="1" readingOrder="1"/>
    </xf>
    <xf numFmtId="0" fontId="10" fillId="0" borderId="8" xfId="0" quotePrefix="1" applyFont="1" applyBorder="1">
      <alignment vertical="center"/>
    </xf>
    <xf numFmtId="0" fontId="10" fillId="0" borderId="8" xfId="0" quotePrefix="1" applyFont="1" applyBorder="1" applyAlignment="1">
      <alignment horizontal="right" vertical="center"/>
    </xf>
    <xf numFmtId="0" fontId="8" fillId="10" borderId="10" xfId="0" applyFont="1" applyFill="1" applyBorder="1" applyAlignment="1">
      <alignment horizontal="center" vertical="center" wrapText="1" readingOrder="1"/>
    </xf>
    <xf numFmtId="0" fontId="9" fillId="10" borderId="10" xfId="1" applyFont="1" applyFill="1" applyBorder="1" applyAlignment="1">
      <alignment horizontal="left" vertical="center" wrapText="1" readingOrder="1"/>
    </xf>
    <xf numFmtId="0" fontId="10" fillId="0" borderId="10" xfId="0" quotePrefix="1" applyFont="1" applyBorder="1" applyAlignment="1">
      <alignment vertical="center" wrapText="1"/>
    </xf>
    <xf numFmtId="0" fontId="10" fillId="0" borderId="10" xfId="0" applyFont="1" applyBorder="1">
      <alignment vertical="center"/>
    </xf>
    <xf numFmtId="0" fontId="10" fillId="0" borderId="10" xfId="0" quotePrefix="1" applyFont="1" applyBorder="1" applyAlignment="1">
      <alignment horizontal="right" vertical="center" wrapText="1"/>
    </xf>
    <xf numFmtId="0" fontId="11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4" fillId="12" borderId="12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 wrapText="1" readingOrder="1"/>
    </xf>
    <xf numFmtId="0" fontId="4" fillId="12" borderId="13" xfId="0" applyFont="1" applyFill="1" applyBorder="1" applyAlignment="1">
      <alignment horizontal="left" vertical="center"/>
    </xf>
    <xf numFmtId="0" fontId="4" fillId="12" borderId="13" xfId="0" applyFont="1" applyFill="1" applyBorder="1">
      <alignment vertical="center"/>
    </xf>
    <xf numFmtId="0" fontId="4" fillId="12" borderId="14" xfId="0" applyFont="1" applyFill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8" fillId="7" borderId="10" xfId="0" applyFont="1" applyFill="1" applyBorder="1" applyAlignment="1">
      <alignment horizontal="left" vertical="center" wrapText="1" readingOrder="1"/>
    </xf>
    <xf numFmtId="0" fontId="12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1" fillId="12" borderId="10" xfId="0" applyFont="1" applyFill="1" applyBorder="1" applyAlignment="1">
      <alignment horizontal="left" vertical="center"/>
    </xf>
    <xf numFmtId="0" fontId="10" fillId="12" borderId="1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15" fillId="0" borderId="17" xfId="0" applyFont="1" applyBorder="1" applyAlignment="1">
      <alignment horizontal="left" vertical="center" wrapText="1" readingOrder="1"/>
    </xf>
    <xf numFmtId="0" fontId="9" fillId="0" borderId="1" xfId="1" applyFont="1" applyFill="1" applyBorder="1" applyAlignment="1">
      <alignment horizontal="left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center" vertical="center" wrapText="1" readingOrder="1"/>
    </xf>
    <xf numFmtId="0" fontId="8" fillId="7" borderId="15" xfId="0" applyFont="1" applyFill="1" applyBorder="1" applyAlignment="1">
      <alignment horizontal="center" vertical="center" wrapText="1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12</xdr:row>
      <xdr:rowOff>0</xdr:rowOff>
    </xdr:from>
    <xdr:to>
      <xdr:col>15</xdr:col>
      <xdr:colOff>142875</xdr:colOff>
      <xdr:row>37</xdr:row>
      <xdr:rowOff>46469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3EB263-C40A-7282-D6C2-6546DCBE1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3143250"/>
          <a:ext cx="11220450" cy="5285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1EDD-9220-44DA-B539-0B2D1CA85910}">
  <dimension ref="B1:I12"/>
  <sheetViews>
    <sheetView workbookViewId="0">
      <selection activeCell="C17" sqref="C17"/>
    </sheetView>
  </sheetViews>
  <sheetFormatPr defaultRowHeight="16.5" x14ac:dyDescent="0.3"/>
  <cols>
    <col min="1" max="1" width="6" customWidth="1"/>
    <col min="2" max="2" width="9" bestFit="1" customWidth="1"/>
    <col min="3" max="3" width="5.25" bestFit="1" customWidth="1"/>
    <col min="4" max="4" width="8.75" bestFit="1" customWidth="1"/>
    <col min="5" max="5" width="10.375" bestFit="1" customWidth="1"/>
    <col min="6" max="6" width="10.375" customWidth="1"/>
    <col min="7" max="7" width="22.625" customWidth="1"/>
    <col min="8" max="8" width="17.25" customWidth="1"/>
    <col min="9" max="9" width="53.5" customWidth="1"/>
  </cols>
  <sheetData>
    <row r="1" spans="2:9" x14ac:dyDescent="0.3">
      <c r="B1" t="s">
        <v>488</v>
      </c>
    </row>
    <row r="3" spans="2:9" x14ac:dyDescent="0.3">
      <c r="B3" s="35" t="s">
        <v>0</v>
      </c>
      <c r="C3" s="35" t="s">
        <v>1</v>
      </c>
      <c r="D3" s="35" t="s">
        <v>2</v>
      </c>
      <c r="E3" s="35" t="s">
        <v>3</v>
      </c>
      <c r="F3" s="35" t="s">
        <v>13</v>
      </c>
      <c r="G3" s="35" t="s">
        <v>4</v>
      </c>
      <c r="H3" s="35" t="s">
        <v>521</v>
      </c>
      <c r="I3" s="35" t="s">
        <v>82</v>
      </c>
    </row>
    <row r="4" spans="2:9" x14ac:dyDescent="0.3">
      <c r="B4" s="1" t="s">
        <v>5</v>
      </c>
      <c r="C4" s="1">
        <f>D4+E4</f>
        <v>37</v>
      </c>
      <c r="D4" s="1">
        <v>26</v>
      </c>
      <c r="E4" s="1">
        <v>11</v>
      </c>
      <c r="F4" s="1"/>
      <c r="G4" s="1"/>
      <c r="H4" s="1"/>
      <c r="I4" s="1"/>
    </row>
    <row r="5" spans="2:9" x14ac:dyDescent="0.3">
      <c r="B5" s="1" t="s">
        <v>6</v>
      </c>
      <c r="C5" s="1">
        <f t="shared" ref="C5:C11" si="0">D5+E5</f>
        <v>26</v>
      </c>
      <c r="D5" s="1">
        <v>21</v>
      </c>
      <c r="E5" s="1">
        <v>5</v>
      </c>
      <c r="F5" s="1"/>
      <c r="G5" s="1"/>
      <c r="H5" s="1"/>
      <c r="I5" s="1"/>
    </row>
    <row r="6" spans="2:9" x14ac:dyDescent="0.3">
      <c r="B6" s="1" t="s">
        <v>7</v>
      </c>
      <c r="C6" s="1">
        <f t="shared" si="0"/>
        <v>9</v>
      </c>
      <c r="D6" s="1">
        <v>4</v>
      </c>
      <c r="E6" s="1">
        <v>5</v>
      </c>
      <c r="F6" s="1"/>
      <c r="G6" s="1"/>
      <c r="H6" s="1"/>
      <c r="I6" s="1"/>
    </row>
    <row r="7" spans="2:9" x14ac:dyDescent="0.3">
      <c r="B7" s="1" t="s">
        <v>8</v>
      </c>
      <c r="C7" s="1">
        <f t="shared" si="0"/>
        <v>3</v>
      </c>
      <c r="D7" s="1">
        <v>2</v>
      </c>
      <c r="E7" s="1">
        <v>1</v>
      </c>
      <c r="F7" s="1"/>
      <c r="G7" s="1"/>
      <c r="H7" s="1"/>
      <c r="I7" s="1"/>
    </row>
    <row r="8" spans="2:9" x14ac:dyDescent="0.3">
      <c r="B8" s="1" t="s">
        <v>9</v>
      </c>
      <c r="C8" s="1">
        <f t="shared" si="0"/>
        <v>1</v>
      </c>
      <c r="D8" s="1">
        <v>1</v>
      </c>
      <c r="E8" s="1"/>
      <c r="F8" s="1"/>
      <c r="G8" s="1"/>
      <c r="H8" s="1"/>
      <c r="I8" s="1"/>
    </row>
    <row r="9" spans="2:9" x14ac:dyDescent="0.3">
      <c r="B9" s="1" t="s">
        <v>10</v>
      </c>
      <c r="C9" s="1">
        <f t="shared" si="0"/>
        <v>2</v>
      </c>
      <c r="D9" s="1"/>
      <c r="E9" s="1">
        <v>2</v>
      </c>
      <c r="F9" s="1"/>
      <c r="G9" s="1"/>
      <c r="H9" s="1"/>
      <c r="I9" s="1"/>
    </row>
    <row r="10" spans="2:9" ht="33" x14ac:dyDescent="0.3">
      <c r="B10" s="75" t="s">
        <v>11</v>
      </c>
      <c r="C10" s="75">
        <f t="shared" si="0"/>
        <v>2</v>
      </c>
      <c r="D10" s="75">
        <v>1</v>
      </c>
      <c r="E10" s="75">
        <v>1</v>
      </c>
      <c r="F10" s="75"/>
      <c r="G10" s="75"/>
      <c r="H10" s="75"/>
      <c r="I10" s="76" t="s">
        <v>520</v>
      </c>
    </row>
    <row r="11" spans="2:9" x14ac:dyDescent="0.3">
      <c r="B11" s="1" t="s">
        <v>12</v>
      </c>
      <c r="C11" s="1">
        <f t="shared" si="0"/>
        <v>3</v>
      </c>
      <c r="D11" s="1">
        <v>2</v>
      </c>
      <c r="E11" s="1">
        <v>1</v>
      </c>
      <c r="F11" s="78" t="s">
        <v>14</v>
      </c>
      <c r="G11" s="1"/>
      <c r="H11" s="1"/>
      <c r="I11" s="1" t="s">
        <v>138</v>
      </c>
    </row>
    <row r="12" spans="2:9" x14ac:dyDescent="0.3">
      <c r="B12" s="77" t="s">
        <v>519</v>
      </c>
      <c r="C12" s="1">
        <f>SUM(C4:C11)</f>
        <v>83</v>
      </c>
      <c r="D12" s="1">
        <f>SUM(D4:D11)</f>
        <v>57</v>
      </c>
      <c r="E12" s="1">
        <f>SUM(E4:E11)</f>
        <v>26</v>
      </c>
      <c r="F12" s="1"/>
      <c r="G12" s="1"/>
      <c r="H12" s="1"/>
      <c r="I12" s="1"/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1067-E4B5-468C-B83D-3CB730CCE76D}">
  <sheetPr>
    <tabColor theme="4" tint="0.79998168889431442"/>
  </sheetPr>
  <dimension ref="B2:AK45"/>
  <sheetViews>
    <sheetView tabSelected="1" workbookViewId="0">
      <pane xSplit="11" ySplit="9" topLeftCell="AE12" activePane="bottomRight" state="frozen"/>
      <selection pane="topRight" activeCell="L1" sqref="L1"/>
      <selection pane="bottomLeft" activeCell="A10" sqref="A10"/>
      <selection pane="bottomRight" activeCell="AI4" sqref="AI4"/>
    </sheetView>
  </sheetViews>
  <sheetFormatPr defaultRowHeight="16.5" x14ac:dyDescent="0.3"/>
  <cols>
    <col min="1" max="1" width="9" customWidth="1"/>
    <col min="7" max="7" width="23.125" customWidth="1"/>
    <col min="15" max="15" width="9.75" bestFit="1" customWidth="1"/>
    <col min="16" max="16" width="23.875" bestFit="1" customWidth="1"/>
    <col min="31" max="31" width="36" customWidth="1"/>
    <col min="32" max="32" width="22.375" bestFit="1" customWidth="1"/>
    <col min="34" max="34" width="10.875" bestFit="1" customWidth="1"/>
    <col min="35" max="35" width="13.5" bestFit="1" customWidth="1"/>
    <col min="36" max="36" width="7.25" bestFit="1" customWidth="1"/>
    <col min="37" max="37" width="78" bestFit="1" customWidth="1"/>
  </cols>
  <sheetData>
    <row r="2" spans="2:37" ht="36" x14ac:dyDescent="0.3">
      <c r="B2" s="84" t="s">
        <v>15</v>
      </c>
      <c r="C2" s="84" t="s">
        <v>16</v>
      </c>
      <c r="D2" s="84" t="s">
        <v>17</v>
      </c>
      <c r="E2" s="84" t="s">
        <v>18</v>
      </c>
      <c r="F2" s="84" t="s">
        <v>19</v>
      </c>
      <c r="G2" s="84" t="s">
        <v>20</v>
      </c>
      <c r="H2" s="84" t="s">
        <v>21</v>
      </c>
      <c r="I2" s="84" t="s">
        <v>22</v>
      </c>
      <c r="J2" s="84" t="s">
        <v>23</v>
      </c>
      <c r="K2" s="84" t="s">
        <v>24</v>
      </c>
      <c r="L2" s="84" t="s">
        <v>25</v>
      </c>
      <c r="M2" s="84" t="s">
        <v>26</v>
      </c>
      <c r="N2" s="84" t="s">
        <v>27</v>
      </c>
      <c r="O2" s="84" t="s">
        <v>28</v>
      </c>
      <c r="P2" s="84" t="s">
        <v>29</v>
      </c>
      <c r="Q2" s="85">
        <v>1</v>
      </c>
      <c r="R2" s="86" t="s">
        <v>30</v>
      </c>
      <c r="S2" s="86" t="s">
        <v>31</v>
      </c>
      <c r="T2" s="86" t="s">
        <v>32</v>
      </c>
      <c r="U2" s="86" t="s">
        <v>33</v>
      </c>
      <c r="V2" s="87" t="s">
        <v>34</v>
      </c>
      <c r="W2" s="87" t="s">
        <v>35</v>
      </c>
      <c r="X2" s="88" t="s">
        <v>36</v>
      </c>
      <c r="Y2" s="88" t="s">
        <v>37</v>
      </c>
      <c r="Z2" s="88" t="s">
        <v>38</v>
      </c>
      <c r="AA2" s="88" t="s">
        <v>39</v>
      </c>
      <c r="AB2" s="88" t="s">
        <v>40</v>
      </c>
      <c r="AC2" s="86" t="s">
        <v>41</v>
      </c>
      <c r="AD2" s="86" t="s">
        <v>42</v>
      </c>
      <c r="AE2" s="86" t="s">
        <v>43</v>
      </c>
      <c r="AF2" s="159" t="s">
        <v>534</v>
      </c>
      <c r="AG2" s="159" t="s">
        <v>535</v>
      </c>
      <c r="AH2" s="159" t="s">
        <v>536</v>
      </c>
      <c r="AI2" s="159" t="s">
        <v>537</v>
      </c>
      <c r="AJ2" s="159" t="s">
        <v>538</v>
      </c>
      <c r="AK2" s="86" t="s">
        <v>539</v>
      </c>
    </row>
    <row r="3" spans="2:37" ht="24" x14ac:dyDescent="0.3">
      <c r="B3" s="8">
        <v>1</v>
      </c>
      <c r="C3" s="8" t="s">
        <v>279</v>
      </c>
      <c r="D3" s="8" t="s">
        <v>45</v>
      </c>
      <c r="E3" s="8" t="s">
        <v>46</v>
      </c>
      <c r="F3" s="8" t="s">
        <v>280</v>
      </c>
      <c r="G3" s="34" t="s">
        <v>281</v>
      </c>
      <c r="H3" s="10" t="s">
        <v>282</v>
      </c>
      <c r="I3" s="10" t="s">
        <v>50</v>
      </c>
      <c r="J3" s="10" t="s">
        <v>51</v>
      </c>
      <c r="K3" s="10" t="s">
        <v>52</v>
      </c>
      <c r="L3" s="10">
        <v>1</v>
      </c>
      <c r="M3" s="10" t="s">
        <v>209</v>
      </c>
      <c r="N3" s="11" t="s">
        <v>283</v>
      </c>
      <c r="O3" s="30" t="s">
        <v>284</v>
      </c>
      <c r="P3" s="30" t="s">
        <v>285</v>
      </c>
      <c r="Q3" s="12"/>
      <c r="R3" s="4" t="s">
        <v>119</v>
      </c>
      <c r="S3" s="13" t="s">
        <v>279</v>
      </c>
      <c r="T3" s="4" t="s">
        <v>56</v>
      </c>
      <c r="U3" s="13" t="s">
        <v>68</v>
      </c>
      <c r="V3" s="21" t="s">
        <v>58</v>
      </c>
      <c r="W3" s="5"/>
      <c r="X3" s="5" t="s">
        <v>286</v>
      </c>
      <c r="Y3" s="5" t="s">
        <v>287</v>
      </c>
      <c r="Z3" s="5" t="s">
        <v>288</v>
      </c>
      <c r="AA3" s="5" t="s">
        <v>112</v>
      </c>
      <c r="AB3" s="6">
        <v>1</v>
      </c>
      <c r="AC3" s="60" t="s">
        <v>169</v>
      </c>
      <c r="AD3" s="60" t="s">
        <v>289</v>
      </c>
      <c r="AE3" s="19" t="s">
        <v>290</v>
      </c>
      <c r="AF3" s="10" t="s">
        <v>576</v>
      </c>
      <c r="AG3" s="10" t="s">
        <v>577</v>
      </c>
      <c r="AH3" s="10" t="s">
        <v>577</v>
      </c>
      <c r="AI3" s="10" t="s">
        <v>578</v>
      </c>
      <c r="AJ3" s="10" t="s">
        <v>541</v>
      </c>
      <c r="AK3" s="10" t="s">
        <v>290</v>
      </c>
    </row>
    <row r="4" spans="2:37" ht="48" x14ac:dyDescent="0.3">
      <c r="B4" s="8">
        <v>2</v>
      </c>
      <c r="C4" s="8" t="s">
        <v>279</v>
      </c>
      <c r="D4" s="8" t="s">
        <v>45</v>
      </c>
      <c r="E4" s="8" t="s">
        <v>46</v>
      </c>
      <c r="F4" s="8" t="s">
        <v>291</v>
      </c>
      <c r="G4" s="34" t="s">
        <v>292</v>
      </c>
      <c r="H4" s="10" t="s">
        <v>119</v>
      </c>
      <c r="I4" s="10" t="s">
        <v>50</v>
      </c>
      <c r="J4" s="10" t="s">
        <v>51</v>
      </c>
      <c r="K4" s="10" t="s">
        <v>52</v>
      </c>
      <c r="L4" s="10">
        <v>1</v>
      </c>
      <c r="M4" s="10" t="s">
        <v>209</v>
      </c>
      <c r="N4" s="11" t="s">
        <v>293</v>
      </c>
      <c r="O4" s="30" t="s">
        <v>294</v>
      </c>
      <c r="P4" s="30"/>
      <c r="Q4" s="12"/>
      <c r="R4" s="4" t="s">
        <v>122</v>
      </c>
      <c r="S4" s="13" t="s">
        <v>279</v>
      </c>
      <c r="T4" s="4" t="s">
        <v>56</v>
      </c>
      <c r="U4" s="13" t="s">
        <v>68</v>
      </c>
      <c r="V4" s="21" t="s">
        <v>58</v>
      </c>
      <c r="W4" s="58" t="s">
        <v>295</v>
      </c>
      <c r="X4" s="58" t="s">
        <v>286</v>
      </c>
      <c r="Y4" s="58" t="s">
        <v>296</v>
      </c>
      <c r="Z4" s="58" t="s">
        <v>297</v>
      </c>
      <c r="AA4" s="58" t="s">
        <v>126</v>
      </c>
      <c r="AB4" s="59">
        <v>3</v>
      </c>
      <c r="AC4" s="60" t="s">
        <v>113</v>
      </c>
      <c r="AD4" s="60" t="s">
        <v>298</v>
      </c>
      <c r="AE4" s="19" t="s">
        <v>299</v>
      </c>
      <c r="AF4" s="10" t="s">
        <v>624</v>
      </c>
      <c r="AG4" s="10"/>
      <c r="AH4" s="10"/>
      <c r="AI4" s="10" t="s">
        <v>625</v>
      </c>
      <c r="AJ4" s="10"/>
      <c r="AK4" s="10" t="s">
        <v>603</v>
      </c>
    </row>
    <row r="5" spans="2:37" ht="24" x14ac:dyDescent="0.3">
      <c r="B5" s="110">
        <v>3</v>
      </c>
      <c r="C5" s="110" t="s">
        <v>279</v>
      </c>
      <c r="D5" s="110" t="s">
        <v>45</v>
      </c>
      <c r="E5" s="110" t="s">
        <v>46</v>
      </c>
      <c r="F5" s="110" t="s">
        <v>300</v>
      </c>
      <c r="G5" s="111" t="s">
        <v>301</v>
      </c>
      <c r="H5" s="112" t="s">
        <v>119</v>
      </c>
      <c r="I5" s="112" t="s">
        <v>50</v>
      </c>
      <c r="J5" s="112" t="s">
        <v>51</v>
      </c>
      <c r="K5" s="112" t="s">
        <v>52</v>
      </c>
      <c r="L5" s="112">
        <v>1</v>
      </c>
      <c r="M5" s="112" t="s">
        <v>209</v>
      </c>
      <c r="N5" s="113" t="s">
        <v>302</v>
      </c>
      <c r="O5" s="114" t="s">
        <v>303</v>
      </c>
      <c r="P5" s="114"/>
      <c r="Q5" s="115"/>
      <c r="R5" s="116" t="s">
        <v>122</v>
      </c>
      <c r="S5" s="117" t="s">
        <v>279</v>
      </c>
      <c r="T5" s="116" t="s">
        <v>56</v>
      </c>
      <c r="U5" s="117" t="s">
        <v>68</v>
      </c>
      <c r="V5" s="118" t="s">
        <v>58</v>
      </c>
      <c r="W5" s="119"/>
      <c r="X5" s="119" t="s">
        <v>304</v>
      </c>
      <c r="Y5" s="119" t="s">
        <v>305</v>
      </c>
      <c r="Z5" s="119" t="s">
        <v>297</v>
      </c>
      <c r="AA5" s="119" t="s">
        <v>126</v>
      </c>
      <c r="AB5" s="120">
        <v>3</v>
      </c>
      <c r="AC5" s="121" t="s">
        <v>113</v>
      </c>
      <c r="AD5" s="121" t="s">
        <v>243</v>
      </c>
      <c r="AE5" s="122" t="s">
        <v>306</v>
      </c>
      <c r="AF5" s="10" t="s">
        <v>540</v>
      </c>
      <c r="AG5" s="10" t="s">
        <v>541</v>
      </c>
      <c r="AH5" s="10" t="s">
        <v>542</v>
      </c>
      <c r="AI5" s="10" t="s">
        <v>543</v>
      </c>
      <c r="AJ5" s="10" t="s">
        <v>541</v>
      </c>
      <c r="AK5" s="10" t="s">
        <v>306</v>
      </c>
    </row>
    <row r="6" spans="2:37" ht="24" x14ac:dyDescent="0.3">
      <c r="B6" s="8">
        <v>4</v>
      </c>
      <c r="C6" s="8" t="s">
        <v>279</v>
      </c>
      <c r="D6" s="8" t="s">
        <v>45</v>
      </c>
      <c r="E6" s="8" t="s">
        <v>46</v>
      </c>
      <c r="F6" s="8" t="s">
        <v>307</v>
      </c>
      <c r="G6" s="34" t="s">
        <v>308</v>
      </c>
      <c r="H6" s="10" t="s">
        <v>119</v>
      </c>
      <c r="I6" s="10" t="s">
        <v>50</v>
      </c>
      <c r="J6" s="10" t="s">
        <v>51</v>
      </c>
      <c r="K6" s="10" t="s">
        <v>52</v>
      </c>
      <c r="L6" s="10">
        <v>1</v>
      </c>
      <c r="M6" s="10"/>
      <c r="N6" s="11" t="s">
        <v>309</v>
      </c>
      <c r="O6" s="30" t="s">
        <v>310</v>
      </c>
      <c r="P6" s="30" t="s">
        <v>311</v>
      </c>
      <c r="Q6" s="12"/>
      <c r="R6" s="4" t="s">
        <v>122</v>
      </c>
      <c r="S6" s="13" t="s">
        <v>279</v>
      </c>
      <c r="T6" s="4" t="s">
        <v>56</v>
      </c>
      <c r="U6" s="13" t="s">
        <v>68</v>
      </c>
      <c r="V6" s="21" t="s">
        <v>58</v>
      </c>
      <c r="W6" s="5" t="s">
        <v>312</v>
      </c>
      <c r="X6" s="5" t="s">
        <v>286</v>
      </c>
      <c r="Y6" s="5" t="s">
        <v>313</v>
      </c>
      <c r="Z6" s="5" t="s">
        <v>288</v>
      </c>
      <c r="AA6" s="5" t="s">
        <v>112</v>
      </c>
      <c r="AB6" s="6">
        <v>1</v>
      </c>
      <c r="AC6" s="60" t="s">
        <v>113</v>
      </c>
      <c r="AD6" s="60" t="s">
        <v>298</v>
      </c>
      <c r="AE6" s="19" t="s">
        <v>314</v>
      </c>
      <c r="AF6" s="10" t="s">
        <v>632</v>
      </c>
      <c r="AG6" s="10"/>
      <c r="AH6" s="10"/>
      <c r="AI6" s="10" t="s">
        <v>626</v>
      </c>
      <c r="AJ6" s="10"/>
      <c r="AK6" s="10" t="s">
        <v>604</v>
      </c>
    </row>
    <row r="7" spans="2:37" ht="24" x14ac:dyDescent="0.3">
      <c r="B7" s="8">
        <v>6</v>
      </c>
      <c r="C7" s="8" t="s">
        <v>279</v>
      </c>
      <c r="D7" s="8" t="s">
        <v>45</v>
      </c>
      <c r="E7" s="8" t="s">
        <v>46</v>
      </c>
      <c r="F7" s="8" t="s">
        <v>315</v>
      </c>
      <c r="G7" s="34" t="s">
        <v>316</v>
      </c>
      <c r="H7" s="10" t="s">
        <v>119</v>
      </c>
      <c r="I7" s="10" t="s">
        <v>76</v>
      </c>
      <c r="J7" s="10" t="s">
        <v>51</v>
      </c>
      <c r="K7" s="10" t="s">
        <v>52</v>
      </c>
      <c r="L7" s="10">
        <v>2</v>
      </c>
      <c r="M7" s="10"/>
      <c r="N7" s="11" t="s">
        <v>317</v>
      </c>
      <c r="O7" s="30" t="s">
        <v>318</v>
      </c>
      <c r="P7" s="30" t="s">
        <v>319</v>
      </c>
      <c r="Q7" s="12"/>
      <c r="R7" s="4" t="s">
        <v>122</v>
      </c>
      <c r="S7" s="13" t="s">
        <v>279</v>
      </c>
      <c r="T7" s="4" t="s">
        <v>56</v>
      </c>
      <c r="U7" s="13" t="s">
        <v>110</v>
      </c>
      <c r="V7" s="21" t="s">
        <v>58</v>
      </c>
      <c r="W7" s="5" t="s">
        <v>320</v>
      </c>
      <c r="X7" s="5" t="s">
        <v>286</v>
      </c>
      <c r="Y7" s="5" t="s">
        <v>321</v>
      </c>
      <c r="Z7" s="5" t="s">
        <v>322</v>
      </c>
      <c r="AA7" s="5" t="s">
        <v>61</v>
      </c>
      <c r="AB7" s="6">
        <v>5</v>
      </c>
      <c r="AC7" s="7" t="s">
        <v>113</v>
      </c>
      <c r="AD7" s="7" t="s">
        <v>114</v>
      </c>
      <c r="AE7" s="22" t="s">
        <v>323</v>
      </c>
      <c r="AF7" s="10" t="s">
        <v>579</v>
      </c>
      <c r="AG7" s="10" t="s">
        <v>580</v>
      </c>
      <c r="AH7" s="10" t="s">
        <v>580</v>
      </c>
      <c r="AI7" s="10" t="s">
        <v>581</v>
      </c>
      <c r="AJ7" s="10" t="s">
        <v>541</v>
      </c>
      <c r="AK7" s="10" t="s">
        <v>605</v>
      </c>
    </row>
    <row r="8" spans="2:37" ht="36" x14ac:dyDescent="0.3">
      <c r="B8" s="123">
        <v>10</v>
      </c>
      <c r="C8" s="123" t="s">
        <v>279</v>
      </c>
      <c r="D8" s="123" t="s">
        <v>45</v>
      </c>
      <c r="E8" s="123" t="s">
        <v>46</v>
      </c>
      <c r="F8" s="123" t="s">
        <v>324</v>
      </c>
      <c r="G8" s="124" t="s">
        <v>325</v>
      </c>
      <c r="H8" s="125" t="s">
        <v>119</v>
      </c>
      <c r="I8" s="125" t="s">
        <v>50</v>
      </c>
      <c r="J8" s="125" t="s">
        <v>51</v>
      </c>
      <c r="K8" s="125" t="s">
        <v>52</v>
      </c>
      <c r="L8" s="125">
        <v>1</v>
      </c>
      <c r="M8" s="125"/>
      <c r="N8" s="126" t="s">
        <v>326</v>
      </c>
      <c r="O8" s="127" t="s">
        <v>327</v>
      </c>
      <c r="P8" s="127" t="s">
        <v>328</v>
      </c>
      <c r="Q8" s="128"/>
      <c r="R8" s="129" t="s">
        <v>122</v>
      </c>
      <c r="S8" s="129" t="s">
        <v>5</v>
      </c>
      <c r="T8" s="129" t="s">
        <v>112</v>
      </c>
      <c r="U8" s="129" t="s">
        <v>329</v>
      </c>
      <c r="V8" s="129"/>
      <c r="W8" s="130"/>
      <c r="X8" s="130" t="s">
        <v>304</v>
      </c>
      <c r="Y8" s="130" t="s">
        <v>330</v>
      </c>
      <c r="Z8" s="130" t="s">
        <v>331</v>
      </c>
      <c r="AA8" s="130" t="s">
        <v>126</v>
      </c>
      <c r="AB8" s="131">
        <v>3</v>
      </c>
      <c r="AC8" s="132"/>
      <c r="AD8" s="132"/>
      <c r="AE8" s="133"/>
      <c r="AF8" s="10" t="s">
        <v>540</v>
      </c>
      <c r="AG8" s="10" t="s">
        <v>541</v>
      </c>
      <c r="AH8" s="10" t="s">
        <v>541</v>
      </c>
      <c r="AI8" s="10" t="s">
        <v>544</v>
      </c>
      <c r="AJ8" s="10" t="s">
        <v>541</v>
      </c>
      <c r="AK8" s="10" t="s">
        <v>606</v>
      </c>
    </row>
    <row r="9" spans="2:37" ht="48" x14ac:dyDescent="0.3">
      <c r="B9" s="8">
        <v>11</v>
      </c>
      <c r="C9" s="8" t="s">
        <v>279</v>
      </c>
      <c r="D9" s="8" t="s">
        <v>45</v>
      </c>
      <c r="E9" s="8" t="s">
        <v>46</v>
      </c>
      <c r="F9" s="8" t="s">
        <v>332</v>
      </c>
      <c r="G9" s="34" t="s">
        <v>333</v>
      </c>
      <c r="H9" s="10" t="s">
        <v>119</v>
      </c>
      <c r="I9" s="10" t="s">
        <v>50</v>
      </c>
      <c r="J9" s="10" t="s">
        <v>51</v>
      </c>
      <c r="K9" s="10" t="s">
        <v>52</v>
      </c>
      <c r="L9" s="10">
        <v>2</v>
      </c>
      <c r="M9" s="10"/>
      <c r="N9" s="11" t="s">
        <v>334</v>
      </c>
      <c r="O9" s="30" t="s">
        <v>335</v>
      </c>
      <c r="P9" s="30" t="s">
        <v>336</v>
      </c>
      <c r="Q9" s="12"/>
      <c r="R9" s="4" t="s">
        <v>122</v>
      </c>
      <c r="S9" s="4" t="s">
        <v>279</v>
      </c>
      <c r="T9" s="4" t="s">
        <v>56</v>
      </c>
      <c r="U9" s="4" t="s">
        <v>68</v>
      </c>
      <c r="V9" s="4" t="s">
        <v>58</v>
      </c>
      <c r="W9" s="20" t="s">
        <v>337</v>
      </c>
      <c r="X9" s="20" t="s">
        <v>304</v>
      </c>
      <c r="Y9" s="20" t="s">
        <v>338</v>
      </c>
      <c r="Z9" s="5"/>
      <c r="AA9" s="5" t="s">
        <v>112</v>
      </c>
      <c r="AB9" s="61">
        <v>1</v>
      </c>
      <c r="AC9" s="7" t="s">
        <v>195</v>
      </c>
      <c r="AD9" s="7" t="s">
        <v>114</v>
      </c>
      <c r="AE9" s="81" t="s">
        <v>339</v>
      </c>
      <c r="AF9" s="10" t="s">
        <v>545</v>
      </c>
      <c r="AG9" s="10" t="s">
        <v>541</v>
      </c>
      <c r="AH9" s="10" t="s">
        <v>541</v>
      </c>
      <c r="AI9" s="10" t="s">
        <v>546</v>
      </c>
      <c r="AJ9" s="10" t="s">
        <v>541</v>
      </c>
      <c r="AK9" s="10" t="s">
        <v>607</v>
      </c>
    </row>
    <row r="10" spans="2:37" ht="24" x14ac:dyDescent="0.3">
      <c r="B10" s="89">
        <v>14</v>
      </c>
      <c r="C10" s="89" t="s">
        <v>279</v>
      </c>
      <c r="D10" s="89" t="s">
        <v>45</v>
      </c>
      <c r="E10" s="89" t="s">
        <v>46</v>
      </c>
      <c r="F10" s="89" t="s">
        <v>340</v>
      </c>
      <c r="G10" s="90" t="s">
        <v>341</v>
      </c>
      <c r="H10" s="91" t="s">
        <v>119</v>
      </c>
      <c r="I10" s="91" t="s">
        <v>76</v>
      </c>
      <c r="J10" s="91" t="s">
        <v>144</v>
      </c>
      <c r="K10" s="91" t="s">
        <v>52</v>
      </c>
      <c r="L10" s="91">
        <v>1</v>
      </c>
      <c r="M10" s="91"/>
      <c r="N10" s="92" t="s">
        <v>342</v>
      </c>
      <c r="O10" s="93" t="s">
        <v>343</v>
      </c>
      <c r="P10" s="93"/>
      <c r="Q10" s="94"/>
      <c r="R10" s="95"/>
      <c r="S10" s="95"/>
      <c r="T10" s="95"/>
      <c r="U10" s="95"/>
      <c r="V10" s="95"/>
      <c r="W10" s="94"/>
      <c r="X10" s="94"/>
      <c r="Y10" s="94"/>
      <c r="Z10" s="94"/>
      <c r="AA10" s="94"/>
      <c r="AB10" s="94"/>
      <c r="AC10" s="94"/>
      <c r="AD10" s="94"/>
      <c r="AE10" s="97"/>
      <c r="AF10" s="10" t="s">
        <v>554</v>
      </c>
      <c r="AG10" s="10" t="s">
        <v>541</v>
      </c>
      <c r="AH10" s="10" t="s">
        <v>547</v>
      </c>
      <c r="AI10" s="10" t="s">
        <v>548</v>
      </c>
      <c r="AJ10" s="10" t="s">
        <v>541</v>
      </c>
      <c r="AK10" s="10" t="s">
        <v>608</v>
      </c>
    </row>
    <row r="11" spans="2:37" ht="36" x14ac:dyDescent="0.3">
      <c r="B11" s="55">
        <v>15</v>
      </c>
      <c r="C11" s="55" t="s">
        <v>279</v>
      </c>
      <c r="D11" s="55" t="s">
        <v>45</v>
      </c>
      <c r="E11" s="55" t="s">
        <v>46</v>
      </c>
      <c r="F11" s="55" t="s">
        <v>344</v>
      </c>
      <c r="G11" s="56" t="s">
        <v>345</v>
      </c>
      <c r="H11" s="10" t="s">
        <v>196</v>
      </c>
      <c r="I11" s="10" t="s">
        <v>50</v>
      </c>
      <c r="J11" s="10" t="s">
        <v>51</v>
      </c>
      <c r="K11" s="10" t="s">
        <v>52</v>
      </c>
      <c r="L11" s="10">
        <v>1</v>
      </c>
      <c r="M11" s="10" t="s">
        <v>209</v>
      </c>
      <c r="N11" s="11" t="s">
        <v>346</v>
      </c>
      <c r="O11" s="30" t="s">
        <v>347</v>
      </c>
      <c r="P11" s="30" t="s">
        <v>348</v>
      </c>
      <c r="Q11" s="12"/>
      <c r="R11" s="4" t="s">
        <v>75</v>
      </c>
      <c r="S11" s="4" t="s">
        <v>279</v>
      </c>
      <c r="T11" s="4" t="s">
        <v>56</v>
      </c>
      <c r="U11" s="4" t="s">
        <v>68</v>
      </c>
      <c r="V11" s="4" t="s">
        <v>58</v>
      </c>
      <c r="W11" s="20"/>
      <c r="X11" s="20" t="s">
        <v>286</v>
      </c>
      <c r="Y11" s="20" t="s">
        <v>349</v>
      </c>
      <c r="Z11" s="20"/>
      <c r="AA11" s="5" t="s">
        <v>112</v>
      </c>
      <c r="AB11" s="61">
        <v>1</v>
      </c>
      <c r="AC11" s="7" t="s">
        <v>169</v>
      </c>
      <c r="AD11" s="7" t="s">
        <v>243</v>
      </c>
      <c r="AE11" s="22" t="s">
        <v>350</v>
      </c>
      <c r="AF11" s="10" t="s">
        <v>630</v>
      </c>
      <c r="AG11" s="10"/>
      <c r="AH11" s="10"/>
      <c r="AI11" s="10" t="s">
        <v>628</v>
      </c>
      <c r="AJ11" s="10"/>
      <c r="AK11" s="10" t="s">
        <v>609</v>
      </c>
    </row>
    <row r="12" spans="2:37" ht="36" x14ac:dyDescent="0.3">
      <c r="B12" s="55">
        <v>21</v>
      </c>
      <c r="C12" s="55" t="s">
        <v>279</v>
      </c>
      <c r="D12" s="55" t="s">
        <v>45</v>
      </c>
      <c r="E12" s="55" t="s">
        <v>46</v>
      </c>
      <c r="F12" s="55" t="s">
        <v>351</v>
      </c>
      <c r="G12" s="56" t="s">
        <v>352</v>
      </c>
      <c r="H12" s="10" t="s">
        <v>196</v>
      </c>
      <c r="I12" s="10" t="s">
        <v>106</v>
      </c>
      <c r="J12" s="10" t="s">
        <v>51</v>
      </c>
      <c r="K12" s="10" t="s">
        <v>52</v>
      </c>
      <c r="L12" s="10">
        <v>2</v>
      </c>
      <c r="M12" s="10"/>
      <c r="N12" s="11" t="s">
        <v>353</v>
      </c>
      <c r="O12" s="30" t="s">
        <v>354</v>
      </c>
      <c r="P12" s="30"/>
      <c r="Q12" s="12"/>
      <c r="R12" s="4" t="s">
        <v>75</v>
      </c>
      <c r="S12" s="4" t="s">
        <v>279</v>
      </c>
      <c r="T12" s="4" t="s">
        <v>56</v>
      </c>
      <c r="U12" s="4" t="s">
        <v>110</v>
      </c>
      <c r="V12" s="4" t="s">
        <v>58</v>
      </c>
      <c r="W12" s="5"/>
      <c r="X12" s="5" t="s">
        <v>286</v>
      </c>
      <c r="Y12" s="5" t="s">
        <v>355</v>
      </c>
      <c r="Z12" s="5"/>
      <c r="AA12" s="5" t="s">
        <v>112</v>
      </c>
      <c r="AB12" s="6">
        <v>1</v>
      </c>
      <c r="AC12" s="7" t="s">
        <v>113</v>
      </c>
      <c r="AD12" s="7" t="s">
        <v>114</v>
      </c>
      <c r="AE12" s="22" t="s">
        <v>356</v>
      </c>
      <c r="AF12" s="10" t="s">
        <v>631</v>
      </c>
      <c r="AG12" s="10"/>
      <c r="AH12" s="10"/>
      <c r="AI12" s="10" t="s">
        <v>629</v>
      </c>
      <c r="AJ12" s="10"/>
      <c r="AK12" s="10" t="s">
        <v>610</v>
      </c>
    </row>
    <row r="13" spans="2:37" ht="24" x14ac:dyDescent="0.3">
      <c r="B13" s="134">
        <v>24</v>
      </c>
      <c r="C13" s="134" t="s">
        <v>279</v>
      </c>
      <c r="D13" s="134" t="s">
        <v>45</v>
      </c>
      <c r="E13" s="134" t="s">
        <v>46</v>
      </c>
      <c r="F13" s="134" t="s">
        <v>357</v>
      </c>
      <c r="G13" s="135" t="s">
        <v>358</v>
      </c>
      <c r="H13" s="125" t="s">
        <v>105</v>
      </c>
      <c r="I13" s="125" t="s">
        <v>50</v>
      </c>
      <c r="J13" s="125" t="s">
        <v>51</v>
      </c>
      <c r="K13" s="125" t="s">
        <v>52</v>
      </c>
      <c r="L13" s="125">
        <v>1</v>
      </c>
      <c r="M13" s="125"/>
      <c r="N13" s="126" t="s">
        <v>359</v>
      </c>
      <c r="O13" s="127" t="s">
        <v>360</v>
      </c>
      <c r="P13" s="127"/>
      <c r="Q13" s="128"/>
      <c r="R13" s="129" t="s">
        <v>92</v>
      </c>
      <c r="S13" s="129" t="s">
        <v>279</v>
      </c>
      <c r="T13" s="129" t="s">
        <v>56</v>
      </c>
      <c r="U13" s="129" t="s">
        <v>68</v>
      </c>
      <c r="V13" s="129" t="s">
        <v>58</v>
      </c>
      <c r="W13" s="136"/>
      <c r="X13" s="136" t="s">
        <v>304</v>
      </c>
      <c r="Y13" s="136" t="s">
        <v>361</v>
      </c>
      <c r="Z13" s="136" t="s">
        <v>362</v>
      </c>
      <c r="AA13" s="136" t="s">
        <v>126</v>
      </c>
      <c r="AB13" s="137">
        <v>3</v>
      </c>
      <c r="AC13" s="132" t="s">
        <v>195</v>
      </c>
      <c r="AD13" s="132" t="s">
        <v>114</v>
      </c>
      <c r="AE13" s="133" t="s">
        <v>363</v>
      </c>
      <c r="AF13" s="10" t="s">
        <v>549</v>
      </c>
      <c r="AG13" s="10" t="s">
        <v>541</v>
      </c>
      <c r="AH13" s="10" t="s">
        <v>541</v>
      </c>
      <c r="AI13" s="10" t="s">
        <v>550</v>
      </c>
      <c r="AJ13" s="10" t="s">
        <v>541</v>
      </c>
      <c r="AK13" s="10" t="s">
        <v>611</v>
      </c>
    </row>
    <row r="14" spans="2:37" ht="60" x14ac:dyDescent="0.3">
      <c r="B14" s="31">
        <v>26</v>
      </c>
      <c r="C14" s="31" t="s">
        <v>279</v>
      </c>
      <c r="D14" s="31" t="s">
        <v>45</v>
      </c>
      <c r="E14" s="31" t="s">
        <v>46</v>
      </c>
      <c r="F14" s="31" t="s">
        <v>364</v>
      </c>
      <c r="G14" s="32" t="s">
        <v>365</v>
      </c>
      <c r="H14" s="10" t="s">
        <v>105</v>
      </c>
      <c r="I14" s="10" t="s">
        <v>50</v>
      </c>
      <c r="J14" s="10" t="s">
        <v>51</v>
      </c>
      <c r="K14" s="10" t="s">
        <v>52</v>
      </c>
      <c r="L14" s="10">
        <v>1</v>
      </c>
      <c r="M14" s="10"/>
      <c r="N14" s="11" t="s">
        <v>366</v>
      </c>
      <c r="O14" s="30" t="s">
        <v>367</v>
      </c>
      <c r="P14" s="30"/>
      <c r="Q14" s="12"/>
      <c r="R14" s="4" t="s">
        <v>92</v>
      </c>
      <c r="S14" s="4" t="s">
        <v>279</v>
      </c>
      <c r="T14" s="4" t="s">
        <v>56</v>
      </c>
      <c r="U14" s="4" t="s">
        <v>68</v>
      </c>
      <c r="V14" s="4" t="s">
        <v>58</v>
      </c>
      <c r="W14" s="20" t="s">
        <v>368</v>
      </c>
      <c r="X14" s="20" t="s">
        <v>304</v>
      </c>
      <c r="Y14" s="20" t="s">
        <v>369</v>
      </c>
      <c r="Z14" s="20"/>
      <c r="AA14" s="5" t="s">
        <v>112</v>
      </c>
      <c r="AB14" s="61">
        <v>1</v>
      </c>
      <c r="AC14" s="7" t="s">
        <v>169</v>
      </c>
      <c r="AD14" s="7" t="s">
        <v>289</v>
      </c>
      <c r="AE14" s="81" t="s">
        <v>370</v>
      </c>
      <c r="AF14" s="10" t="s">
        <v>551</v>
      </c>
      <c r="AG14" s="10" t="s">
        <v>541</v>
      </c>
      <c r="AH14" s="10" t="s">
        <v>541</v>
      </c>
      <c r="AI14" s="10" t="s">
        <v>552</v>
      </c>
      <c r="AJ14" s="10" t="s">
        <v>541</v>
      </c>
      <c r="AK14" s="10" t="s">
        <v>612</v>
      </c>
    </row>
    <row r="15" spans="2:37" ht="84" x14ac:dyDescent="0.3">
      <c r="B15" s="31">
        <v>27</v>
      </c>
      <c r="C15" s="31" t="s">
        <v>279</v>
      </c>
      <c r="D15" s="31" t="s">
        <v>45</v>
      </c>
      <c r="E15" s="31" t="s">
        <v>46</v>
      </c>
      <c r="F15" s="31" t="s">
        <v>371</v>
      </c>
      <c r="G15" s="32" t="s">
        <v>372</v>
      </c>
      <c r="H15" s="10" t="s">
        <v>105</v>
      </c>
      <c r="I15" s="10" t="s">
        <v>50</v>
      </c>
      <c r="J15" s="10" t="s">
        <v>144</v>
      </c>
      <c r="K15" s="10" t="s">
        <v>52</v>
      </c>
      <c r="L15" s="10">
        <v>1</v>
      </c>
      <c r="M15" s="10"/>
      <c r="N15" s="11" t="s">
        <v>373</v>
      </c>
      <c r="O15" s="30" t="s">
        <v>374</v>
      </c>
      <c r="P15" s="30"/>
      <c r="Q15" s="12"/>
      <c r="R15" s="4" t="s">
        <v>92</v>
      </c>
      <c r="S15" s="4" t="s">
        <v>279</v>
      </c>
      <c r="T15" s="4" t="s">
        <v>375</v>
      </c>
      <c r="U15" s="4" t="s">
        <v>110</v>
      </c>
      <c r="V15" s="4" t="s">
        <v>58</v>
      </c>
      <c r="W15" s="62" t="s">
        <v>376</v>
      </c>
      <c r="X15" s="62" t="s">
        <v>304</v>
      </c>
      <c r="Y15" s="62" t="s">
        <v>377</v>
      </c>
      <c r="Z15" s="62"/>
      <c r="AA15" s="62" t="s">
        <v>142</v>
      </c>
      <c r="AB15" s="63">
        <v>5</v>
      </c>
      <c r="AC15" s="22" t="s">
        <v>243</v>
      </c>
      <c r="AD15" s="64" t="s">
        <v>378</v>
      </c>
      <c r="AE15" s="81" t="s">
        <v>379</v>
      </c>
      <c r="AF15" s="10" t="s">
        <v>553</v>
      </c>
      <c r="AG15" s="10"/>
      <c r="AH15" s="10"/>
      <c r="AI15" s="10"/>
      <c r="AJ15" s="10"/>
      <c r="AK15" s="10"/>
    </row>
    <row r="16" spans="2:37" ht="48" x14ac:dyDescent="0.3">
      <c r="B16" s="31">
        <v>29</v>
      </c>
      <c r="C16" s="31" t="s">
        <v>279</v>
      </c>
      <c r="D16" s="31" t="s">
        <v>45</v>
      </c>
      <c r="E16" s="31" t="s">
        <v>46</v>
      </c>
      <c r="F16" s="31" t="s">
        <v>380</v>
      </c>
      <c r="G16" s="32" t="s">
        <v>381</v>
      </c>
      <c r="H16" s="10" t="s">
        <v>105</v>
      </c>
      <c r="I16" s="10" t="s">
        <v>106</v>
      </c>
      <c r="J16" s="10" t="s">
        <v>51</v>
      </c>
      <c r="K16" s="10" t="s">
        <v>52</v>
      </c>
      <c r="L16" s="10">
        <v>1</v>
      </c>
      <c r="M16" s="10"/>
      <c r="N16" s="11" t="s">
        <v>382</v>
      </c>
      <c r="O16" s="30" t="s">
        <v>383</v>
      </c>
      <c r="P16" s="30"/>
      <c r="Q16" s="12"/>
      <c r="R16" s="4" t="s">
        <v>92</v>
      </c>
      <c r="S16" s="4" t="s">
        <v>279</v>
      </c>
      <c r="T16" s="4" t="s">
        <v>56</v>
      </c>
      <c r="U16" s="4" t="s">
        <v>68</v>
      </c>
      <c r="V16" s="4" t="s">
        <v>58</v>
      </c>
      <c r="W16" s="20" t="s">
        <v>384</v>
      </c>
      <c r="X16" s="20" t="s">
        <v>304</v>
      </c>
      <c r="Y16" s="20" t="s">
        <v>385</v>
      </c>
      <c r="Z16" s="20"/>
      <c r="AA16" s="20" t="s">
        <v>126</v>
      </c>
      <c r="AB16" s="61">
        <v>3</v>
      </c>
      <c r="AC16" s="7" t="s">
        <v>113</v>
      </c>
      <c r="AD16" s="7" t="s">
        <v>114</v>
      </c>
      <c r="AE16" s="81" t="s">
        <v>386</v>
      </c>
      <c r="AF16" s="10" t="s">
        <v>555</v>
      </c>
      <c r="AG16" s="10" t="s">
        <v>541</v>
      </c>
      <c r="AH16" s="10" t="s">
        <v>541</v>
      </c>
      <c r="AI16" s="10" t="s">
        <v>556</v>
      </c>
      <c r="AJ16" s="10" t="s">
        <v>541</v>
      </c>
      <c r="AK16" s="10" t="s">
        <v>613</v>
      </c>
    </row>
    <row r="17" spans="2:37" ht="60" x14ac:dyDescent="0.3">
      <c r="B17" s="31">
        <v>31</v>
      </c>
      <c r="C17" s="31" t="s">
        <v>279</v>
      </c>
      <c r="D17" s="31" t="s">
        <v>45</v>
      </c>
      <c r="E17" s="31" t="s">
        <v>46</v>
      </c>
      <c r="F17" s="31" t="s">
        <v>387</v>
      </c>
      <c r="G17" s="32" t="s">
        <v>388</v>
      </c>
      <c r="H17" s="10" t="s">
        <v>105</v>
      </c>
      <c r="I17" s="10" t="s">
        <v>106</v>
      </c>
      <c r="J17" s="10" t="s">
        <v>51</v>
      </c>
      <c r="K17" s="10" t="s">
        <v>52</v>
      </c>
      <c r="L17" s="10">
        <v>1</v>
      </c>
      <c r="M17" s="10"/>
      <c r="N17" s="11" t="s">
        <v>389</v>
      </c>
      <c r="O17" s="30" t="s">
        <v>390</v>
      </c>
      <c r="P17" s="30"/>
      <c r="Q17" s="12"/>
      <c r="R17" s="4" t="s">
        <v>92</v>
      </c>
      <c r="S17" s="4" t="s">
        <v>279</v>
      </c>
      <c r="T17" s="4" t="s">
        <v>56</v>
      </c>
      <c r="U17" s="4" t="s">
        <v>68</v>
      </c>
      <c r="V17" s="4" t="s">
        <v>58</v>
      </c>
      <c r="W17" s="20" t="s">
        <v>391</v>
      </c>
      <c r="X17" s="20" t="s">
        <v>304</v>
      </c>
      <c r="Y17" s="20" t="s">
        <v>392</v>
      </c>
      <c r="Z17" s="20"/>
      <c r="AA17" s="5" t="s">
        <v>112</v>
      </c>
      <c r="AB17" s="61">
        <v>1</v>
      </c>
      <c r="AC17" s="7" t="s">
        <v>113</v>
      </c>
      <c r="AD17" s="7" t="s">
        <v>114</v>
      </c>
      <c r="AE17" s="81" t="s">
        <v>393</v>
      </c>
      <c r="AF17" s="10" t="s">
        <v>559</v>
      </c>
      <c r="AG17" s="10" t="s">
        <v>541</v>
      </c>
      <c r="AH17" s="10" t="s">
        <v>541</v>
      </c>
      <c r="AI17" s="10" t="s">
        <v>560</v>
      </c>
      <c r="AJ17" s="10" t="s">
        <v>541</v>
      </c>
      <c r="AK17" s="10" t="s">
        <v>614</v>
      </c>
    </row>
    <row r="18" spans="2:37" ht="120" x14ac:dyDescent="0.3">
      <c r="B18" s="31">
        <v>32</v>
      </c>
      <c r="C18" s="31" t="s">
        <v>279</v>
      </c>
      <c r="D18" s="31" t="s">
        <v>45</v>
      </c>
      <c r="E18" s="31" t="s">
        <v>46</v>
      </c>
      <c r="F18" s="31" t="s">
        <v>394</v>
      </c>
      <c r="G18" s="32" t="s">
        <v>395</v>
      </c>
      <c r="H18" s="10" t="s">
        <v>105</v>
      </c>
      <c r="I18" s="10" t="s">
        <v>50</v>
      </c>
      <c r="J18" s="10" t="s">
        <v>51</v>
      </c>
      <c r="K18" s="10" t="s">
        <v>52</v>
      </c>
      <c r="L18" s="10">
        <v>2</v>
      </c>
      <c r="M18" s="10"/>
      <c r="N18" s="11" t="s">
        <v>396</v>
      </c>
      <c r="O18" s="30" t="s">
        <v>397</v>
      </c>
      <c r="P18" s="30"/>
      <c r="Q18" s="12"/>
      <c r="R18" s="4" t="s">
        <v>92</v>
      </c>
      <c r="S18" s="4" t="s">
        <v>279</v>
      </c>
      <c r="T18" s="4" t="s">
        <v>56</v>
      </c>
      <c r="U18" s="4" t="s">
        <v>68</v>
      </c>
      <c r="V18" s="4" t="s">
        <v>58</v>
      </c>
      <c r="W18" s="20" t="s">
        <v>398</v>
      </c>
      <c r="X18" s="20" t="s">
        <v>304</v>
      </c>
      <c r="Y18" s="20" t="s">
        <v>399</v>
      </c>
      <c r="Z18" s="20"/>
      <c r="AA18" s="5" t="s">
        <v>112</v>
      </c>
      <c r="AB18" s="61">
        <v>1</v>
      </c>
      <c r="AC18" s="7" t="s">
        <v>113</v>
      </c>
      <c r="AD18" s="7" t="s">
        <v>114</v>
      </c>
      <c r="AE18" s="81" t="s">
        <v>400</v>
      </c>
      <c r="AF18" s="10" t="s">
        <v>557</v>
      </c>
      <c r="AG18" s="10" t="s">
        <v>541</v>
      </c>
      <c r="AH18" s="10" t="s">
        <v>541</v>
      </c>
      <c r="AI18" s="10" t="s">
        <v>558</v>
      </c>
      <c r="AJ18" s="10" t="s">
        <v>541</v>
      </c>
      <c r="AK18" s="10" t="s">
        <v>615</v>
      </c>
    </row>
    <row r="19" spans="2:37" ht="24" x14ac:dyDescent="0.3">
      <c r="B19" s="31">
        <v>33</v>
      </c>
      <c r="C19" s="31" t="s">
        <v>279</v>
      </c>
      <c r="D19" s="31" t="s">
        <v>45</v>
      </c>
      <c r="E19" s="31" t="s">
        <v>46</v>
      </c>
      <c r="F19" s="31" t="s">
        <v>401</v>
      </c>
      <c r="G19" s="32" t="s">
        <v>402</v>
      </c>
      <c r="H19" s="10" t="s">
        <v>105</v>
      </c>
      <c r="I19" s="10" t="s">
        <v>50</v>
      </c>
      <c r="J19" s="10" t="s">
        <v>51</v>
      </c>
      <c r="K19" s="10" t="s">
        <v>52</v>
      </c>
      <c r="L19" s="10">
        <v>2</v>
      </c>
      <c r="M19" s="10"/>
      <c r="N19" s="11" t="s">
        <v>403</v>
      </c>
      <c r="O19" s="30" t="s">
        <v>404</v>
      </c>
      <c r="P19" s="30"/>
      <c r="Q19" s="12"/>
      <c r="R19" s="4" t="s">
        <v>92</v>
      </c>
      <c r="S19" s="4" t="s">
        <v>279</v>
      </c>
      <c r="T19" s="4" t="s">
        <v>56</v>
      </c>
      <c r="U19" s="4" t="s">
        <v>68</v>
      </c>
      <c r="V19" s="4" t="s">
        <v>58</v>
      </c>
      <c r="W19" s="58"/>
      <c r="X19" s="20" t="s">
        <v>304</v>
      </c>
      <c r="Y19" s="58" t="s">
        <v>405</v>
      </c>
      <c r="Z19" s="58"/>
      <c r="AA19" s="5" t="s">
        <v>112</v>
      </c>
      <c r="AB19" s="59">
        <v>1</v>
      </c>
      <c r="AC19" s="7" t="s">
        <v>169</v>
      </c>
      <c r="AD19" s="7" t="s">
        <v>114</v>
      </c>
      <c r="AE19" s="81" t="s">
        <v>406</v>
      </c>
      <c r="AF19" s="10" t="s">
        <v>563</v>
      </c>
      <c r="AG19" s="10" t="s">
        <v>541</v>
      </c>
      <c r="AH19" s="10" t="s">
        <v>541</v>
      </c>
      <c r="AI19" s="10" t="s">
        <v>564</v>
      </c>
      <c r="AJ19" s="10" t="s">
        <v>541</v>
      </c>
      <c r="AK19" s="10" t="s">
        <v>616</v>
      </c>
    </row>
    <row r="20" spans="2:37" ht="36" x14ac:dyDescent="0.3">
      <c r="B20" s="98">
        <v>34</v>
      </c>
      <c r="C20" s="98" t="s">
        <v>279</v>
      </c>
      <c r="D20" s="98" t="s">
        <v>45</v>
      </c>
      <c r="E20" s="98" t="s">
        <v>46</v>
      </c>
      <c r="F20" s="98" t="s">
        <v>407</v>
      </c>
      <c r="G20" s="99" t="s">
        <v>408</v>
      </c>
      <c r="H20" s="91" t="s">
        <v>105</v>
      </c>
      <c r="I20" s="91" t="s">
        <v>106</v>
      </c>
      <c r="J20" s="91" t="s">
        <v>51</v>
      </c>
      <c r="K20" s="91" t="s">
        <v>52</v>
      </c>
      <c r="L20" s="91">
        <v>1</v>
      </c>
      <c r="M20" s="91"/>
      <c r="N20" s="92" t="s">
        <v>409</v>
      </c>
      <c r="O20" s="93" t="s">
        <v>410</v>
      </c>
      <c r="P20" s="93" t="s">
        <v>411</v>
      </c>
      <c r="Q20" s="94"/>
      <c r="R20" s="95" t="s">
        <v>92</v>
      </c>
      <c r="S20" s="95" t="s">
        <v>279</v>
      </c>
      <c r="T20" s="95" t="s">
        <v>56</v>
      </c>
      <c r="U20" s="95" t="s">
        <v>68</v>
      </c>
      <c r="V20" s="95" t="s">
        <v>58</v>
      </c>
      <c r="W20" s="100" t="s">
        <v>412</v>
      </c>
      <c r="X20" s="100" t="s">
        <v>304</v>
      </c>
      <c r="Y20" s="100" t="s">
        <v>413</v>
      </c>
      <c r="Z20" s="100"/>
      <c r="AA20" s="100" t="s">
        <v>112</v>
      </c>
      <c r="AB20" s="101">
        <v>1</v>
      </c>
      <c r="AC20" s="102" t="s">
        <v>62</v>
      </c>
      <c r="AD20" s="103" t="s">
        <v>414</v>
      </c>
      <c r="AE20" s="104" t="s">
        <v>415</v>
      </c>
      <c r="AF20" s="10" t="s">
        <v>561</v>
      </c>
      <c r="AG20" s="10" t="s">
        <v>541</v>
      </c>
      <c r="AH20" s="10" t="s">
        <v>541</v>
      </c>
      <c r="AI20" s="10" t="s">
        <v>562</v>
      </c>
      <c r="AJ20" s="10" t="s">
        <v>541</v>
      </c>
      <c r="AK20" s="10" t="s">
        <v>415</v>
      </c>
    </row>
    <row r="21" spans="2:37" ht="36" x14ac:dyDescent="0.3">
      <c r="B21" s="31">
        <v>36</v>
      </c>
      <c r="C21" s="31" t="s">
        <v>279</v>
      </c>
      <c r="D21" s="31" t="s">
        <v>45</v>
      </c>
      <c r="E21" s="31" t="s">
        <v>46</v>
      </c>
      <c r="F21" s="31" t="s">
        <v>416</v>
      </c>
      <c r="G21" s="32" t="s">
        <v>417</v>
      </c>
      <c r="H21" s="10" t="s">
        <v>105</v>
      </c>
      <c r="I21" s="10" t="s">
        <v>106</v>
      </c>
      <c r="J21" s="10" t="s">
        <v>51</v>
      </c>
      <c r="K21" s="10" t="s">
        <v>52</v>
      </c>
      <c r="L21" s="10">
        <v>1</v>
      </c>
      <c r="M21" s="10"/>
      <c r="N21" s="11" t="s">
        <v>418</v>
      </c>
      <c r="O21" s="30" t="s">
        <v>419</v>
      </c>
      <c r="P21" s="30"/>
      <c r="Q21" s="12"/>
      <c r="R21" s="4" t="s">
        <v>92</v>
      </c>
      <c r="S21" s="4" t="s">
        <v>279</v>
      </c>
      <c r="T21" s="4" t="s">
        <v>56</v>
      </c>
      <c r="U21" s="4" t="s">
        <v>110</v>
      </c>
      <c r="V21" s="4" t="s">
        <v>58</v>
      </c>
      <c r="W21" s="5" t="s">
        <v>420</v>
      </c>
      <c r="X21" s="5" t="s">
        <v>421</v>
      </c>
      <c r="Y21" s="5" t="s">
        <v>422</v>
      </c>
      <c r="Z21" s="5" t="s">
        <v>423</v>
      </c>
      <c r="AA21" s="5" t="s">
        <v>112</v>
      </c>
      <c r="AB21" s="6">
        <v>1</v>
      </c>
      <c r="AC21" s="7" t="s">
        <v>113</v>
      </c>
      <c r="AD21" s="7" t="s">
        <v>424</v>
      </c>
      <c r="AE21" s="22" t="s">
        <v>425</v>
      </c>
      <c r="AF21" s="10" t="s">
        <v>637</v>
      </c>
      <c r="AG21" s="10"/>
      <c r="AH21" s="10"/>
      <c r="AI21" s="10" t="s">
        <v>638</v>
      </c>
      <c r="AJ21" s="10"/>
      <c r="AK21" s="10" t="s">
        <v>617</v>
      </c>
    </row>
    <row r="22" spans="2:37" ht="48" x14ac:dyDescent="0.3">
      <c r="B22" s="138">
        <v>37</v>
      </c>
      <c r="C22" s="138" t="s">
        <v>279</v>
      </c>
      <c r="D22" s="138" t="s">
        <v>45</v>
      </c>
      <c r="E22" s="138" t="s">
        <v>46</v>
      </c>
      <c r="F22" s="138" t="s">
        <v>426</v>
      </c>
      <c r="G22" s="139" t="s">
        <v>427</v>
      </c>
      <c r="H22" s="112" t="s">
        <v>105</v>
      </c>
      <c r="I22" s="112" t="s">
        <v>106</v>
      </c>
      <c r="J22" s="112" t="s">
        <v>51</v>
      </c>
      <c r="K22" s="112" t="s">
        <v>52</v>
      </c>
      <c r="L22" s="112">
        <v>1</v>
      </c>
      <c r="M22" s="112"/>
      <c r="N22" s="113" t="s">
        <v>428</v>
      </c>
      <c r="O22" s="114" t="s">
        <v>429</v>
      </c>
      <c r="P22" s="114"/>
      <c r="Q22" s="115"/>
      <c r="R22" s="116" t="s">
        <v>92</v>
      </c>
      <c r="S22" s="116" t="s">
        <v>279</v>
      </c>
      <c r="T22" s="116" t="s">
        <v>56</v>
      </c>
      <c r="U22" s="116" t="s">
        <v>110</v>
      </c>
      <c r="V22" s="116" t="s">
        <v>58</v>
      </c>
      <c r="W22" s="140" t="s">
        <v>430</v>
      </c>
      <c r="X22" s="140" t="s">
        <v>304</v>
      </c>
      <c r="Y22" s="140" t="s">
        <v>431</v>
      </c>
      <c r="Z22" s="140"/>
      <c r="AA22" s="141" t="s">
        <v>112</v>
      </c>
      <c r="AB22" s="142">
        <v>1</v>
      </c>
      <c r="AC22" s="143" t="s">
        <v>62</v>
      </c>
      <c r="AD22" s="143" t="s">
        <v>114</v>
      </c>
      <c r="AE22" s="144" t="s">
        <v>432</v>
      </c>
      <c r="AF22" s="10" t="s">
        <v>565</v>
      </c>
      <c r="AG22" s="10" t="s">
        <v>541</v>
      </c>
      <c r="AH22" s="10" t="s">
        <v>541</v>
      </c>
      <c r="AI22" s="10" t="s">
        <v>566</v>
      </c>
      <c r="AJ22" s="10" t="s">
        <v>541</v>
      </c>
      <c r="AK22" s="10" t="s">
        <v>618</v>
      </c>
    </row>
    <row r="23" spans="2:37" ht="24" x14ac:dyDescent="0.3">
      <c r="B23" s="28">
        <v>40</v>
      </c>
      <c r="C23" s="28" t="s">
        <v>279</v>
      </c>
      <c r="D23" s="28" t="s">
        <v>45</v>
      </c>
      <c r="E23" s="28" t="s">
        <v>46</v>
      </c>
      <c r="F23" s="28" t="s">
        <v>433</v>
      </c>
      <c r="G23" s="29" t="s">
        <v>434</v>
      </c>
      <c r="H23" s="10" t="s">
        <v>49</v>
      </c>
      <c r="I23" s="10" t="s">
        <v>50</v>
      </c>
      <c r="J23" s="10" t="s">
        <v>112</v>
      </c>
      <c r="K23" s="10" t="s">
        <v>52</v>
      </c>
      <c r="L23" s="10">
        <v>1</v>
      </c>
      <c r="M23" s="10"/>
      <c r="N23" s="11" t="s">
        <v>435</v>
      </c>
      <c r="O23" s="30" t="s">
        <v>436</v>
      </c>
      <c r="P23" s="30" t="s">
        <v>437</v>
      </c>
      <c r="Q23" s="12"/>
      <c r="R23" s="4" t="s">
        <v>196</v>
      </c>
      <c r="S23" s="4" t="s">
        <v>5</v>
      </c>
      <c r="T23" s="4" t="s">
        <v>142</v>
      </c>
      <c r="U23" s="4"/>
      <c r="V23" s="4"/>
      <c r="W23" s="5"/>
      <c r="X23" s="5" t="s">
        <v>286</v>
      </c>
      <c r="Y23" s="5" t="s">
        <v>438</v>
      </c>
      <c r="Z23" s="5" t="s">
        <v>439</v>
      </c>
      <c r="AA23" s="5" t="s">
        <v>142</v>
      </c>
      <c r="AB23" s="6">
        <v>5</v>
      </c>
      <c r="AC23" s="7"/>
      <c r="AD23" s="7"/>
      <c r="AE23" s="22"/>
      <c r="AF23" s="10" t="s">
        <v>582</v>
      </c>
      <c r="AG23" s="10" t="s">
        <v>583</v>
      </c>
      <c r="AH23" s="10" t="s">
        <v>583</v>
      </c>
      <c r="AI23" s="10" t="s">
        <v>584</v>
      </c>
      <c r="AJ23" s="10" t="s">
        <v>541</v>
      </c>
      <c r="AK23" s="10" t="s">
        <v>619</v>
      </c>
    </row>
    <row r="24" spans="2:37" x14ac:dyDescent="0.3">
      <c r="B24" s="48">
        <v>41</v>
      </c>
      <c r="C24" s="48" t="s">
        <v>5</v>
      </c>
      <c r="D24" s="48" t="s">
        <v>45</v>
      </c>
      <c r="E24" s="49" t="s">
        <v>46</v>
      </c>
      <c r="F24" s="48" t="s">
        <v>497</v>
      </c>
      <c r="G24" s="57" t="s">
        <v>585</v>
      </c>
      <c r="H24" s="48" t="s">
        <v>105</v>
      </c>
      <c r="I24" s="51"/>
      <c r="J24" s="48" t="s">
        <v>273</v>
      </c>
      <c r="K24" s="51"/>
      <c r="L24" s="48"/>
      <c r="M24" s="51"/>
      <c r="N24" s="51"/>
      <c r="O24" s="48"/>
      <c r="P24" s="48" t="s">
        <v>498</v>
      </c>
      <c r="Q24" s="12"/>
      <c r="R24" s="12" t="s">
        <v>122</v>
      </c>
      <c r="S24" s="12" t="s">
        <v>279</v>
      </c>
      <c r="T24" s="12" t="s">
        <v>144</v>
      </c>
      <c r="U24" s="12" t="s">
        <v>110</v>
      </c>
      <c r="V24" s="12" t="s">
        <v>161</v>
      </c>
      <c r="W24" s="12" t="s">
        <v>499</v>
      </c>
      <c r="X24" s="12" t="s">
        <v>496</v>
      </c>
      <c r="Y24" s="12" t="s">
        <v>500</v>
      </c>
      <c r="Z24" s="74" t="s">
        <v>501</v>
      </c>
      <c r="AA24" s="12" t="s">
        <v>502</v>
      </c>
      <c r="AB24" s="12">
        <v>5</v>
      </c>
      <c r="AC24" s="12" t="s">
        <v>503</v>
      </c>
      <c r="AD24" s="12" t="s">
        <v>114</v>
      </c>
      <c r="AE24" s="12" t="s">
        <v>45</v>
      </c>
      <c r="AF24" s="10" t="s">
        <v>586</v>
      </c>
      <c r="AG24" s="10" t="s">
        <v>541</v>
      </c>
      <c r="AH24" s="10" t="s">
        <v>541</v>
      </c>
      <c r="AI24" s="10" t="s">
        <v>541</v>
      </c>
      <c r="AJ24" s="10" t="s">
        <v>541</v>
      </c>
      <c r="AK24" s="10" t="s">
        <v>620</v>
      </c>
    </row>
    <row r="25" spans="2:37" x14ac:dyDescent="0.3">
      <c r="B25" s="48">
        <v>42</v>
      </c>
      <c r="C25" s="48" t="s">
        <v>5</v>
      </c>
      <c r="D25" s="48" t="s">
        <v>45</v>
      </c>
      <c r="E25" s="49" t="s">
        <v>46</v>
      </c>
      <c r="F25" s="48" t="s">
        <v>504</v>
      </c>
      <c r="G25" s="57" t="s">
        <v>505</v>
      </c>
      <c r="H25" s="48" t="s">
        <v>105</v>
      </c>
      <c r="I25" s="51"/>
      <c r="J25" s="48" t="s">
        <v>273</v>
      </c>
      <c r="K25" s="51"/>
      <c r="L25" s="48"/>
      <c r="M25" s="51"/>
      <c r="N25" s="51"/>
      <c r="O25" s="48"/>
      <c r="P25" s="48" t="s">
        <v>143</v>
      </c>
      <c r="Q25" s="12"/>
      <c r="R25" s="12" t="s">
        <v>122</v>
      </c>
      <c r="S25" s="12" t="s">
        <v>279</v>
      </c>
      <c r="T25" s="12" t="s">
        <v>144</v>
      </c>
      <c r="U25" s="12" t="s">
        <v>110</v>
      </c>
      <c r="V25" s="12" t="s">
        <v>161</v>
      </c>
      <c r="W25" s="12" t="s">
        <v>506</v>
      </c>
      <c r="X25" s="12" t="s">
        <v>496</v>
      </c>
      <c r="Y25" s="12" t="s">
        <v>500</v>
      </c>
      <c r="Z25" s="74" t="s">
        <v>501</v>
      </c>
      <c r="AA25" s="12" t="s">
        <v>502</v>
      </c>
      <c r="AB25" s="12">
        <v>5</v>
      </c>
      <c r="AC25" s="12" t="s">
        <v>503</v>
      </c>
      <c r="AD25" s="12" t="s">
        <v>114</v>
      </c>
      <c r="AE25" s="12" t="s">
        <v>45</v>
      </c>
      <c r="AF25" s="10" t="s">
        <v>587</v>
      </c>
      <c r="AG25" s="10" t="s">
        <v>541</v>
      </c>
      <c r="AH25" s="10" t="s">
        <v>541</v>
      </c>
      <c r="AI25" s="10" t="s">
        <v>541</v>
      </c>
      <c r="AJ25" s="10" t="s">
        <v>541</v>
      </c>
      <c r="AK25" s="10" t="s">
        <v>620</v>
      </c>
    </row>
    <row r="26" spans="2:37" x14ac:dyDescent="0.3">
      <c r="B26" s="48">
        <v>43</v>
      </c>
      <c r="C26" s="48" t="s">
        <v>5</v>
      </c>
      <c r="D26" s="48" t="s">
        <v>45</v>
      </c>
      <c r="E26" s="49" t="s">
        <v>46</v>
      </c>
      <c r="F26" s="157" t="s">
        <v>508</v>
      </c>
      <c r="G26" s="158" t="s">
        <v>509</v>
      </c>
      <c r="H26" s="48" t="s">
        <v>105</v>
      </c>
      <c r="I26" s="51"/>
      <c r="J26" s="48" t="s">
        <v>273</v>
      </c>
      <c r="K26" s="51"/>
      <c r="L26" s="48"/>
      <c r="M26" s="51"/>
      <c r="N26" s="51"/>
      <c r="O26" s="48"/>
      <c r="P26" s="157" t="s">
        <v>143</v>
      </c>
      <c r="Q26" s="12"/>
      <c r="R26" s="12" t="s">
        <v>92</v>
      </c>
      <c r="S26" s="12" t="s">
        <v>279</v>
      </c>
      <c r="T26" s="12" t="s">
        <v>144</v>
      </c>
      <c r="U26" s="12" t="s">
        <v>68</v>
      </c>
      <c r="V26" s="12" t="s">
        <v>58</v>
      </c>
      <c r="W26" s="12" t="s">
        <v>510</v>
      </c>
      <c r="X26" s="12" t="s">
        <v>507</v>
      </c>
      <c r="Y26" s="12" t="s">
        <v>511</v>
      </c>
      <c r="Z26" s="12" t="s">
        <v>512</v>
      </c>
      <c r="AA26" s="12" t="s">
        <v>144</v>
      </c>
      <c r="AB26" s="12">
        <v>5</v>
      </c>
      <c r="AC26" s="12" t="s">
        <v>242</v>
      </c>
      <c r="AD26" s="12" t="s">
        <v>114</v>
      </c>
      <c r="AE26" s="12" t="s">
        <v>45</v>
      </c>
      <c r="AF26" s="10" t="s">
        <v>588</v>
      </c>
      <c r="AG26" s="10" t="s">
        <v>589</v>
      </c>
      <c r="AH26" s="10" t="s">
        <v>590</v>
      </c>
      <c r="AI26" s="10" t="s">
        <v>591</v>
      </c>
      <c r="AJ26" s="10" t="s">
        <v>541</v>
      </c>
      <c r="AK26" s="10" t="s">
        <v>621</v>
      </c>
    </row>
    <row r="27" spans="2:37" x14ac:dyDescent="0.3">
      <c r="B27" s="145">
        <v>44</v>
      </c>
      <c r="C27" s="146" t="s">
        <v>5</v>
      </c>
      <c r="D27" s="146" t="s">
        <v>45</v>
      </c>
      <c r="E27" s="147" t="s">
        <v>46</v>
      </c>
      <c r="F27" s="146" t="s">
        <v>513</v>
      </c>
      <c r="G27" s="148" t="s">
        <v>514</v>
      </c>
      <c r="H27" s="146"/>
      <c r="I27" s="149"/>
      <c r="J27" s="146"/>
      <c r="K27" s="149"/>
      <c r="L27" s="146"/>
      <c r="M27" s="149"/>
      <c r="N27" s="149"/>
      <c r="O27" s="150"/>
      <c r="P27" s="150" t="s">
        <v>515</v>
      </c>
      <c r="Q27" s="3"/>
      <c r="R27" s="129" t="s">
        <v>92</v>
      </c>
      <c r="S27" s="129" t="s">
        <v>279</v>
      </c>
      <c r="T27" s="129" t="s">
        <v>375</v>
      </c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51"/>
      <c r="AF27" s="10" t="s">
        <v>142</v>
      </c>
      <c r="AG27" s="10"/>
      <c r="AH27" s="10"/>
      <c r="AI27" s="10"/>
      <c r="AJ27" s="10"/>
      <c r="AK27" s="10"/>
    </row>
    <row r="28" spans="2:37" x14ac:dyDescent="0.3">
      <c r="B28" s="36">
        <v>46</v>
      </c>
      <c r="C28" s="37" t="s">
        <v>5</v>
      </c>
      <c r="D28" s="37" t="s">
        <v>45</v>
      </c>
      <c r="E28" s="38" t="s">
        <v>46</v>
      </c>
      <c r="F28" s="37" t="s">
        <v>516</v>
      </c>
      <c r="G28" s="39" t="s">
        <v>495</v>
      </c>
      <c r="H28" s="37" t="s">
        <v>92</v>
      </c>
      <c r="I28" s="40"/>
      <c r="J28" s="37" t="s">
        <v>273</v>
      </c>
      <c r="K28" s="40"/>
      <c r="L28" s="37"/>
      <c r="M28" s="40"/>
      <c r="N28" s="40"/>
      <c r="O28" s="41"/>
      <c r="P28" s="41" t="s">
        <v>143</v>
      </c>
      <c r="Q28" s="3"/>
      <c r="R28" s="4" t="s">
        <v>92</v>
      </c>
      <c r="S28" s="4" t="s">
        <v>279</v>
      </c>
      <c r="T28" s="4" t="s">
        <v>56</v>
      </c>
      <c r="U28" s="12"/>
      <c r="V28" s="12"/>
      <c r="W28" s="12"/>
      <c r="X28" s="12" t="s">
        <v>507</v>
      </c>
      <c r="Y28" s="12" t="s">
        <v>517</v>
      </c>
      <c r="Z28" s="12" t="s">
        <v>518</v>
      </c>
      <c r="AA28" s="12" t="s">
        <v>51</v>
      </c>
      <c r="AB28" s="12">
        <v>1</v>
      </c>
      <c r="AC28" s="12"/>
      <c r="AD28" s="12"/>
      <c r="AE28" s="82"/>
      <c r="AF28" s="10" t="s">
        <v>567</v>
      </c>
      <c r="AG28" s="10" t="s">
        <v>541</v>
      </c>
      <c r="AH28" s="10" t="s">
        <v>541</v>
      </c>
      <c r="AI28" s="10" t="s">
        <v>568</v>
      </c>
      <c r="AJ28" s="10" t="s">
        <v>541</v>
      </c>
      <c r="AK28" s="10" t="s">
        <v>622</v>
      </c>
    </row>
    <row r="29" spans="2:37" x14ac:dyDescent="0.3">
      <c r="B29" s="8">
        <v>101</v>
      </c>
      <c r="C29" s="8" t="s">
        <v>279</v>
      </c>
      <c r="D29" s="8" t="s">
        <v>440</v>
      </c>
      <c r="E29" s="8" t="s">
        <v>441</v>
      </c>
      <c r="F29" s="8" t="s">
        <v>442</v>
      </c>
      <c r="G29" s="71" t="s">
        <v>443</v>
      </c>
      <c r="H29" s="10" t="s">
        <v>92</v>
      </c>
      <c r="I29" s="10" t="s">
        <v>93</v>
      </c>
      <c r="J29" s="10" t="s">
        <v>51</v>
      </c>
      <c r="K29" s="10" t="s">
        <v>94</v>
      </c>
      <c r="L29" s="10"/>
      <c r="M29" s="10"/>
      <c r="N29" s="11"/>
      <c r="O29" s="11" t="s">
        <v>444</v>
      </c>
      <c r="P29" s="11"/>
      <c r="Q29" s="11"/>
      <c r="R29" s="4" t="s">
        <v>92</v>
      </c>
      <c r="S29" s="13" t="s">
        <v>279</v>
      </c>
      <c r="T29" s="4" t="s">
        <v>51</v>
      </c>
      <c r="U29" s="13" t="s">
        <v>57</v>
      </c>
      <c r="V29" s="13" t="s">
        <v>161</v>
      </c>
      <c r="W29" s="22"/>
      <c r="X29" s="14" t="s">
        <v>473</v>
      </c>
      <c r="Y29" s="14" t="s">
        <v>474</v>
      </c>
      <c r="Z29" s="15" t="s">
        <v>475</v>
      </c>
      <c r="AA29" s="16" t="s">
        <v>61</v>
      </c>
      <c r="AB29" s="17">
        <v>5</v>
      </c>
      <c r="AC29" s="18" t="s">
        <v>195</v>
      </c>
      <c r="AD29" s="18"/>
      <c r="AE29" s="80" t="s">
        <v>476</v>
      </c>
      <c r="AF29" s="10" t="s">
        <v>573</v>
      </c>
      <c r="AG29" s="10"/>
      <c r="AH29" s="10"/>
      <c r="AI29" s="10"/>
      <c r="AJ29" s="10"/>
      <c r="AK29" s="10" t="s">
        <v>574</v>
      </c>
    </row>
    <row r="30" spans="2:37" ht="192" x14ac:dyDescent="0.3">
      <c r="B30" s="8">
        <v>102</v>
      </c>
      <c r="C30" s="8" t="s">
        <v>279</v>
      </c>
      <c r="D30" s="8" t="s">
        <v>445</v>
      </c>
      <c r="E30" s="8" t="s">
        <v>72</v>
      </c>
      <c r="F30" s="8" t="s">
        <v>446</v>
      </c>
      <c r="G30" s="11" t="s">
        <v>447</v>
      </c>
      <c r="H30" s="10" t="s">
        <v>92</v>
      </c>
      <c r="I30" s="10" t="s">
        <v>93</v>
      </c>
      <c r="J30" s="10" t="s">
        <v>51</v>
      </c>
      <c r="K30" s="10" t="s">
        <v>94</v>
      </c>
      <c r="L30" s="10"/>
      <c r="M30" s="10"/>
      <c r="N30" s="11"/>
      <c r="O30" s="11" t="s">
        <v>79</v>
      </c>
      <c r="P30" s="11"/>
      <c r="Q30" s="11"/>
      <c r="R30" s="4" t="s">
        <v>92</v>
      </c>
      <c r="S30" s="13" t="s">
        <v>279</v>
      </c>
      <c r="T30" s="65" t="s">
        <v>142</v>
      </c>
      <c r="U30" s="13" t="s">
        <v>57</v>
      </c>
      <c r="V30" s="13" t="s">
        <v>58</v>
      </c>
      <c r="W30" s="5"/>
      <c r="X30" s="42" t="s">
        <v>304</v>
      </c>
      <c r="Y30" s="43" t="s">
        <v>477</v>
      </c>
      <c r="Z30" s="64" t="s">
        <v>478</v>
      </c>
      <c r="AA30" s="16" t="s">
        <v>61</v>
      </c>
      <c r="AB30" s="17">
        <v>5</v>
      </c>
      <c r="AC30" s="44" t="s">
        <v>163</v>
      </c>
      <c r="AD30" s="45"/>
      <c r="AE30" s="80" t="s">
        <v>479</v>
      </c>
      <c r="AF30" s="10" t="s">
        <v>569</v>
      </c>
      <c r="AG30" s="10" t="s">
        <v>541</v>
      </c>
      <c r="AH30" s="10" t="s">
        <v>570</v>
      </c>
      <c r="AI30" s="10" t="s">
        <v>571</v>
      </c>
      <c r="AJ30" s="10" t="s">
        <v>541</v>
      </c>
      <c r="AK30" s="10" t="s">
        <v>572</v>
      </c>
    </row>
    <row r="31" spans="2:37" x14ac:dyDescent="0.3">
      <c r="B31" s="89">
        <v>105</v>
      </c>
      <c r="C31" s="89" t="s">
        <v>279</v>
      </c>
      <c r="D31" s="89" t="s">
        <v>448</v>
      </c>
      <c r="E31" s="89" t="s">
        <v>72</v>
      </c>
      <c r="F31" s="89" t="s">
        <v>449</v>
      </c>
      <c r="G31" s="92" t="s">
        <v>450</v>
      </c>
      <c r="H31" s="91" t="s">
        <v>92</v>
      </c>
      <c r="I31" s="91" t="s">
        <v>93</v>
      </c>
      <c r="J31" s="91" t="s">
        <v>51</v>
      </c>
      <c r="K31" s="91" t="s">
        <v>94</v>
      </c>
      <c r="L31" s="91"/>
      <c r="M31" s="91"/>
      <c r="N31" s="92"/>
      <c r="O31" s="92" t="s">
        <v>79</v>
      </c>
      <c r="P31" s="92"/>
      <c r="Q31" s="92"/>
      <c r="R31" s="95" t="s">
        <v>92</v>
      </c>
      <c r="S31" s="96" t="s">
        <v>279</v>
      </c>
      <c r="T31" s="95" t="s">
        <v>51</v>
      </c>
      <c r="U31" s="96" t="s">
        <v>57</v>
      </c>
      <c r="V31" s="96" t="s">
        <v>161</v>
      </c>
      <c r="W31" s="100"/>
      <c r="X31" s="105" t="s">
        <v>473</v>
      </c>
      <c r="Y31" s="105" t="s">
        <v>480</v>
      </c>
      <c r="Z31" s="106" t="s">
        <v>96</v>
      </c>
      <c r="AA31" s="107" t="s">
        <v>61</v>
      </c>
      <c r="AB31" s="108">
        <v>5</v>
      </c>
      <c r="AC31" s="109" t="s">
        <v>97</v>
      </c>
      <c r="AD31" s="109"/>
      <c r="AE31" s="83" t="s">
        <v>476</v>
      </c>
      <c r="AF31" s="10" t="s">
        <v>575</v>
      </c>
      <c r="AG31" s="10"/>
      <c r="AH31" s="10"/>
      <c r="AI31" s="10"/>
      <c r="AJ31" s="10"/>
      <c r="AK31" s="10" t="s">
        <v>574</v>
      </c>
    </row>
    <row r="32" spans="2:37" ht="24" x14ac:dyDescent="0.3">
      <c r="B32" s="8">
        <v>106</v>
      </c>
      <c r="C32" s="8" t="s">
        <v>279</v>
      </c>
      <c r="D32" s="8" t="s">
        <v>451</v>
      </c>
      <c r="E32" s="8" t="s">
        <v>72</v>
      </c>
      <c r="F32" s="8" t="s">
        <v>452</v>
      </c>
      <c r="G32" s="11" t="s">
        <v>633</v>
      </c>
      <c r="H32" s="10" t="s">
        <v>75</v>
      </c>
      <c r="I32" s="10" t="s">
        <v>93</v>
      </c>
      <c r="J32" s="10" t="s">
        <v>51</v>
      </c>
      <c r="K32" s="10" t="s">
        <v>94</v>
      </c>
      <c r="L32" s="10"/>
      <c r="M32" s="10"/>
      <c r="N32" s="11"/>
      <c r="O32" s="11" t="s">
        <v>79</v>
      </c>
      <c r="P32" s="11"/>
      <c r="Q32" s="11"/>
      <c r="R32" s="4" t="s">
        <v>75</v>
      </c>
      <c r="S32" s="13" t="s">
        <v>279</v>
      </c>
      <c r="T32" s="4" t="s">
        <v>51</v>
      </c>
      <c r="U32" s="13" t="s">
        <v>57</v>
      </c>
      <c r="V32" s="13" t="s">
        <v>58</v>
      </c>
      <c r="W32" s="22"/>
      <c r="X32" s="14" t="s">
        <v>421</v>
      </c>
      <c r="Y32" s="14" t="s">
        <v>481</v>
      </c>
      <c r="Z32" s="15" t="s">
        <v>482</v>
      </c>
      <c r="AA32" s="16" t="s">
        <v>126</v>
      </c>
      <c r="AB32" s="17">
        <v>3</v>
      </c>
      <c r="AC32" s="18" t="s">
        <v>97</v>
      </c>
      <c r="AD32" s="18"/>
      <c r="AE32" s="19" t="s">
        <v>483</v>
      </c>
      <c r="AF32" s="10"/>
      <c r="AG32" s="10"/>
      <c r="AH32" s="10"/>
      <c r="AI32" s="10"/>
      <c r="AJ32" s="10"/>
      <c r="AK32" s="10" t="s">
        <v>623</v>
      </c>
    </row>
    <row r="33" spans="2:37" ht="72" x14ac:dyDescent="0.3">
      <c r="B33" s="8">
        <v>107</v>
      </c>
      <c r="C33" s="8" t="s">
        <v>279</v>
      </c>
      <c r="D33" s="8" t="s">
        <v>453</v>
      </c>
      <c r="E33" s="8" t="s">
        <v>72</v>
      </c>
      <c r="F33" s="8" t="s">
        <v>454</v>
      </c>
      <c r="G33" s="11" t="s">
        <v>455</v>
      </c>
      <c r="H33" s="10" t="s">
        <v>75</v>
      </c>
      <c r="I33" s="10" t="s">
        <v>93</v>
      </c>
      <c r="J33" s="10" t="s">
        <v>51</v>
      </c>
      <c r="K33" s="10" t="s">
        <v>94</v>
      </c>
      <c r="L33" s="10"/>
      <c r="M33" s="10"/>
      <c r="N33" s="11"/>
      <c r="O33" s="11" t="s">
        <v>79</v>
      </c>
      <c r="P33" s="11"/>
      <c r="Q33" s="11"/>
      <c r="R33" s="4" t="s">
        <v>75</v>
      </c>
      <c r="S33" s="4" t="s">
        <v>279</v>
      </c>
      <c r="T33" s="4" t="s">
        <v>51</v>
      </c>
      <c r="U33" s="4" t="s">
        <v>57</v>
      </c>
      <c r="V33" s="4" t="s">
        <v>161</v>
      </c>
      <c r="W33" s="5"/>
      <c r="X33" s="66" t="s">
        <v>286</v>
      </c>
      <c r="Y33" s="46" t="s">
        <v>484</v>
      </c>
      <c r="Z33" s="67" t="s">
        <v>485</v>
      </c>
      <c r="AA33" s="16" t="s">
        <v>61</v>
      </c>
      <c r="AB33" s="17">
        <v>5</v>
      </c>
      <c r="AC33" s="68" t="s">
        <v>169</v>
      </c>
      <c r="AD33" s="47"/>
      <c r="AE33" s="22" t="s">
        <v>486</v>
      </c>
      <c r="AF33" s="10"/>
      <c r="AG33" s="10"/>
      <c r="AH33" s="10"/>
      <c r="AI33" s="10"/>
      <c r="AJ33" s="10"/>
      <c r="AK33" s="10" t="s">
        <v>602</v>
      </c>
    </row>
    <row r="34" spans="2:37" x14ac:dyDescent="0.3">
      <c r="B34" s="110">
        <v>115</v>
      </c>
      <c r="C34" s="110" t="s">
        <v>279</v>
      </c>
      <c r="D34" s="110"/>
      <c r="E34" s="110" t="s">
        <v>72</v>
      </c>
      <c r="F34" s="110"/>
      <c r="G34" s="152" t="s">
        <v>456</v>
      </c>
      <c r="H34" s="112" t="s">
        <v>75</v>
      </c>
      <c r="I34" s="112" t="s">
        <v>76</v>
      </c>
      <c r="J34" s="112" t="s">
        <v>144</v>
      </c>
      <c r="K34" s="112" t="s">
        <v>94</v>
      </c>
      <c r="L34" s="112"/>
      <c r="M34" s="112"/>
      <c r="N34" s="113"/>
      <c r="O34" s="113" t="s">
        <v>79</v>
      </c>
      <c r="P34" s="113"/>
      <c r="Q34" s="113"/>
      <c r="R34" s="116" t="s">
        <v>75</v>
      </c>
      <c r="S34" s="116" t="s">
        <v>487</v>
      </c>
      <c r="T34" s="116" t="s">
        <v>144</v>
      </c>
      <c r="U34" s="141"/>
      <c r="V34" s="141"/>
      <c r="W34" s="141"/>
      <c r="X34" s="153" t="s">
        <v>286</v>
      </c>
      <c r="Y34" s="153" t="s">
        <v>142</v>
      </c>
      <c r="Z34" s="154"/>
      <c r="AA34" s="153" t="s">
        <v>142</v>
      </c>
      <c r="AB34" s="141">
        <v>5</v>
      </c>
      <c r="AC34" s="155"/>
      <c r="AD34" s="155"/>
      <c r="AE34" s="156"/>
      <c r="AF34" s="10"/>
      <c r="AG34" s="10"/>
      <c r="AH34" s="10"/>
      <c r="AI34" s="10"/>
      <c r="AJ34" s="10"/>
      <c r="AK34" s="10"/>
    </row>
    <row r="35" spans="2:37" ht="24" x14ac:dyDescent="0.3">
      <c r="B35" s="8">
        <v>118</v>
      </c>
      <c r="C35" s="8" t="s">
        <v>279</v>
      </c>
      <c r="D35" s="8" t="s">
        <v>457</v>
      </c>
      <c r="E35" s="8" t="s">
        <v>72</v>
      </c>
      <c r="F35" s="8" t="s">
        <v>458</v>
      </c>
      <c r="G35" s="9" t="s">
        <v>459</v>
      </c>
      <c r="H35" s="10" t="s">
        <v>75</v>
      </c>
      <c r="I35" s="10" t="s">
        <v>93</v>
      </c>
      <c r="J35" s="10" t="s">
        <v>77</v>
      </c>
      <c r="K35" s="10" t="s">
        <v>78</v>
      </c>
      <c r="L35" s="10"/>
      <c r="M35" s="10"/>
      <c r="N35" s="11"/>
      <c r="O35" s="11" t="s">
        <v>79</v>
      </c>
      <c r="P35" s="11" t="s">
        <v>460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0" t="s">
        <v>592</v>
      </c>
      <c r="AG35" s="10" t="s">
        <v>593</v>
      </c>
      <c r="AH35" s="10" t="s">
        <v>594</v>
      </c>
      <c r="AI35" s="10" t="s">
        <v>595</v>
      </c>
      <c r="AJ35" s="10" t="s">
        <v>541</v>
      </c>
      <c r="AK35" s="10" t="s">
        <v>541</v>
      </c>
    </row>
    <row r="36" spans="2:37" ht="24" x14ac:dyDescent="0.3">
      <c r="B36" s="8">
        <v>119</v>
      </c>
      <c r="C36" s="8" t="s">
        <v>279</v>
      </c>
      <c r="D36" s="8" t="s">
        <v>461</v>
      </c>
      <c r="E36" s="8" t="s">
        <v>72</v>
      </c>
      <c r="F36" s="8" t="s">
        <v>462</v>
      </c>
      <c r="G36" s="9" t="s">
        <v>463</v>
      </c>
      <c r="H36" s="10" t="s">
        <v>75</v>
      </c>
      <c r="I36" s="10" t="s">
        <v>93</v>
      </c>
      <c r="J36" s="10" t="s">
        <v>77</v>
      </c>
      <c r="K36" s="10" t="s">
        <v>78</v>
      </c>
      <c r="L36" s="10"/>
      <c r="M36" s="10"/>
      <c r="N36" s="11"/>
      <c r="O36" s="11" t="s">
        <v>79</v>
      </c>
      <c r="P36" s="11" t="s">
        <v>460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0" t="s">
        <v>596</v>
      </c>
      <c r="AG36" s="10" t="s">
        <v>597</v>
      </c>
      <c r="AH36" s="10" t="s">
        <v>597</v>
      </c>
      <c r="AI36" s="10" t="s">
        <v>598</v>
      </c>
      <c r="AJ36" s="10" t="s">
        <v>541</v>
      </c>
      <c r="AK36" s="10" t="s">
        <v>599</v>
      </c>
    </row>
    <row r="37" spans="2:37" x14ac:dyDescent="0.3">
      <c r="B37" s="8">
        <v>121</v>
      </c>
      <c r="C37" s="8" t="s">
        <v>279</v>
      </c>
      <c r="D37" s="8" t="s">
        <v>464</v>
      </c>
      <c r="E37" s="8" t="s">
        <v>72</v>
      </c>
      <c r="F37" s="8" t="s">
        <v>465</v>
      </c>
      <c r="G37" s="9" t="s">
        <v>466</v>
      </c>
      <c r="H37" s="10" t="s">
        <v>75</v>
      </c>
      <c r="I37" s="10" t="s">
        <v>93</v>
      </c>
      <c r="J37" s="10" t="s">
        <v>77</v>
      </c>
      <c r="K37" s="10" t="s">
        <v>78</v>
      </c>
      <c r="L37" s="10"/>
      <c r="M37" s="10"/>
      <c r="N37" s="11"/>
      <c r="O37" s="11" t="s">
        <v>79</v>
      </c>
      <c r="P37" s="11" t="s">
        <v>460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0"/>
      <c r="AG37" s="10"/>
      <c r="AH37" s="10"/>
      <c r="AI37" s="10"/>
      <c r="AJ37" s="10"/>
      <c r="AK37" s="10" t="s">
        <v>600</v>
      </c>
    </row>
    <row r="38" spans="2:37" x14ac:dyDescent="0.3">
      <c r="B38" s="8">
        <v>122</v>
      </c>
      <c r="C38" s="8" t="s">
        <v>279</v>
      </c>
      <c r="D38" s="8" t="s">
        <v>467</v>
      </c>
      <c r="E38" s="8" t="s">
        <v>72</v>
      </c>
      <c r="F38" s="8" t="s">
        <v>468</v>
      </c>
      <c r="G38" s="9" t="s">
        <v>469</v>
      </c>
      <c r="H38" s="10" t="s">
        <v>75</v>
      </c>
      <c r="I38" s="10" t="s">
        <v>93</v>
      </c>
      <c r="J38" s="10" t="s">
        <v>77</v>
      </c>
      <c r="K38" s="10" t="s">
        <v>78</v>
      </c>
      <c r="L38" s="10"/>
      <c r="M38" s="10"/>
      <c r="N38" s="11"/>
      <c r="O38" s="11" t="s">
        <v>79</v>
      </c>
      <c r="P38" s="11" t="s">
        <v>460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0"/>
      <c r="AG38" s="10"/>
      <c r="AH38" s="10"/>
      <c r="AI38" s="10"/>
      <c r="AJ38" s="10"/>
      <c r="AK38" s="10" t="s">
        <v>601</v>
      </c>
    </row>
    <row r="39" spans="2:37" x14ac:dyDescent="0.3">
      <c r="B39" s="8">
        <v>125</v>
      </c>
      <c r="C39" s="8" t="s">
        <v>279</v>
      </c>
      <c r="D39" s="8" t="s">
        <v>470</v>
      </c>
      <c r="E39" s="8" t="s">
        <v>72</v>
      </c>
      <c r="F39" s="8" t="s">
        <v>471</v>
      </c>
      <c r="G39" s="9" t="s">
        <v>472</v>
      </c>
      <c r="H39" s="10" t="s">
        <v>75</v>
      </c>
      <c r="I39" s="10" t="s">
        <v>76</v>
      </c>
      <c r="J39" s="10" t="s">
        <v>77</v>
      </c>
      <c r="K39" s="10" t="s">
        <v>78</v>
      </c>
      <c r="L39" s="10"/>
      <c r="M39" s="10"/>
      <c r="N39" s="11"/>
      <c r="O39" s="11" t="s">
        <v>79</v>
      </c>
      <c r="P39" s="11" t="s">
        <v>460</v>
      </c>
      <c r="Q39" s="11"/>
      <c r="R39" s="4" t="s">
        <v>75</v>
      </c>
      <c r="S39" s="13" t="s">
        <v>279</v>
      </c>
      <c r="T39" s="4" t="s">
        <v>51</v>
      </c>
      <c r="U39" s="12"/>
      <c r="V39" s="12"/>
      <c r="W39" s="12"/>
      <c r="X39" s="12" t="s">
        <v>421</v>
      </c>
      <c r="Y39" s="12" t="s">
        <v>636</v>
      </c>
      <c r="Z39" s="12"/>
      <c r="AA39" s="5" t="s">
        <v>112</v>
      </c>
      <c r="AB39" s="12"/>
      <c r="AC39" s="12"/>
      <c r="AD39" s="12"/>
      <c r="AE39" s="19" t="s">
        <v>634</v>
      </c>
      <c r="AF39" s="10"/>
      <c r="AG39" s="10"/>
      <c r="AH39" s="10"/>
      <c r="AI39" s="10" t="s">
        <v>635</v>
      </c>
      <c r="AJ39" s="10"/>
      <c r="AK39" s="10" t="s">
        <v>634</v>
      </c>
    </row>
    <row r="40" spans="2:37" x14ac:dyDescent="0.3">
      <c r="B40" s="3"/>
      <c r="C40" s="3"/>
      <c r="D40" s="3"/>
      <c r="E40" s="3"/>
      <c r="F40" s="3"/>
      <c r="G40" s="3"/>
      <c r="H40" s="2"/>
      <c r="I40" s="3"/>
      <c r="J40" s="3"/>
      <c r="K40" s="3"/>
      <c r="L40" s="2"/>
      <c r="M40" s="3"/>
      <c r="N40" s="3"/>
      <c r="O40" s="3"/>
      <c r="P40" s="2"/>
      <c r="Q40" s="2"/>
    </row>
    <row r="42" spans="2:37" x14ac:dyDescent="0.3">
      <c r="B42" t="s">
        <v>489</v>
      </c>
    </row>
    <row r="43" spans="2:37" ht="192" x14ac:dyDescent="0.3">
      <c r="B43" s="13">
        <v>7</v>
      </c>
      <c r="C43" s="72" t="s">
        <v>45</v>
      </c>
      <c r="D43" s="72" t="s">
        <v>490</v>
      </c>
      <c r="E43" s="73" t="s">
        <v>491</v>
      </c>
      <c r="F43" s="4" t="s">
        <v>122</v>
      </c>
      <c r="G43" s="4" t="s">
        <v>5</v>
      </c>
      <c r="H43" s="4" t="s">
        <v>375</v>
      </c>
      <c r="I43" s="4" t="s">
        <v>492</v>
      </c>
      <c r="J43" s="4" t="s">
        <v>58</v>
      </c>
      <c r="K43" s="52" t="s">
        <v>493</v>
      </c>
      <c r="L43" s="52" t="s">
        <v>304</v>
      </c>
      <c r="M43" s="52" t="s">
        <v>142</v>
      </c>
      <c r="N43" s="64" t="s">
        <v>494</v>
      </c>
      <c r="O43" s="52" t="s">
        <v>142</v>
      </c>
      <c r="P43" s="53">
        <v>5</v>
      </c>
      <c r="Q43" s="69" t="s">
        <v>243</v>
      </c>
      <c r="R43" s="69" t="s">
        <v>289</v>
      </c>
      <c r="S43" s="70" t="s">
        <v>45</v>
      </c>
    </row>
    <row r="45" spans="2:37" x14ac:dyDescent="0.3">
      <c r="B45" t="s">
        <v>627</v>
      </c>
    </row>
  </sheetData>
  <autoFilter ref="B2:AF39" xr:uid="{13981067-E4B5-468C-B83D-3CB730CCE76D}"/>
  <phoneticPr fontId="1" type="noConversion"/>
  <hyperlinks>
    <hyperlink ref="G3" location="조직도!A1" display="조직도" xr:uid="{570A2872-704C-478E-9B32-ACF8F9B70351}"/>
    <hyperlink ref="G4" location="'자재마스터(영업조직)'!A1" display="자재마스터(영업조직: CP)" xr:uid="{E9310AF8-B7ED-4DEB-A6B0-F53288A53C62}"/>
    <hyperlink ref="G5" location="'자재마스터(플랜트)'!A1" display="자재마스터(플랜트: SP)" xr:uid="{6D81561B-2950-4DA6-A835-42C19DE7BBA8}"/>
    <hyperlink ref="G6" location="'자재단가(판가)'!A1" display="자재 단가" xr:uid="{FE30D8A7-77D4-4245-B120-217D2B3AE816}"/>
    <hyperlink ref="G7" location="제품허가정보!A1" display="제품 허가 정보" xr:uid="{993F1A6F-C586-441F-9109-AC43E8584B97}"/>
    <hyperlink ref="G8" location="자재대체단위!A1" display="자재마스터 대체단위 인터페이스 매핑구조" xr:uid="{A1005632-5B72-4689-BAAB-85F6FBF0F8F9}"/>
    <hyperlink ref="G9" location="자재원가!A1" display="자재마스터 원가정보" xr:uid="{E15407DA-7A0A-4761-8ED9-2A3299B7E0D1}"/>
    <hyperlink ref="G10" location="플랜트저장위치마스터!A1" display="플랜트 저장위치 매핑 마스터" xr:uid="{1B570BD1-73FA-48C8-BFC7-D4E18D3982D3}"/>
    <hyperlink ref="G11" location="거래처!A1" display="거래처마스터" xr:uid="{BA72C05B-CB70-4E9F-A060-C16661CE04F3}"/>
    <hyperlink ref="G12" location="수출진행모니터링!A1" display="수출 진행 모니터링" xr:uid="{FE05C9E6-ECEE-45CB-9305-0285AC88B7A3}"/>
    <hyperlink ref="G13" location="List!A1" display="BOM Master" xr:uid="{FE9D0F59-7D96-4323-9C5A-7617C3799881}"/>
    <hyperlink ref="G14" location="작업장마스터!A1" display="작업장 마스터" xr:uid="{07AC537F-208B-45D3-AF52-15760CEDB2EB}"/>
    <hyperlink ref="G15" location="ROS!A1" display="ROS" xr:uid="{BF294E17-8E13-4694-8316-FCFFDE338C4A}"/>
    <hyperlink ref="G16" location="생산오더!A1" display="생산 오더" xr:uid="{57C95632-8B84-4546-BBEF-0BAB85F4C188}"/>
    <hyperlink ref="G17" location="'구매오더(원부자재)'!A1" display="구매정보레코드" xr:uid="{9015FC8E-C261-4F8D-8C4B-3E1ECE8D9036}"/>
    <hyperlink ref="G18" location="'구매오더(odm)'!A1" display="구매정보(ODM 외주 원부자재)" xr:uid="{1A6FC2FC-7798-45E4-B779-0C9E28D38398}"/>
    <hyperlink ref="G19" location="협력사마스터!A1" display="협력사 마스터" xr:uid="{48600A32-0BF4-43EA-81B4-26C1CFCCD7F8}"/>
    <hyperlink ref="G20" location="가용화입고실적!A1" display="가용화 입고 실적" xr:uid="{14B156A2-EA4E-4EEE-8B18-7999E0B69AA2}"/>
    <hyperlink ref="G21" location="'SOP잔량(선적잔량)'!A1" display="SOP 잔량 정보" xr:uid="{A8714C6B-25AE-46F5-BF37-100718757AFF}"/>
    <hyperlink ref="G22" location="반제품_포장재_재고!A1" display="반제품 포장재 MD04 재고" xr:uid="{436B5276-49D8-423A-8CFB-D80525AA29BE}"/>
    <hyperlink ref="G23" location="CP코드마스터!A1" display="CP 코드 마스터" xr:uid="{9B7C4712-B599-4C16-8EA6-B7D5B2104A4F}"/>
    <hyperlink ref="G29" location="생산PIR!A1" display="생산 PIR" xr:uid="{C97159B6-E36E-46F0-AC69-525989ECB6AA}"/>
    <hyperlink ref="E43" location="n단종품의완료!A1" display="단종 품의 완료 상태" xr:uid="{BD1FA106-1569-482C-8D19-C29C23C452D6}"/>
    <hyperlink ref="G28" location="'공장달력 인터페이스'!A1" display="공장달력 인터페이스" xr:uid="{E707D508-C741-443D-A131-675AABD1F81C}"/>
  </hyperlinks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CE55-8F3B-4EE0-B089-BD6EFE515DC4}">
  <sheetPr>
    <tabColor theme="4" tint="0.79998168889431442"/>
  </sheetPr>
  <dimension ref="B2:AF28"/>
  <sheetViews>
    <sheetView workbookViewId="0">
      <selection activeCell="F20" sqref="F20"/>
    </sheetView>
  </sheetViews>
  <sheetFormatPr defaultRowHeight="16.5" x14ac:dyDescent="0.3"/>
  <sheetData>
    <row r="2" spans="2:31" ht="48" x14ac:dyDescent="0.3">
      <c r="B2" s="23" t="s">
        <v>15</v>
      </c>
      <c r="C2" s="23" t="s">
        <v>16</v>
      </c>
      <c r="D2" s="23" t="s">
        <v>17</v>
      </c>
      <c r="E2" s="23" t="s">
        <v>18</v>
      </c>
      <c r="F2" s="23" t="s">
        <v>19</v>
      </c>
      <c r="G2" s="23" t="s">
        <v>20</v>
      </c>
      <c r="H2" s="23" t="s">
        <v>21</v>
      </c>
      <c r="I2" s="23" t="s">
        <v>22</v>
      </c>
      <c r="J2" s="23" t="s">
        <v>23</v>
      </c>
      <c r="K2" s="23" t="s">
        <v>24</v>
      </c>
      <c r="L2" s="23" t="s">
        <v>25</v>
      </c>
      <c r="M2" s="23" t="s">
        <v>26</v>
      </c>
      <c r="N2" s="23" t="s">
        <v>27</v>
      </c>
      <c r="O2" s="23" t="s">
        <v>28</v>
      </c>
      <c r="P2" s="23" t="s">
        <v>29</v>
      </c>
      <c r="Q2" s="24">
        <v>1</v>
      </c>
      <c r="R2" s="25" t="s">
        <v>30</v>
      </c>
      <c r="S2" s="25" t="s">
        <v>31</v>
      </c>
      <c r="T2" s="25" t="s">
        <v>32</v>
      </c>
      <c r="U2" s="25" t="s">
        <v>33</v>
      </c>
      <c r="V2" s="26" t="s">
        <v>34</v>
      </c>
      <c r="W2" s="26" t="s">
        <v>35</v>
      </c>
      <c r="X2" s="27" t="s">
        <v>36</v>
      </c>
      <c r="Y2" s="27" t="s">
        <v>37</v>
      </c>
      <c r="Z2" s="27" t="s">
        <v>38</v>
      </c>
      <c r="AA2" s="27" t="s">
        <v>39</v>
      </c>
      <c r="AB2" s="27" t="s">
        <v>40</v>
      </c>
      <c r="AC2" s="25" t="s">
        <v>41</v>
      </c>
      <c r="AD2" s="25" t="s">
        <v>42</v>
      </c>
      <c r="AE2" s="25" t="s">
        <v>43</v>
      </c>
    </row>
    <row r="3" spans="2:31" ht="24" x14ac:dyDescent="0.3">
      <c r="B3" s="8">
        <v>8</v>
      </c>
      <c r="C3" s="8" t="s">
        <v>182</v>
      </c>
      <c r="D3" s="8" t="s">
        <v>45</v>
      </c>
      <c r="E3" s="8" t="s">
        <v>46</v>
      </c>
      <c r="F3" s="8" t="s">
        <v>183</v>
      </c>
      <c r="G3" s="34" t="s">
        <v>184</v>
      </c>
      <c r="H3" s="10" t="s">
        <v>119</v>
      </c>
      <c r="I3" s="10" t="s">
        <v>76</v>
      </c>
      <c r="J3" s="10" t="s">
        <v>51</v>
      </c>
      <c r="K3" s="10" t="s">
        <v>52</v>
      </c>
      <c r="L3" s="10">
        <v>2</v>
      </c>
      <c r="M3" s="10"/>
      <c r="N3" s="11" t="s">
        <v>185</v>
      </c>
      <c r="O3" s="30" t="s">
        <v>186</v>
      </c>
      <c r="P3" s="30" t="s">
        <v>187</v>
      </c>
      <c r="Q3" s="12"/>
      <c r="R3" s="54" t="s">
        <v>122</v>
      </c>
      <c r="S3" s="4" t="s">
        <v>182</v>
      </c>
      <c r="T3" s="4" t="s">
        <v>56</v>
      </c>
      <c r="U3" s="4" t="s">
        <v>110</v>
      </c>
      <c r="V3" s="4" t="s">
        <v>161</v>
      </c>
      <c r="W3" s="5"/>
      <c r="X3" s="5" t="s">
        <v>6</v>
      </c>
      <c r="Y3" s="5" t="s">
        <v>188</v>
      </c>
      <c r="Z3" s="5"/>
      <c r="AA3" s="5" t="s">
        <v>112</v>
      </c>
      <c r="AB3" s="6">
        <v>1</v>
      </c>
      <c r="AC3" s="7" t="s">
        <v>113</v>
      </c>
      <c r="AD3" s="7" t="s">
        <v>114</v>
      </c>
      <c r="AE3" s="22" t="s">
        <v>189</v>
      </c>
    </row>
    <row r="4" spans="2:31" ht="24" x14ac:dyDescent="0.3">
      <c r="B4" s="8">
        <v>12</v>
      </c>
      <c r="C4" s="8" t="s">
        <v>182</v>
      </c>
      <c r="D4" s="8" t="s">
        <v>45</v>
      </c>
      <c r="E4" s="8" t="s">
        <v>46</v>
      </c>
      <c r="F4" s="8" t="s">
        <v>190</v>
      </c>
      <c r="G4" s="34" t="s">
        <v>191</v>
      </c>
      <c r="H4" s="10" t="s">
        <v>119</v>
      </c>
      <c r="I4" s="10" t="s">
        <v>106</v>
      </c>
      <c r="J4" s="10" t="s">
        <v>51</v>
      </c>
      <c r="K4" s="10" t="s">
        <v>52</v>
      </c>
      <c r="L4" s="10">
        <v>1</v>
      </c>
      <c r="M4" s="10"/>
      <c r="N4" s="11" t="s">
        <v>192</v>
      </c>
      <c r="O4" s="30" t="s">
        <v>193</v>
      </c>
      <c r="P4" s="30"/>
      <c r="Q4" s="12"/>
      <c r="R4" s="4" t="s">
        <v>122</v>
      </c>
      <c r="S4" s="4" t="s">
        <v>182</v>
      </c>
      <c r="T4" s="4" t="s">
        <v>56</v>
      </c>
      <c r="U4" s="4" t="s">
        <v>110</v>
      </c>
      <c r="V4" s="4" t="s">
        <v>161</v>
      </c>
      <c r="W4" s="5"/>
      <c r="X4" s="5" t="s">
        <v>6</v>
      </c>
      <c r="Y4" s="5" t="s">
        <v>194</v>
      </c>
      <c r="Z4" s="12"/>
      <c r="AA4" s="5" t="s">
        <v>112</v>
      </c>
      <c r="AB4" s="6">
        <v>1</v>
      </c>
      <c r="AC4" s="7" t="s">
        <v>195</v>
      </c>
      <c r="AD4" s="7" t="s">
        <v>114</v>
      </c>
      <c r="AE4" s="22" t="s">
        <v>189</v>
      </c>
    </row>
    <row r="5" spans="2:31" ht="24" x14ac:dyDescent="0.3">
      <c r="B5" s="55">
        <v>17</v>
      </c>
      <c r="C5" s="55" t="s">
        <v>182</v>
      </c>
      <c r="D5" s="55" t="s">
        <v>45</v>
      </c>
      <c r="E5" s="55" t="s">
        <v>46</v>
      </c>
      <c r="F5" s="55" t="s">
        <v>197</v>
      </c>
      <c r="G5" s="56" t="s">
        <v>198</v>
      </c>
      <c r="H5" s="10" t="s">
        <v>196</v>
      </c>
      <c r="I5" s="10" t="s">
        <v>106</v>
      </c>
      <c r="J5" s="10" t="s">
        <v>199</v>
      </c>
      <c r="K5" s="10" t="s">
        <v>52</v>
      </c>
      <c r="L5" s="10">
        <v>2</v>
      </c>
      <c r="M5" s="10"/>
      <c r="N5" s="11" t="s">
        <v>200</v>
      </c>
      <c r="O5" s="30" t="s">
        <v>201</v>
      </c>
      <c r="P5" s="30" t="s">
        <v>202</v>
      </c>
      <c r="Q5" s="12"/>
      <c r="R5" s="4" t="s">
        <v>75</v>
      </c>
      <c r="S5" s="4" t="s">
        <v>182</v>
      </c>
      <c r="T5" s="4" t="s">
        <v>203</v>
      </c>
      <c r="U5" s="4" t="s">
        <v>110</v>
      </c>
      <c r="V5" s="4" t="s">
        <v>161</v>
      </c>
      <c r="W5" s="5" t="s">
        <v>204</v>
      </c>
      <c r="X5" s="5" t="s">
        <v>6</v>
      </c>
      <c r="Y5" s="5" t="s">
        <v>205</v>
      </c>
      <c r="Z5" s="5" t="s">
        <v>206</v>
      </c>
      <c r="AA5" s="5" t="s">
        <v>126</v>
      </c>
      <c r="AB5" s="6">
        <v>3</v>
      </c>
      <c r="AC5" s="7" t="s">
        <v>113</v>
      </c>
      <c r="AD5" s="7" t="s">
        <v>114</v>
      </c>
      <c r="AE5" s="22" t="s">
        <v>189</v>
      </c>
    </row>
    <row r="6" spans="2:31" ht="48" x14ac:dyDescent="0.3">
      <c r="B6" s="55">
        <v>18</v>
      </c>
      <c r="C6" s="55" t="s">
        <v>182</v>
      </c>
      <c r="D6" s="55" t="s">
        <v>45</v>
      </c>
      <c r="E6" s="55" t="s">
        <v>46</v>
      </c>
      <c r="F6" s="55" t="s">
        <v>207</v>
      </c>
      <c r="G6" s="56" t="s">
        <v>208</v>
      </c>
      <c r="H6" s="10" t="s">
        <v>196</v>
      </c>
      <c r="I6" s="10" t="s">
        <v>106</v>
      </c>
      <c r="J6" s="10" t="s">
        <v>199</v>
      </c>
      <c r="K6" s="10" t="s">
        <v>52</v>
      </c>
      <c r="L6" s="10">
        <v>1</v>
      </c>
      <c r="M6" s="10" t="s">
        <v>209</v>
      </c>
      <c r="N6" s="11" t="s">
        <v>210</v>
      </c>
      <c r="O6" s="30" t="s">
        <v>211</v>
      </c>
      <c r="P6" s="30" t="s">
        <v>212</v>
      </c>
      <c r="Q6" s="12"/>
      <c r="R6" s="54" t="s">
        <v>75</v>
      </c>
      <c r="S6" s="4" t="s">
        <v>182</v>
      </c>
      <c r="T6" s="4" t="s">
        <v>203</v>
      </c>
      <c r="U6" s="4" t="s">
        <v>110</v>
      </c>
      <c r="V6" s="4" t="s">
        <v>161</v>
      </c>
      <c r="W6" s="5" t="s">
        <v>204</v>
      </c>
      <c r="X6" s="5" t="s">
        <v>6</v>
      </c>
      <c r="Y6" s="5" t="s">
        <v>213</v>
      </c>
      <c r="Z6" s="5" t="s">
        <v>206</v>
      </c>
      <c r="AA6" s="5" t="s">
        <v>126</v>
      </c>
      <c r="AB6" s="6">
        <v>3</v>
      </c>
      <c r="AC6" s="7" t="s">
        <v>113</v>
      </c>
      <c r="AD6" s="7" t="s">
        <v>114</v>
      </c>
      <c r="AE6" s="22" t="s">
        <v>189</v>
      </c>
    </row>
    <row r="7" spans="2:31" ht="36" x14ac:dyDescent="0.3">
      <c r="B7" s="55">
        <v>19</v>
      </c>
      <c r="C7" s="55" t="s">
        <v>182</v>
      </c>
      <c r="D7" s="55" t="s">
        <v>45</v>
      </c>
      <c r="E7" s="55" t="s">
        <v>46</v>
      </c>
      <c r="F7" s="55" t="s">
        <v>214</v>
      </c>
      <c r="G7" s="56" t="s">
        <v>215</v>
      </c>
      <c r="H7" s="10" t="s">
        <v>196</v>
      </c>
      <c r="I7" s="10" t="s">
        <v>106</v>
      </c>
      <c r="J7" s="10" t="s">
        <v>51</v>
      </c>
      <c r="K7" s="10" t="s">
        <v>52</v>
      </c>
      <c r="L7" s="10">
        <v>2</v>
      </c>
      <c r="M7" s="10"/>
      <c r="N7" s="11" t="s">
        <v>216</v>
      </c>
      <c r="O7" s="30" t="s">
        <v>217</v>
      </c>
      <c r="P7" s="30" t="s">
        <v>218</v>
      </c>
      <c r="Q7" s="12"/>
      <c r="R7" s="54" t="s">
        <v>75</v>
      </c>
      <c r="S7" s="4" t="s">
        <v>182</v>
      </c>
      <c r="T7" s="4" t="s">
        <v>56</v>
      </c>
      <c r="U7" s="4" t="s">
        <v>110</v>
      </c>
      <c r="V7" s="4" t="s">
        <v>161</v>
      </c>
      <c r="W7" s="5"/>
      <c r="X7" s="5" t="s">
        <v>6</v>
      </c>
      <c r="Y7" s="5" t="s">
        <v>219</v>
      </c>
      <c r="Z7" s="5"/>
      <c r="AA7" s="5" t="s">
        <v>112</v>
      </c>
      <c r="AB7" s="6">
        <v>1</v>
      </c>
      <c r="AC7" s="7" t="s">
        <v>113</v>
      </c>
      <c r="AD7" s="7" t="s">
        <v>114</v>
      </c>
      <c r="AE7" s="22" t="s">
        <v>189</v>
      </c>
    </row>
    <row r="8" spans="2:31" ht="72" x14ac:dyDescent="0.3">
      <c r="B8" s="55">
        <v>20</v>
      </c>
      <c r="C8" s="55" t="s">
        <v>182</v>
      </c>
      <c r="D8" s="55" t="s">
        <v>45</v>
      </c>
      <c r="E8" s="55" t="s">
        <v>46</v>
      </c>
      <c r="F8" s="55" t="s">
        <v>220</v>
      </c>
      <c r="G8" s="56" t="s">
        <v>221</v>
      </c>
      <c r="H8" s="10" t="s">
        <v>196</v>
      </c>
      <c r="I8" s="10" t="s">
        <v>106</v>
      </c>
      <c r="J8" s="10" t="s">
        <v>51</v>
      </c>
      <c r="K8" s="10" t="s">
        <v>52</v>
      </c>
      <c r="L8" s="10">
        <v>2</v>
      </c>
      <c r="M8" s="10"/>
      <c r="N8" s="11" t="s">
        <v>222</v>
      </c>
      <c r="O8" s="30" t="s">
        <v>223</v>
      </c>
      <c r="P8" s="30" t="s">
        <v>224</v>
      </c>
      <c r="Q8" s="12"/>
      <c r="R8" s="4" t="s">
        <v>75</v>
      </c>
      <c r="S8" s="4" t="s">
        <v>182</v>
      </c>
      <c r="T8" s="4" t="s">
        <v>56</v>
      </c>
      <c r="U8" s="4" t="s">
        <v>110</v>
      </c>
      <c r="V8" s="4" t="s">
        <v>161</v>
      </c>
      <c r="W8" s="52" t="s">
        <v>225</v>
      </c>
      <c r="X8" s="52" t="s">
        <v>6</v>
      </c>
      <c r="Y8" s="52" t="s">
        <v>226</v>
      </c>
      <c r="Z8" s="52"/>
      <c r="AA8" s="5" t="s">
        <v>112</v>
      </c>
      <c r="AB8" s="53">
        <v>1</v>
      </c>
      <c r="AC8" s="7" t="s">
        <v>113</v>
      </c>
      <c r="AD8" s="7" t="s">
        <v>114</v>
      </c>
      <c r="AE8" s="22" t="s">
        <v>189</v>
      </c>
    </row>
    <row r="9" spans="2:31" ht="24" x14ac:dyDescent="0.3">
      <c r="B9" s="55">
        <v>22</v>
      </c>
      <c r="C9" s="55" t="s">
        <v>182</v>
      </c>
      <c r="D9" s="55" t="s">
        <v>45</v>
      </c>
      <c r="E9" s="55" t="s">
        <v>46</v>
      </c>
      <c r="F9" s="55" t="s">
        <v>227</v>
      </c>
      <c r="G9" s="56" t="s">
        <v>228</v>
      </c>
      <c r="H9" s="10" t="s">
        <v>196</v>
      </c>
      <c r="I9" s="10" t="s">
        <v>106</v>
      </c>
      <c r="J9" s="10" t="s">
        <v>51</v>
      </c>
      <c r="K9" s="10" t="s">
        <v>52</v>
      </c>
      <c r="L9" s="10">
        <v>3</v>
      </c>
      <c r="M9" s="10"/>
      <c r="N9" s="11" t="s">
        <v>229</v>
      </c>
      <c r="O9" s="30" t="s">
        <v>230</v>
      </c>
      <c r="P9" s="30"/>
      <c r="Q9" s="12"/>
      <c r="R9" s="4" t="s">
        <v>75</v>
      </c>
      <c r="S9" s="4" t="s">
        <v>182</v>
      </c>
      <c r="T9" s="4" t="s">
        <v>56</v>
      </c>
      <c r="U9" s="4" t="s">
        <v>110</v>
      </c>
      <c r="V9" s="4" t="s">
        <v>161</v>
      </c>
      <c r="W9" s="5"/>
      <c r="X9" s="5" t="s">
        <v>6</v>
      </c>
      <c r="Y9" s="5" t="s">
        <v>231</v>
      </c>
      <c r="Z9" s="5"/>
      <c r="AA9" s="5" t="s">
        <v>112</v>
      </c>
      <c r="AB9" s="6">
        <v>1</v>
      </c>
      <c r="AC9" s="7" t="s">
        <v>113</v>
      </c>
      <c r="AD9" s="7" t="s">
        <v>114</v>
      </c>
      <c r="AE9" s="22" t="s">
        <v>189</v>
      </c>
    </row>
    <row r="10" spans="2:31" ht="24" x14ac:dyDescent="0.3">
      <c r="B10" s="55">
        <v>23</v>
      </c>
      <c r="C10" s="55" t="s">
        <v>182</v>
      </c>
      <c r="D10" s="55" t="s">
        <v>45</v>
      </c>
      <c r="E10" s="55" t="s">
        <v>46</v>
      </c>
      <c r="F10" s="55" t="s">
        <v>232</v>
      </c>
      <c r="G10" s="56" t="s">
        <v>233</v>
      </c>
      <c r="H10" s="10" t="s">
        <v>196</v>
      </c>
      <c r="I10" s="10" t="s">
        <v>106</v>
      </c>
      <c r="J10" s="10" t="s">
        <v>199</v>
      </c>
      <c r="K10" s="10" t="s">
        <v>52</v>
      </c>
      <c r="L10" s="10">
        <v>3</v>
      </c>
      <c r="M10" s="10"/>
      <c r="N10" s="11" t="s">
        <v>234</v>
      </c>
      <c r="O10" s="30" t="s">
        <v>235</v>
      </c>
      <c r="P10" s="30"/>
      <c r="Q10" s="12"/>
      <c r="R10" s="4" t="s">
        <v>75</v>
      </c>
      <c r="S10" s="4" t="s">
        <v>182</v>
      </c>
      <c r="T10" s="4" t="s">
        <v>203</v>
      </c>
      <c r="U10" s="4" t="s">
        <v>110</v>
      </c>
      <c r="V10" s="4" t="s">
        <v>161</v>
      </c>
      <c r="W10" s="5" t="s">
        <v>236</v>
      </c>
      <c r="X10" s="5" t="s">
        <v>6</v>
      </c>
      <c r="Y10" s="5" t="s">
        <v>237</v>
      </c>
      <c r="Z10" s="5" t="s">
        <v>206</v>
      </c>
      <c r="AA10" s="5" t="s">
        <v>126</v>
      </c>
      <c r="AB10" s="6">
        <v>3</v>
      </c>
      <c r="AC10" s="7" t="s">
        <v>238</v>
      </c>
      <c r="AD10" s="7" t="s">
        <v>114</v>
      </c>
      <c r="AE10" s="22" t="s">
        <v>189</v>
      </c>
    </row>
    <row r="11" spans="2:31" x14ac:dyDescent="0.3">
      <c r="B11" s="48">
        <v>45</v>
      </c>
      <c r="C11" s="48" t="s">
        <v>182</v>
      </c>
      <c r="D11" s="48" t="s">
        <v>45</v>
      </c>
      <c r="E11" s="49" t="s">
        <v>46</v>
      </c>
      <c r="F11" s="48" t="s">
        <v>239</v>
      </c>
      <c r="G11" s="57" t="s">
        <v>240</v>
      </c>
      <c r="H11" s="48" t="s">
        <v>196</v>
      </c>
      <c r="I11" s="51"/>
      <c r="J11" s="48" t="s">
        <v>142</v>
      </c>
      <c r="K11" s="51"/>
      <c r="L11" s="48"/>
      <c r="M11" s="51"/>
      <c r="N11" s="51"/>
      <c r="O11" s="48"/>
      <c r="P11" s="48" t="s">
        <v>143</v>
      </c>
      <c r="Q11" s="12"/>
      <c r="R11" s="12" t="s">
        <v>75</v>
      </c>
      <c r="S11" s="12" t="s">
        <v>182</v>
      </c>
      <c r="T11" s="12" t="s">
        <v>144</v>
      </c>
      <c r="U11" s="12" t="s">
        <v>68</v>
      </c>
      <c r="V11" s="12" t="s">
        <v>58</v>
      </c>
      <c r="W11" s="12" t="s">
        <v>241</v>
      </c>
      <c r="X11" s="12" t="s">
        <v>182</v>
      </c>
      <c r="Y11" s="12" t="s">
        <v>144</v>
      </c>
      <c r="Z11" s="12"/>
      <c r="AA11" s="12" t="s">
        <v>144</v>
      </c>
      <c r="AB11" s="12">
        <v>5</v>
      </c>
      <c r="AC11" s="12" t="s">
        <v>242</v>
      </c>
      <c r="AD11" s="12" t="s">
        <v>243</v>
      </c>
      <c r="AE11" s="12" t="s">
        <v>45</v>
      </c>
    </row>
    <row r="12" spans="2:31" x14ac:dyDescent="0.3">
      <c r="B12" s="48">
        <v>52</v>
      </c>
      <c r="C12" s="48" t="s">
        <v>182</v>
      </c>
      <c r="D12" s="48" t="s">
        <v>45</v>
      </c>
      <c r="E12" s="49" t="s">
        <v>46</v>
      </c>
      <c r="F12" s="48" t="s">
        <v>244</v>
      </c>
      <c r="G12" s="50" t="s">
        <v>245</v>
      </c>
      <c r="H12" s="48" t="s">
        <v>122</v>
      </c>
      <c r="I12" s="51"/>
      <c r="J12" s="48" t="s">
        <v>144</v>
      </c>
      <c r="K12" s="51"/>
      <c r="L12" s="48"/>
      <c r="M12" s="51"/>
      <c r="N12" s="51"/>
      <c r="O12" s="48"/>
      <c r="P12" s="48" t="s">
        <v>143</v>
      </c>
      <c r="Q12" s="12"/>
      <c r="R12" s="12" t="s">
        <v>122</v>
      </c>
      <c r="S12" s="12" t="s">
        <v>182</v>
      </c>
      <c r="T12" s="12" t="s">
        <v>144</v>
      </c>
      <c r="U12" s="12"/>
      <c r="V12" s="12"/>
      <c r="W12" s="12"/>
      <c r="X12" s="12" t="s">
        <v>182</v>
      </c>
      <c r="Y12" s="12" t="s">
        <v>146</v>
      </c>
      <c r="Z12" s="12"/>
      <c r="AA12" s="12" t="s">
        <v>146</v>
      </c>
      <c r="AB12" s="12"/>
      <c r="AC12" s="12"/>
      <c r="AD12" s="12"/>
      <c r="AE12" s="12"/>
    </row>
    <row r="13" spans="2:31" x14ac:dyDescent="0.3">
      <c r="B13" s="48">
        <v>53</v>
      </c>
      <c r="C13" s="48" t="s">
        <v>182</v>
      </c>
      <c r="D13" s="48" t="s">
        <v>45</v>
      </c>
      <c r="E13" s="49" t="s">
        <v>46</v>
      </c>
      <c r="F13" s="48" t="s">
        <v>246</v>
      </c>
      <c r="G13" s="50" t="s">
        <v>247</v>
      </c>
      <c r="H13" s="48" t="s">
        <v>122</v>
      </c>
      <c r="I13" s="51"/>
      <c r="J13" s="48" t="s">
        <v>144</v>
      </c>
      <c r="K13" s="51"/>
      <c r="L13" s="48"/>
      <c r="M13" s="51"/>
      <c r="N13" s="51"/>
      <c r="O13" s="48"/>
      <c r="P13" s="48" t="s">
        <v>143</v>
      </c>
      <c r="Q13" s="12"/>
      <c r="R13" s="12" t="s">
        <v>122</v>
      </c>
      <c r="S13" s="12" t="s">
        <v>182</v>
      </c>
      <c r="T13" s="12" t="s">
        <v>144</v>
      </c>
      <c r="U13" s="12"/>
      <c r="V13" s="12"/>
      <c r="W13" s="12"/>
      <c r="X13" s="12" t="s">
        <v>182</v>
      </c>
      <c r="Y13" s="12" t="s">
        <v>146</v>
      </c>
      <c r="Z13" s="12"/>
      <c r="AA13" s="12"/>
      <c r="AB13" s="12"/>
      <c r="AC13" s="12"/>
      <c r="AD13" s="12"/>
      <c r="AE13" s="12"/>
    </row>
    <row r="14" spans="2:31" x14ac:dyDescent="0.3">
      <c r="B14" s="48">
        <v>54</v>
      </c>
      <c r="C14" s="48" t="s">
        <v>182</v>
      </c>
      <c r="D14" s="48" t="s">
        <v>45</v>
      </c>
      <c r="E14" s="49" t="s">
        <v>46</v>
      </c>
      <c r="F14" s="48" t="s">
        <v>248</v>
      </c>
      <c r="G14" s="50" t="s">
        <v>249</v>
      </c>
      <c r="H14" s="48" t="s">
        <v>122</v>
      </c>
      <c r="I14" s="51"/>
      <c r="J14" s="48" t="s">
        <v>144</v>
      </c>
      <c r="K14" s="51"/>
      <c r="L14" s="48"/>
      <c r="M14" s="51"/>
      <c r="N14" s="51"/>
      <c r="O14" s="48"/>
      <c r="P14" s="48" t="s">
        <v>143</v>
      </c>
      <c r="Q14" s="12"/>
      <c r="R14" s="12" t="s">
        <v>122</v>
      </c>
      <c r="S14" s="12" t="s">
        <v>182</v>
      </c>
      <c r="T14" s="12" t="s">
        <v>144</v>
      </c>
      <c r="U14" s="12"/>
      <c r="V14" s="12"/>
      <c r="W14" s="12"/>
      <c r="X14" s="12" t="s">
        <v>182</v>
      </c>
      <c r="Y14" s="12" t="s">
        <v>146</v>
      </c>
      <c r="Z14" s="12"/>
      <c r="AA14" s="12"/>
      <c r="AB14" s="12"/>
      <c r="AC14" s="12"/>
      <c r="AD14" s="12"/>
      <c r="AE14" s="12"/>
    </row>
    <row r="15" spans="2:31" x14ac:dyDescent="0.3">
      <c r="B15" s="48">
        <v>55</v>
      </c>
      <c r="C15" s="48" t="s">
        <v>182</v>
      </c>
      <c r="D15" s="48" t="s">
        <v>45</v>
      </c>
      <c r="E15" s="49" t="s">
        <v>46</v>
      </c>
      <c r="F15" s="48" t="s">
        <v>250</v>
      </c>
      <c r="G15" s="50" t="s">
        <v>251</v>
      </c>
      <c r="H15" s="48" t="s">
        <v>122</v>
      </c>
      <c r="I15" s="51"/>
      <c r="J15" s="48" t="s">
        <v>144</v>
      </c>
      <c r="K15" s="51"/>
      <c r="L15" s="48"/>
      <c r="M15" s="51"/>
      <c r="N15" s="51"/>
      <c r="O15" s="48"/>
      <c r="P15" s="48" t="s">
        <v>143</v>
      </c>
      <c r="Q15" s="12"/>
      <c r="R15" s="12" t="s">
        <v>122</v>
      </c>
      <c r="S15" s="12" t="s">
        <v>182</v>
      </c>
      <c r="T15" s="12" t="s">
        <v>144</v>
      </c>
      <c r="U15" s="12"/>
      <c r="V15" s="12"/>
      <c r="W15" s="12"/>
      <c r="X15" s="12" t="s">
        <v>182</v>
      </c>
      <c r="Y15" s="12" t="s">
        <v>146</v>
      </c>
      <c r="Z15" s="12"/>
      <c r="AA15" s="12"/>
      <c r="AB15" s="12"/>
      <c r="AC15" s="12"/>
      <c r="AD15" s="12"/>
      <c r="AE15" s="12"/>
    </row>
    <row r="16" spans="2:31" x14ac:dyDescent="0.3">
      <c r="B16" s="48">
        <v>56</v>
      </c>
      <c r="C16" s="48" t="s">
        <v>182</v>
      </c>
      <c r="D16" s="48" t="s">
        <v>45</v>
      </c>
      <c r="E16" s="49" t="s">
        <v>46</v>
      </c>
      <c r="F16" s="48" t="s">
        <v>252</v>
      </c>
      <c r="G16" s="50" t="s">
        <v>253</v>
      </c>
      <c r="H16" s="48" t="s">
        <v>122</v>
      </c>
      <c r="I16" s="51"/>
      <c r="J16" s="48" t="s">
        <v>144</v>
      </c>
      <c r="K16" s="51"/>
      <c r="L16" s="48"/>
      <c r="M16" s="51"/>
      <c r="N16" s="51"/>
      <c r="O16" s="48"/>
      <c r="P16" s="48" t="s">
        <v>143</v>
      </c>
      <c r="Q16" s="12"/>
      <c r="R16" s="12" t="s">
        <v>122</v>
      </c>
      <c r="S16" s="12" t="s">
        <v>182</v>
      </c>
      <c r="T16" s="12" t="s">
        <v>144</v>
      </c>
      <c r="U16" s="12"/>
      <c r="V16" s="12"/>
      <c r="W16" s="12"/>
      <c r="X16" s="12" t="s">
        <v>182</v>
      </c>
      <c r="Y16" s="12" t="s">
        <v>146</v>
      </c>
      <c r="Z16" s="12"/>
      <c r="AA16" s="12"/>
      <c r="AB16" s="12"/>
      <c r="AC16" s="12"/>
      <c r="AD16" s="12"/>
      <c r="AE16" s="12"/>
    </row>
    <row r="17" spans="2:32" x14ac:dyDescent="0.3">
      <c r="B17" s="48">
        <v>57</v>
      </c>
      <c r="C17" s="48" t="s">
        <v>182</v>
      </c>
      <c r="D17" s="48" t="s">
        <v>45</v>
      </c>
      <c r="E17" s="49" t="s">
        <v>46</v>
      </c>
      <c r="F17" s="48" t="s">
        <v>254</v>
      </c>
      <c r="G17" s="50" t="s">
        <v>255</v>
      </c>
      <c r="H17" s="48" t="s">
        <v>122</v>
      </c>
      <c r="I17" s="51"/>
      <c r="J17" s="48" t="s">
        <v>144</v>
      </c>
      <c r="K17" s="51"/>
      <c r="L17" s="48"/>
      <c r="M17" s="51"/>
      <c r="N17" s="51"/>
      <c r="O17" s="48"/>
      <c r="P17" s="48" t="s">
        <v>143</v>
      </c>
      <c r="Q17" s="12"/>
      <c r="R17" s="12" t="s">
        <v>122</v>
      </c>
      <c r="S17" s="12" t="s">
        <v>182</v>
      </c>
      <c r="T17" s="12" t="s">
        <v>144</v>
      </c>
      <c r="U17" s="12"/>
      <c r="V17" s="12"/>
      <c r="W17" s="12"/>
      <c r="X17" s="12" t="s">
        <v>182</v>
      </c>
      <c r="Y17" s="12" t="s">
        <v>146</v>
      </c>
      <c r="Z17" s="12"/>
      <c r="AA17" s="12"/>
      <c r="AB17" s="12"/>
      <c r="AC17" s="12"/>
      <c r="AD17" s="12"/>
      <c r="AE17" s="12"/>
    </row>
    <row r="18" spans="2:32" x14ac:dyDescent="0.3">
      <c r="B18" s="48">
        <v>58</v>
      </c>
      <c r="C18" s="48" t="s">
        <v>182</v>
      </c>
      <c r="D18" s="48" t="s">
        <v>45</v>
      </c>
      <c r="E18" s="49" t="s">
        <v>46</v>
      </c>
      <c r="F18" s="48" t="s">
        <v>256</v>
      </c>
      <c r="G18" s="50" t="s">
        <v>257</v>
      </c>
      <c r="H18" s="48" t="s">
        <v>122</v>
      </c>
      <c r="I18" s="51"/>
      <c r="J18" s="48" t="s">
        <v>144</v>
      </c>
      <c r="K18" s="51"/>
      <c r="L18" s="48"/>
      <c r="M18" s="51"/>
      <c r="N18" s="51"/>
      <c r="O18" s="48"/>
      <c r="P18" s="48" t="s">
        <v>143</v>
      </c>
      <c r="Q18" s="12"/>
      <c r="R18" s="12" t="s">
        <v>122</v>
      </c>
      <c r="S18" s="12" t="s">
        <v>182</v>
      </c>
      <c r="T18" s="12" t="s">
        <v>144</v>
      </c>
      <c r="U18" s="12"/>
      <c r="V18" s="12"/>
      <c r="W18" s="12"/>
      <c r="X18" s="12" t="s">
        <v>182</v>
      </c>
      <c r="Y18" s="12" t="s">
        <v>146</v>
      </c>
      <c r="Z18" s="12"/>
      <c r="AA18" s="12"/>
      <c r="AB18" s="12"/>
      <c r="AC18" s="12"/>
      <c r="AD18" s="12"/>
      <c r="AE18" s="12"/>
    </row>
    <row r="19" spans="2:32" x14ac:dyDescent="0.3">
      <c r="B19" s="48">
        <v>59</v>
      </c>
      <c r="C19" s="48" t="s">
        <v>182</v>
      </c>
      <c r="D19" s="48" t="s">
        <v>45</v>
      </c>
      <c r="E19" s="49" t="s">
        <v>46</v>
      </c>
      <c r="F19" s="48" t="s">
        <v>258</v>
      </c>
      <c r="G19" s="50" t="s">
        <v>259</v>
      </c>
      <c r="H19" s="48" t="s">
        <v>122</v>
      </c>
      <c r="I19" s="51"/>
      <c r="J19" s="48" t="s">
        <v>144</v>
      </c>
      <c r="K19" s="51"/>
      <c r="L19" s="48"/>
      <c r="M19" s="51"/>
      <c r="N19" s="51"/>
      <c r="O19" s="48"/>
      <c r="P19" s="48" t="s">
        <v>143</v>
      </c>
      <c r="Q19" s="12"/>
      <c r="R19" s="12" t="s">
        <v>122</v>
      </c>
      <c r="S19" s="12" t="s">
        <v>182</v>
      </c>
      <c r="T19" s="12" t="s">
        <v>144</v>
      </c>
      <c r="U19" s="12"/>
      <c r="V19" s="12"/>
      <c r="W19" s="12"/>
      <c r="X19" s="12" t="s">
        <v>182</v>
      </c>
      <c r="Y19" s="12" t="s">
        <v>146</v>
      </c>
      <c r="Z19" s="12"/>
      <c r="AA19" s="12"/>
      <c r="AB19" s="12"/>
      <c r="AC19" s="12"/>
      <c r="AD19" s="12"/>
      <c r="AE19" s="12"/>
    </row>
    <row r="20" spans="2:32" x14ac:dyDescent="0.3">
      <c r="B20" s="48">
        <v>60</v>
      </c>
      <c r="C20" s="48" t="s">
        <v>182</v>
      </c>
      <c r="D20" s="48" t="s">
        <v>45</v>
      </c>
      <c r="E20" s="49" t="s">
        <v>46</v>
      </c>
      <c r="F20" s="48" t="s">
        <v>260</v>
      </c>
      <c r="G20" s="50" t="s">
        <v>261</v>
      </c>
      <c r="H20" s="48" t="s">
        <v>122</v>
      </c>
      <c r="I20" s="51"/>
      <c r="J20" s="48" t="s">
        <v>144</v>
      </c>
      <c r="K20" s="51"/>
      <c r="L20" s="48"/>
      <c r="M20" s="51"/>
      <c r="N20" s="51"/>
      <c r="O20" s="48"/>
      <c r="P20" s="48" t="s">
        <v>143</v>
      </c>
      <c r="Q20" s="12"/>
      <c r="R20" s="12" t="s">
        <v>122</v>
      </c>
      <c r="S20" s="12" t="s">
        <v>182</v>
      </c>
      <c r="T20" s="12" t="s">
        <v>144</v>
      </c>
      <c r="U20" s="12"/>
      <c r="V20" s="12"/>
      <c r="W20" s="12"/>
      <c r="X20" s="12" t="s">
        <v>182</v>
      </c>
      <c r="Y20" s="12" t="s">
        <v>146</v>
      </c>
      <c r="Z20" s="12"/>
      <c r="AA20" s="12"/>
      <c r="AB20" s="12"/>
      <c r="AC20" s="12"/>
      <c r="AD20" s="12"/>
      <c r="AE20" s="12"/>
    </row>
    <row r="21" spans="2:32" x14ac:dyDescent="0.3">
      <c r="B21" s="48">
        <v>61</v>
      </c>
      <c r="C21" s="48" t="s">
        <v>182</v>
      </c>
      <c r="D21" s="48" t="s">
        <v>45</v>
      </c>
      <c r="E21" s="49" t="s">
        <v>46</v>
      </c>
      <c r="F21" s="48" t="s">
        <v>262</v>
      </c>
      <c r="G21" s="50" t="s">
        <v>263</v>
      </c>
      <c r="H21" s="48" t="s">
        <v>122</v>
      </c>
      <c r="I21" s="51"/>
      <c r="J21" s="48" t="s">
        <v>144</v>
      </c>
      <c r="K21" s="51"/>
      <c r="L21" s="48"/>
      <c r="M21" s="51"/>
      <c r="N21" s="51"/>
      <c r="O21" s="48"/>
      <c r="P21" s="48" t="s">
        <v>143</v>
      </c>
      <c r="Q21" s="12"/>
      <c r="R21" s="12" t="s">
        <v>122</v>
      </c>
      <c r="S21" s="12" t="s">
        <v>182</v>
      </c>
      <c r="T21" s="12" t="s">
        <v>144</v>
      </c>
      <c r="U21" s="12"/>
      <c r="V21" s="12"/>
      <c r="W21" s="12"/>
      <c r="X21" s="12" t="s">
        <v>182</v>
      </c>
      <c r="Y21" s="12" t="s">
        <v>146</v>
      </c>
      <c r="Z21" s="12"/>
      <c r="AA21" s="12"/>
      <c r="AB21" s="12"/>
      <c r="AC21" s="12"/>
      <c r="AD21" s="12"/>
      <c r="AE21" s="12"/>
    </row>
    <row r="22" spans="2:32" x14ac:dyDescent="0.3">
      <c r="B22" s="48">
        <v>62</v>
      </c>
      <c r="C22" s="48" t="s">
        <v>182</v>
      </c>
      <c r="D22" s="48" t="s">
        <v>45</v>
      </c>
      <c r="E22" s="49" t="s">
        <v>46</v>
      </c>
      <c r="F22" s="48" t="s">
        <v>264</v>
      </c>
      <c r="G22" s="50" t="s">
        <v>265</v>
      </c>
      <c r="H22" s="48" t="s">
        <v>122</v>
      </c>
      <c r="I22" s="51"/>
      <c r="J22" s="48" t="s">
        <v>144</v>
      </c>
      <c r="K22" s="51"/>
      <c r="L22" s="48"/>
      <c r="M22" s="51"/>
      <c r="N22" s="51"/>
      <c r="O22" s="48"/>
      <c r="P22" s="48" t="s">
        <v>143</v>
      </c>
      <c r="Q22" s="12"/>
      <c r="R22" s="12" t="s">
        <v>122</v>
      </c>
      <c r="S22" s="12" t="s">
        <v>182</v>
      </c>
      <c r="T22" s="12" t="s">
        <v>144</v>
      </c>
      <c r="U22" s="12"/>
      <c r="V22" s="12"/>
      <c r="W22" s="12"/>
      <c r="X22" s="12" t="s">
        <v>182</v>
      </c>
      <c r="Y22" s="12" t="s">
        <v>146</v>
      </c>
      <c r="Z22" s="12"/>
      <c r="AA22" s="12"/>
      <c r="AB22" s="12"/>
      <c r="AC22" s="12"/>
      <c r="AD22" s="12"/>
      <c r="AE22" s="12"/>
    </row>
    <row r="23" spans="2:32" x14ac:dyDescent="0.3">
      <c r="B23" s="48">
        <v>63</v>
      </c>
      <c r="C23" s="48" t="s">
        <v>182</v>
      </c>
      <c r="D23" s="48" t="s">
        <v>45</v>
      </c>
      <c r="E23" s="49" t="s">
        <v>46</v>
      </c>
      <c r="F23" s="48" t="s">
        <v>266</v>
      </c>
      <c r="G23" s="50" t="s">
        <v>267</v>
      </c>
      <c r="H23" s="48" t="s">
        <v>122</v>
      </c>
      <c r="I23" s="51"/>
      <c r="J23" s="48" t="s">
        <v>144</v>
      </c>
      <c r="K23" s="51"/>
      <c r="L23" s="48"/>
      <c r="M23" s="51"/>
      <c r="N23" s="51"/>
      <c r="O23" s="48"/>
      <c r="P23" s="48" t="s">
        <v>143</v>
      </c>
      <c r="Q23" s="12"/>
      <c r="R23" s="12" t="s">
        <v>122</v>
      </c>
      <c r="S23" s="12" t="s">
        <v>182</v>
      </c>
      <c r="T23" s="12" t="s">
        <v>144</v>
      </c>
      <c r="U23" s="12"/>
      <c r="V23" s="12"/>
      <c r="W23" s="12"/>
      <c r="X23" s="12" t="s">
        <v>182</v>
      </c>
      <c r="Y23" s="12" t="s">
        <v>146</v>
      </c>
      <c r="Z23" s="12"/>
      <c r="AA23" s="12" t="s">
        <v>146</v>
      </c>
      <c r="AB23" s="12"/>
      <c r="AC23" s="12"/>
      <c r="AD23" s="12"/>
      <c r="AE23" s="12"/>
    </row>
    <row r="24" spans="2:32" ht="36" x14ac:dyDescent="0.3">
      <c r="B24" s="8">
        <v>120</v>
      </c>
      <c r="C24" s="8" t="s">
        <v>182</v>
      </c>
      <c r="D24" s="8" t="s">
        <v>268</v>
      </c>
      <c r="E24" s="8" t="s">
        <v>72</v>
      </c>
      <c r="F24" s="8" t="s">
        <v>269</v>
      </c>
      <c r="G24" s="9" t="s">
        <v>270</v>
      </c>
      <c r="H24" s="10" t="s">
        <v>75</v>
      </c>
      <c r="I24" s="10" t="s">
        <v>93</v>
      </c>
      <c r="J24" s="10" t="s">
        <v>51</v>
      </c>
      <c r="K24" s="10" t="s">
        <v>78</v>
      </c>
      <c r="L24" s="10"/>
      <c r="M24" s="10"/>
      <c r="N24" s="11"/>
      <c r="O24" s="11" t="s">
        <v>79</v>
      </c>
      <c r="P24" s="11" t="s">
        <v>80</v>
      </c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3"/>
    </row>
    <row r="25" spans="2:32" ht="36" x14ac:dyDescent="0.3">
      <c r="B25" s="8">
        <v>124</v>
      </c>
      <c r="C25" s="8" t="s">
        <v>182</v>
      </c>
      <c r="D25" s="8" t="s">
        <v>268</v>
      </c>
      <c r="E25" s="8" t="s">
        <v>72</v>
      </c>
      <c r="F25" s="8" t="s">
        <v>271</v>
      </c>
      <c r="G25" s="9" t="s">
        <v>272</v>
      </c>
      <c r="H25" s="10" t="s">
        <v>75</v>
      </c>
      <c r="I25" s="10" t="s">
        <v>76</v>
      </c>
      <c r="J25" s="10" t="s">
        <v>273</v>
      </c>
      <c r="K25" s="10" t="s">
        <v>78</v>
      </c>
      <c r="L25" s="10"/>
      <c r="M25" s="10"/>
      <c r="N25" s="11"/>
      <c r="O25" s="11" t="s">
        <v>79</v>
      </c>
      <c r="P25" s="11" t="s">
        <v>80</v>
      </c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3"/>
    </row>
    <row r="26" spans="2:32" ht="36" x14ac:dyDescent="0.3">
      <c r="B26" s="8">
        <v>126</v>
      </c>
      <c r="C26" s="8" t="s">
        <v>182</v>
      </c>
      <c r="D26" s="8" t="s">
        <v>268</v>
      </c>
      <c r="E26" s="8" t="s">
        <v>72</v>
      </c>
      <c r="F26" s="8" t="s">
        <v>274</v>
      </c>
      <c r="G26" s="9" t="s">
        <v>275</v>
      </c>
      <c r="H26" s="10" t="s">
        <v>75</v>
      </c>
      <c r="I26" s="10" t="s">
        <v>93</v>
      </c>
      <c r="J26" s="10" t="s">
        <v>51</v>
      </c>
      <c r="K26" s="10" t="s">
        <v>78</v>
      </c>
      <c r="L26" s="10"/>
      <c r="M26" s="10"/>
      <c r="N26" s="11"/>
      <c r="O26" s="11" t="s">
        <v>79</v>
      </c>
      <c r="P26" s="11" t="s">
        <v>80</v>
      </c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3"/>
    </row>
    <row r="27" spans="2:32" ht="36" x14ac:dyDescent="0.3">
      <c r="B27" s="8">
        <v>127</v>
      </c>
      <c r="C27" s="8" t="s">
        <v>182</v>
      </c>
      <c r="D27" s="8" t="s">
        <v>268</v>
      </c>
      <c r="E27" s="8" t="s">
        <v>72</v>
      </c>
      <c r="F27" s="8" t="s">
        <v>276</v>
      </c>
      <c r="G27" s="9" t="s">
        <v>277</v>
      </c>
      <c r="H27" s="10" t="s">
        <v>75</v>
      </c>
      <c r="I27" s="10" t="s">
        <v>93</v>
      </c>
      <c r="J27" s="10" t="s">
        <v>51</v>
      </c>
      <c r="K27" s="10" t="s">
        <v>78</v>
      </c>
      <c r="L27" s="10"/>
      <c r="M27" s="10"/>
      <c r="N27" s="11"/>
      <c r="O27" s="11" t="s">
        <v>79</v>
      </c>
      <c r="P27" s="11" t="s">
        <v>80</v>
      </c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3"/>
    </row>
    <row r="28" spans="2:32" ht="36" x14ac:dyDescent="0.3">
      <c r="B28" s="8">
        <v>128</v>
      </c>
      <c r="C28" s="8" t="s">
        <v>182</v>
      </c>
      <c r="D28" s="8"/>
      <c r="E28" s="8" t="s">
        <v>72</v>
      </c>
      <c r="F28" s="8"/>
      <c r="G28" s="9" t="s">
        <v>278</v>
      </c>
      <c r="H28" s="10" t="s">
        <v>196</v>
      </c>
      <c r="I28" s="10" t="s">
        <v>93</v>
      </c>
      <c r="J28" s="10" t="s">
        <v>142</v>
      </c>
      <c r="K28" s="10"/>
      <c r="L28" s="10"/>
      <c r="M28" s="10"/>
      <c r="N28" s="11"/>
      <c r="O28" s="11" t="s">
        <v>79</v>
      </c>
      <c r="P28" s="11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3"/>
    </row>
  </sheetData>
  <phoneticPr fontId="1" type="noConversion"/>
  <hyperlinks>
    <hyperlink ref="G3" location="SKU현황!A1" display="SKU 현황" xr:uid="{BAC9E726-84C7-4CA1-8414-DEBAABFDF7E5}"/>
    <hyperlink ref="G4" location="재고!A1" display="재고" xr:uid="{37137A51-7850-42CF-948D-5F12310979FD}"/>
    <hyperlink ref="G5" location="주문결품정보!A1" display="주문 실적/결품 수량" xr:uid="{F855BF93-354F-486E-B2F2-B83A3BD54BDB}"/>
    <hyperlink ref="G6" location="판매실적!A1" display="판매 실적" xr:uid="{A080B56D-B752-4382-9C74-725F6C4AB6DA}"/>
    <hyperlink ref="G7" location="SKU목표!A1" display="SKU 목표" xr:uid="{2F79BD3E-FD0B-4B23-9FC5-930642CC2415}"/>
    <hyperlink ref="G8" location="기준환율!A1" display="기준환율" xr:uid="{42E47944-C65C-4436-83DF-FC4DD8E09B13}"/>
    <hyperlink ref="G9" location="거래처재고!A1" display="거래처 재고" xr:uid="{75262FB7-C644-40EE-AF0C-312582F544FA}"/>
    <hyperlink ref="G10" location="기타수요!A1" display="기타 수요(잡출)" xr:uid="{D4F5E8D9-B70C-45E7-986B-DBAD5CDB2DE8}"/>
    <hyperlink ref="G12" location="'DP-42-1.자재정보추가_BW'!A1" display="DP-42-1.  자재정보추가_BW" xr:uid="{B7A1CF3A-6B93-4F6E-A794-45D47C16359F}"/>
    <hyperlink ref="G13" location="'DP-42-2.자재정보추가_BW'!A1" display="DP-42-2.  자재정보추가_BW" xr:uid="{E6CFE071-1154-44E8-9D36-9E0CB6FD8AE2}"/>
    <hyperlink ref="G14" location="'DP-42-3.자재정보추가_BW'!A1" display="DP-42-3.  자재정보추가_BW" xr:uid="{4EFF1CC7-D008-49A3-99A2-A0C4DFFC0168}"/>
    <hyperlink ref="G15" location="'DP-43-1.거래처정보추가_BW'!A1" display="DP-43-1. 거래처정보추가_BW" xr:uid="{B1DD7A5B-3A28-4160-B22D-E273845FFB01}"/>
    <hyperlink ref="G16" location="'DP-43-2.거래처정보추가_BW'!A1" display="DP-43-2. 거래처정보추가_BW" xr:uid="{A247B8CF-A172-4DCD-AEB8-7F3B94D4B9DC}"/>
    <hyperlink ref="G17" location="'DP-43-3.거래처정보추가_BW'!A1" display="DP-43-3. 거래처정보추가_BW" xr:uid="{F92D5C88-3313-4C19-937C-D619A468FF1B}"/>
    <hyperlink ref="G18" location="'DP-43-4.거래처정보추가_BW'!A1" display="DP-43-4. 거래처정보추가_BW" xr:uid="{E7B2E128-A874-4886-8557-004DA5B64767}"/>
    <hyperlink ref="G19" location="'DP-43-5.거래처정보추가_BW'!A1" display="DP-43-5. 거래처정보추가_BW" xr:uid="{4161FC63-4624-4014-9212-CA249A11E123}"/>
    <hyperlink ref="G20" location="'DP-44.마감계획_BW'!A1" display="DP-44. 마감계획_BW" xr:uid="{967116CB-61E2-4F23-BF71-D2F2781B9609}"/>
    <hyperlink ref="G21" location="'DP-46.판매실적_거래처&amp;SKU'!A1" display="DP-46. 판매실적_거래처&amp;SKU" xr:uid="{3165B0FE-E838-4552-AD3A-4079281C850D}"/>
    <hyperlink ref="G22" location="'DP-48.주문실적_거래처&amp;SKU'!A1" display="DP-48. 주문실적_거래처&amp;SKU" xr:uid="{D3BDA0CF-F913-433B-847F-9B556DE02CAA}"/>
    <hyperlink ref="G23" location="'DP-49.목표&amp;예상이익'!A1" display="DP-49. 목표&amp;예상이익" xr:uid="{5F7F43F7-0763-45F8-AAF4-3A0C0CD72256}"/>
  </hyperlinks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64EF-4E2B-41A7-843A-C8AE9A5425C7}">
  <sheetPr>
    <tabColor theme="5" tint="0.79998168889431442"/>
  </sheetPr>
  <dimension ref="B2:AE11"/>
  <sheetViews>
    <sheetView workbookViewId="0">
      <selection activeCell="P8" sqref="P8"/>
    </sheetView>
  </sheetViews>
  <sheetFormatPr defaultRowHeight="16.5" x14ac:dyDescent="0.3"/>
  <cols>
    <col min="7" max="7" width="31.75" bestFit="1" customWidth="1"/>
    <col min="16" max="16" width="16.5" bestFit="1" customWidth="1"/>
  </cols>
  <sheetData>
    <row r="2" spans="2:31" ht="48" x14ac:dyDescent="0.3">
      <c r="B2" s="23" t="s">
        <v>15</v>
      </c>
      <c r="C2" s="23" t="s">
        <v>16</v>
      </c>
      <c r="D2" s="23" t="s">
        <v>17</v>
      </c>
      <c r="E2" s="23" t="s">
        <v>18</v>
      </c>
      <c r="F2" s="23" t="s">
        <v>19</v>
      </c>
      <c r="G2" s="23" t="s">
        <v>20</v>
      </c>
      <c r="H2" s="23" t="s">
        <v>21</v>
      </c>
      <c r="I2" s="23" t="s">
        <v>22</v>
      </c>
      <c r="J2" s="23" t="s">
        <v>23</v>
      </c>
      <c r="K2" s="23" t="s">
        <v>24</v>
      </c>
      <c r="L2" s="23" t="s">
        <v>25</v>
      </c>
      <c r="M2" s="23" t="s">
        <v>26</v>
      </c>
      <c r="N2" s="23" t="s">
        <v>27</v>
      </c>
      <c r="O2" s="23" t="s">
        <v>28</v>
      </c>
      <c r="P2" s="23" t="s">
        <v>29</v>
      </c>
      <c r="Q2" s="24"/>
      <c r="R2" s="25" t="s">
        <v>30</v>
      </c>
      <c r="S2" s="25" t="s">
        <v>31</v>
      </c>
      <c r="T2" s="25" t="s">
        <v>32</v>
      </c>
      <c r="U2" s="25" t="s">
        <v>33</v>
      </c>
      <c r="V2" s="26" t="s">
        <v>34</v>
      </c>
      <c r="W2" s="26" t="s">
        <v>35</v>
      </c>
      <c r="X2" s="27" t="s">
        <v>36</v>
      </c>
      <c r="Y2" s="27" t="s">
        <v>37</v>
      </c>
      <c r="Z2" s="27" t="s">
        <v>38</v>
      </c>
      <c r="AA2" s="27" t="s">
        <v>39</v>
      </c>
      <c r="AB2" s="27" t="s">
        <v>40</v>
      </c>
      <c r="AC2" s="25" t="s">
        <v>41</v>
      </c>
      <c r="AD2" s="25" t="s">
        <v>42</v>
      </c>
      <c r="AE2" s="25" t="s">
        <v>43</v>
      </c>
    </row>
    <row r="3" spans="2:31" x14ac:dyDescent="0.3">
      <c r="B3" s="48">
        <v>47</v>
      </c>
      <c r="C3" s="48" t="s">
        <v>139</v>
      </c>
      <c r="D3" s="48" t="s">
        <v>45</v>
      </c>
      <c r="E3" s="49" t="s">
        <v>46</v>
      </c>
      <c r="F3" s="48" t="s">
        <v>140</v>
      </c>
      <c r="G3" s="50" t="s">
        <v>141</v>
      </c>
      <c r="H3" s="48" t="s">
        <v>75</v>
      </c>
      <c r="I3" s="51"/>
      <c r="J3" s="48" t="s">
        <v>142</v>
      </c>
      <c r="K3" s="51"/>
      <c r="L3" s="48"/>
      <c r="M3" s="51"/>
      <c r="N3" s="51"/>
      <c r="O3" s="48"/>
      <c r="P3" s="48" t="s">
        <v>143</v>
      </c>
      <c r="Q3" s="12"/>
      <c r="R3" s="12" t="s">
        <v>75</v>
      </c>
      <c r="S3" s="12" t="s">
        <v>139</v>
      </c>
      <c r="T3" s="12" t="s">
        <v>144</v>
      </c>
      <c r="U3" s="12"/>
      <c r="V3" s="12"/>
      <c r="W3" s="12" t="s">
        <v>145</v>
      </c>
      <c r="X3" s="12" t="s">
        <v>139</v>
      </c>
      <c r="Y3" s="12" t="s">
        <v>146</v>
      </c>
      <c r="Z3" s="12" t="s">
        <v>147</v>
      </c>
      <c r="AA3" s="12" t="s">
        <v>144</v>
      </c>
      <c r="AB3" s="12">
        <v>5</v>
      </c>
      <c r="AC3" s="12"/>
      <c r="AD3" s="12"/>
      <c r="AE3" s="12"/>
    </row>
    <row r="4" spans="2:31" x14ac:dyDescent="0.3">
      <c r="B4" s="48">
        <v>48</v>
      </c>
      <c r="C4" s="48" t="s">
        <v>139</v>
      </c>
      <c r="D4" s="48" t="s">
        <v>45</v>
      </c>
      <c r="E4" s="49" t="s">
        <v>46</v>
      </c>
      <c r="F4" s="48" t="s">
        <v>148</v>
      </c>
      <c r="G4" s="50" t="s">
        <v>149</v>
      </c>
      <c r="H4" s="48" t="s">
        <v>75</v>
      </c>
      <c r="I4" s="51"/>
      <c r="J4" s="48" t="s">
        <v>144</v>
      </c>
      <c r="K4" s="51"/>
      <c r="L4" s="48"/>
      <c r="M4" s="51"/>
      <c r="N4" s="51"/>
      <c r="O4" s="48"/>
      <c r="P4" s="48" t="s">
        <v>143</v>
      </c>
      <c r="Q4" s="12"/>
      <c r="R4" s="12" t="s">
        <v>75</v>
      </c>
      <c r="S4" s="12" t="s">
        <v>139</v>
      </c>
      <c r="T4" s="12" t="s">
        <v>144</v>
      </c>
      <c r="U4" s="12"/>
      <c r="V4" s="12"/>
      <c r="W4" s="12" t="s">
        <v>150</v>
      </c>
      <c r="X4" s="12" t="s">
        <v>139</v>
      </c>
      <c r="Y4" s="12" t="s">
        <v>146</v>
      </c>
      <c r="Z4" s="12" t="s">
        <v>147</v>
      </c>
      <c r="AA4" s="12" t="s">
        <v>144</v>
      </c>
      <c r="AB4" s="12">
        <v>5</v>
      </c>
      <c r="AC4" s="12"/>
      <c r="AD4" s="12"/>
      <c r="AE4" s="12"/>
    </row>
    <row r="5" spans="2:31" x14ac:dyDescent="0.3">
      <c r="B5" s="48">
        <v>50</v>
      </c>
      <c r="C5" s="48" t="s">
        <v>139</v>
      </c>
      <c r="D5" s="48" t="s">
        <v>45</v>
      </c>
      <c r="E5" s="49" t="s">
        <v>46</v>
      </c>
      <c r="F5" s="48" t="s">
        <v>151</v>
      </c>
      <c r="G5" s="50" t="s">
        <v>152</v>
      </c>
      <c r="H5" s="48" t="s">
        <v>92</v>
      </c>
      <c r="I5" s="51"/>
      <c r="J5" s="48" t="s">
        <v>144</v>
      </c>
      <c r="K5" s="51"/>
      <c r="L5" s="48"/>
      <c r="M5" s="51"/>
      <c r="N5" s="51"/>
      <c r="O5" s="48"/>
      <c r="P5" s="48" t="s">
        <v>143</v>
      </c>
      <c r="Q5" s="12"/>
      <c r="R5" s="12" t="s">
        <v>92</v>
      </c>
      <c r="S5" s="12" t="s">
        <v>139</v>
      </c>
      <c r="T5" s="12" t="s">
        <v>144</v>
      </c>
      <c r="U5" s="12"/>
      <c r="V5" s="12"/>
      <c r="W5" s="12" t="s">
        <v>153</v>
      </c>
      <c r="X5" s="12" t="s">
        <v>139</v>
      </c>
      <c r="Y5" s="12" t="s">
        <v>146</v>
      </c>
      <c r="Z5" s="12" t="s">
        <v>154</v>
      </c>
      <c r="AA5" s="12" t="s">
        <v>144</v>
      </c>
      <c r="AB5" s="12">
        <v>5</v>
      </c>
      <c r="AC5" s="12"/>
      <c r="AD5" s="12"/>
      <c r="AE5" s="12"/>
    </row>
    <row r="6" spans="2:31" x14ac:dyDescent="0.3">
      <c r="B6" s="48">
        <v>51</v>
      </c>
      <c r="C6" s="48" t="s">
        <v>139</v>
      </c>
      <c r="D6" s="48" t="s">
        <v>45</v>
      </c>
      <c r="E6" s="49" t="s">
        <v>46</v>
      </c>
      <c r="F6" s="48" t="s">
        <v>155</v>
      </c>
      <c r="G6" s="50" t="s">
        <v>156</v>
      </c>
      <c r="H6" s="48" t="s">
        <v>92</v>
      </c>
      <c r="I6" s="51"/>
      <c r="J6" s="48" t="s">
        <v>144</v>
      </c>
      <c r="K6" s="51"/>
      <c r="L6" s="48"/>
      <c r="M6" s="51"/>
      <c r="N6" s="51"/>
      <c r="O6" s="48"/>
      <c r="P6" s="48" t="s">
        <v>143</v>
      </c>
      <c r="Q6" s="12"/>
      <c r="R6" s="12" t="s">
        <v>92</v>
      </c>
      <c r="S6" s="12" t="s">
        <v>139</v>
      </c>
      <c r="T6" s="12" t="s">
        <v>144</v>
      </c>
      <c r="U6" s="12"/>
      <c r="V6" s="12"/>
      <c r="W6" s="12"/>
      <c r="X6" s="12" t="s">
        <v>139</v>
      </c>
      <c r="Y6" s="12" t="s">
        <v>146</v>
      </c>
      <c r="Z6" s="12"/>
      <c r="AA6" s="12" t="s">
        <v>144</v>
      </c>
      <c r="AB6" s="12">
        <v>5</v>
      </c>
      <c r="AC6" s="12"/>
      <c r="AD6" s="12"/>
      <c r="AE6" s="12"/>
    </row>
    <row r="7" spans="2:31" x14ac:dyDescent="0.3">
      <c r="B7" s="8">
        <v>108</v>
      </c>
      <c r="C7" s="8" t="s">
        <v>139</v>
      </c>
      <c r="D7" s="8" t="s">
        <v>157</v>
      </c>
      <c r="E7" s="8" t="s">
        <v>72</v>
      </c>
      <c r="F7" s="8" t="s">
        <v>158</v>
      </c>
      <c r="G7" s="11" t="s">
        <v>159</v>
      </c>
      <c r="H7" s="10" t="s">
        <v>75</v>
      </c>
      <c r="I7" s="10" t="s">
        <v>76</v>
      </c>
      <c r="J7" s="10" t="s">
        <v>51</v>
      </c>
      <c r="K7" s="10" t="s">
        <v>94</v>
      </c>
      <c r="L7" s="10"/>
      <c r="M7" s="10"/>
      <c r="N7" s="11"/>
      <c r="O7" s="11" t="s">
        <v>79</v>
      </c>
      <c r="P7" s="11" t="s">
        <v>160</v>
      </c>
      <c r="Q7" s="11"/>
      <c r="R7" s="4" t="s">
        <v>75</v>
      </c>
      <c r="S7" s="13" t="s">
        <v>139</v>
      </c>
      <c r="T7" s="4" t="s">
        <v>51</v>
      </c>
      <c r="U7" s="13" t="s">
        <v>57</v>
      </c>
      <c r="V7" s="13" t="s">
        <v>161</v>
      </c>
      <c r="W7" s="5"/>
      <c r="X7" s="42" t="s">
        <v>7</v>
      </c>
      <c r="Y7" s="43" t="s">
        <v>162</v>
      </c>
      <c r="Z7" s="15"/>
      <c r="AA7" s="16" t="s">
        <v>126</v>
      </c>
      <c r="AB7" s="17">
        <v>3</v>
      </c>
      <c r="AC7" s="44" t="s">
        <v>163</v>
      </c>
      <c r="AD7" s="45"/>
      <c r="AE7" s="19" t="s">
        <v>164</v>
      </c>
    </row>
    <row r="8" spans="2:31" ht="48" x14ac:dyDescent="0.3">
      <c r="B8" s="8">
        <v>109</v>
      </c>
      <c r="C8" s="8" t="s">
        <v>139</v>
      </c>
      <c r="D8" s="8" t="s">
        <v>165</v>
      </c>
      <c r="E8" s="8" t="s">
        <v>72</v>
      </c>
      <c r="F8" s="8" t="s">
        <v>166</v>
      </c>
      <c r="G8" s="11" t="s">
        <v>167</v>
      </c>
      <c r="H8" s="10" t="s">
        <v>75</v>
      </c>
      <c r="I8" s="10" t="s">
        <v>93</v>
      </c>
      <c r="J8" s="10" t="s">
        <v>51</v>
      </c>
      <c r="K8" s="10" t="s">
        <v>94</v>
      </c>
      <c r="L8" s="10"/>
      <c r="M8" s="10"/>
      <c r="N8" s="11"/>
      <c r="O8" s="11" t="s">
        <v>79</v>
      </c>
      <c r="P8" s="11" t="s">
        <v>160</v>
      </c>
      <c r="Q8" s="11"/>
      <c r="R8" s="4" t="s">
        <v>75</v>
      </c>
      <c r="S8" s="13" t="s">
        <v>139</v>
      </c>
      <c r="T8" s="4" t="s">
        <v>51</v>
      </c>
      <c r="U8" s="13" t="s">
        <v>57</v>
      </c>
      <c r="V8" s="13" t="s">
        <v>161</v>
      </c>
      <c r="W8" s="5"/>
      <c r="X8" s="46" t="s">
        <v>7</v>
      </c>
      <c r="Y8" s="46" t="s">
        <v>168</v>
      </c>
      <c r="Z8" s="15"/>
      <c r="AA8" s="16" t="s">
        <v>126</v>
      </c>
      <c r="AB8" s="17">
        <v>3</v>
      </c>
      <c r="AC8" s="47" t="s">
        <v>169</v>
      </c>
      <c r="AD8" s="47"/>
      <c r="AE8" s="19" t="s">
        <v>164</v>
      </c>
    </row>
    <row r="9" spans="2:31" ht="48" x14ac:dyDescent="0.3">
      <c r="B9" s="8">
        <v>110</v>
      </c>
      <c r="C9" s="8" t="s">
        <v>139</v>
      </c>
      <c r="D9" s="8" t="s">
        <v>170</v>
      </c>
      <c r="E9" s="8" t="s">
        <v>72</v>
      </c>
      <c r="F9" s="8" t="s">
        <v>171</v>
      </c>
      <c r="G9" s="11" t="s">
        <v>172</v>
      </c>
      <c r="H9" s="10" t="s">
        <v>75</v>
      </c>
      <c r="I9" s="10" t="s">
        <v>93</v>
      </c>
      <c r="J9" s="10" t="s">
        <v>51</v>
      </c>
      <c r="K9" s="10" t="s">
        <v>94</v>
      </c>
      <c r="L9" s="10"/>
      <c r="M9" s="10"/>
      <c r="N9" s="11"/>
      <c r="O9" s="11" t="s">
        <v>79</v>
      </c>
      <c r="P9" s="11" t="s">
        <v>160</v>
      </c>
      <c r="Q9" s="11"/>
      <c r="R9" s="4" t="s">
        <v>75</v>
      </c>
      <c r="S9" s="13" t="s">
        <v>139</v>
      </c>
      <c r="T9" s="4" t="s">
        <v>51</v>
      </c>
      <c r="U9" s="13" t="s">
        <v>57</v>
      </c>
      <c r="V9" s="13" t="s">
        <v>161</v>
      </c>
      <c r="W9" s="5"/>
      <c r="X9" s="46" t="s">
        <v>7</v>
      </c>
      <c r="Y9" s="46" t="s">
        <v>173</v>
      </c>
      <c r="Z9" s="15"/>
      <c r="AA9" s="16" t="s">
        <v>126</v>
      </c>
      <c r="AB9" s="17">
        <v>3</v>
      </c>
      <c r="AC9" s="47" t="s">
        <v>169</v>
      </c>
      <c r="AD9" s="47"/>
      <c r="AE9" s="19" t="s">
        <v>164</v>
      </c>
    </row>
    <row r="10" spans="2:31" x14ac:dyDescent="0.3">
      <c r="B10" s="8">
        <v>112</v>
      </c>
      <c r="C10" s="8" t="s">
        <v>139</v>
      </c>
      <c r="D10" s="8" t="s">
        <v>174</v>
      </c>
      <c r="E10" s="8" t="s">
        <v>72</v>
      </c>
      <c r="F10" s="8" t="s">
        <v>175</v>
      </c>
      <c r="G10" s="9" t="s">
        <v>176</v>
      </c>
      <c r="H10" s="10" t="s">
        <v>75</v>
      </c>
      <c r="I10" s="10" t="s">
        <v>93</v>
      </c>
      <c r="J10" s="10" t="s">
        <v>51</v>
      </c>
      <c r="K10" s="10" t="s">
        <v>94</v>
      </c>
      <c r="L10" s="10"/>
      <c r="M10" s="10"/>
      <c r="N10" s="11"/>
      <c r="O10" s="11" t="s">
        <v>79</v>
      </c>
      <c r="P10" s="11"/>
      <c r="Q10" s="11"/>
      <c r="R10" s="4" t="s">
        <v>75</v>
      </c>
      <c r="S10" s="13" t="s">
        <v>139</v>
      </c>
      <c r="T10" s="4" t="s">
        <v>51</v>
      </c>
      <c r="U10" s="13" t="s">
        <v>57</v>
      </c>
      <c r="V10" s="13" t="s">
        <v>161</v>
      </c>
      <c r="W10" s="5"/>
      <c r="X10" s="42" t="s">
        <v>7</v>
      </c>
      <c r="Y10" s="43" t="s">
        <v>177</v>
      </c>
      <c r="Z10" s="15"/>
      <c r="AA10" s="16" t="s">
        <v>126</v>
      </c>
      <c r="AB10" s="17">
        <v>3</v>
      </c>
      <c r="AC10" s="44" t="s">
        <v>163</v>
      </c>
      <c r="AD10" s="45"/>
      <c r="AE10" s="19" t="s">
        <v>164</v>
      </c>
    </row>
    <row r="11" spans="2:31" x14ac:dyDescent="0.3">
      <c r="B11" s="8">
        <v>113</v>
      </c>
      <c r="C11" s="8" t="s">
        <v>139</v>
      </c>
      <c r="D11" s="8" t="s">
        <v>178</v>
      </c>
      <c r="E11" s="8" t="s">
        <v>72</v>
      </c>
      <c r="F11" s="8" t="s">
        <v>179</v>
      </c>
      <c r="G11" s="9" t="s">
        <v>180</v>
      </c>
      <c r="H11" s="10" t="s">
        <v>75</v>
      </c>
      <c r="I11" s="10" t="s">
        <v>93</v>
      </c>
      <c r="J11" s="10" t="s">
        <v>51</v>
      </c>
      <c r="K11" s="10" t="s">
        <v>94</v>
      </c>
      <c r="L11" s="10"/>
      <c r="M11" s="10"/>
      <c r="N11" s="11"/>
      <c r="O11" s="11" t="s">
        <v>79</v>
      </c>
      <c r="P11" s="11"/>
      <c r="Q11" s="11"/>
      <c r="R11" s="4" t="s">
        <v>75</v>
      </c>
      <c r="S11" s="13" t="s">
        <v>139</v>
      </c>
      <c r="T11" s="4" t="s">
        <v>51</v>
      </c>
      <c r="U11" s="13" t="s">
        <v>57</v>
      </c>
      <c r="V11" s="13" t="s">
        <v>161</v>
      </c>
      <c r="W11" s="5"/>
      <c r="X11" s="42" t="s">
        <v>7</v>
      </c>
      <c r="Y11" s="43" t="s">
        <v>181</v>
      </c>
      <c r="Z11" s="15"/>
      <c r="AA11" s="16" t="s">
        <v>126</v>
      </c>
      <c r="AB11" s="17">
        <v>3</v>
      </c>
      <c r="AC11" s="44" t="s">
        <v>163</v>
      </c>
      <c r="AD11" s="45"/>
      <c r="AE11" s="19" t="s">
        <v>164</v>
      </c>
    </row>
  </sheetData>
  <phoneticPr fontId="1" type="noConversion"/>
  <hyperlinks>
    <hyperlink ref="G3" location="'유통사 판매 재고'!A1" display="거래처 협업 유통사 판매 재고" xr:uid="{DE4851C1-8793-4A56-9F9C-8447CB5F7F13}"/>
    <hyperlink ref="G4" location="'유통사 판매 재고_월'!A1" display="거래처 협업 유통사 판매 재고(월)" xr:uid="{757547E7-92AE-4709-9B64-2501CB9676DE}"/>
    <hyperlink ref="G5" location="'재고 Aging 상태'!A1" display="재고 Aging 상태" xr:uid="{C4742C5B-5F0C-4088-8DBF-BBC672B47A1C}"/>
    <hyperlink ref="G6" location="엔진상품리스트!A1" display="엔진상품 리스트" xr:uid="{7BC1967E-8F03-41CF-825E-D4B661FA1B79}"/>
  </hyperlinks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2153-20EF-42FE-979F-C062F6A8E05F}">
  <dimension ref="B2:AF15"/>
  <sheetViews>
    <sheetView workbookViewId="0">
      <selection activeCell="F25" sqref="F25"/>
    </sheetView>
  </sheetViews>
  <sheetFormatPr defaultRowHeight="16.5" x14ac:dyDescent="0.3"/>
  <cols>
    <col min="7" max="7" width="29.875" customWidth="1"/>
    <col min="14" max="14" width="19.25" bestFit="1" customWidth="1"/>
    <col min="15" max="15" width="21.5" bestFit="1" customWidth="1"/>
    <col min="16" max="16" width="24.75" bestFit="1" customWidth="1"/>
    <col min="26" max="26" width="26.875" bestFit="1" customWidth="1"/>
  </cols>
  <sheetData>
    <row r="2" spans="2:32" ht="48" x14ac:dyDescent="0.3">
      <c r="B2" s="23" t="s">
        <v>642</v>
      </c>
      <c r="C2" s="23" t="s">
        <v>16</v>
      </c>
      <c r="D2" s="23" t="s">
        <v>17</v>
      </c>
      <c r="E2" s="23" t="s">
        <v>18</v>
      </c>
      <c r="F2" s="23" t="s">
        <v>19</v>
      </c>
      <c r="G2" s="23" t="s">
        <v>20</v>
      </c>
      <c r="H2" s="23" t="s">
        <v>21</v>
      </c>
      <c r="I2" s="23" t="s">
        <v>22</v>
      </c>
      <c r="J2" s="23" t="s">
        <v>23</v>
      </c>
      <c r="K2" s="23" t="s">
        <v>24</v>
      </c>
      <c r="L2" s="23" t="s">
        <v>25</v>
      </c>
      <c r="M2" s="23" t="s">
        <v>26</v>
      </c>
      <c r="N2" s="23" t="s">
        <v>27</v>
      </c>
      <c r="O2" s="23" t="s">
        <v>28</v>
      </c>
      <c r="P2" s="23" t="s">
        <v>29</v>
      </c>
      <c r="Q2" s="160">
        <v>1</v>
      </c>
      <c r="R2" s="25" t="s">
        <v>30</v>
      </c>
      <c r="S2" s="25" t="s">
        <v>31</v>
      </c>
      <c r="T2" s="25" t="s">
        <v>32</v>
      </c>
      <c r="U2" s="25" t="s">
        <v>33</v>
      </c>
      <c r="V2" s="26" t="s">
        <v>34</v>
      </c>
      <c r="W2" s="26" t="s">
        <v>35</v>
      </c>
      <c r="X2" s="27" t="s">
        <v>36</v>
      </c>
      <c r="Y2" s="27" t="s">
        <v>37</v>
      </c>
      <c r="Z2" s="27" t="s">
        <v>38</v>
      </c>
      <c r="AA2" s="27" t="s">
        <v>39</v>
      </c>
      <c r="AB2" s="27" t="s">
        <v>40</v>
      </c>
      <c r="AC2" s="25" t="s">
        <v>41</v>
      </c>
      <c r="AD2" s="25" t="s">
        <v>42</v>
      </c>
      <c r="AE2" s="25" t="s">
        <v>43</v>
      </c>
      <c r="AF2" s="1"/>
    </row>
    <row r="3" spans="2:32" x14ac:dyDescent="0.3">
      <c r="B3" s="10">
        <v>5</v>
      </c>
      <c r="C3" s="10" t="s">
        <v>116</v>
      </c>
      <c r="D3" s="167" t="s">
        <v>643</v>
      </c>
      <c r="E3" s="10" t="s">
        <v>46</v>
      </c>
      <c r="F3" s="10" t="s">
        <v>117</v>
      </c>
      <c r="G3" s="163" t="s">
        <v>118</v>
      </c>
      <c r="H3" s="10" t="s">
        <v>119</v>
      </c>
      <c r="I3" s="10" t="s">
        <v>76</v>
      </c>
      <c r="J3" s="10" t="s">
        <v>51</v>
      </c>
      <c r="K3" s="10" t="s">
        <v>52</v>
      </c>
      <c r="L3" s="10">
        <v>2</v>
      </c>
      <c r="M3" s="10"/>
      <c r="N3" s="11" t="s">
        <v>120</v>
      </c>
      <c r="O3" s="11" t="s">
        <v>121</v>
      </c>
      <c r="P3" s="11"/>
      <c r="Q3" s="161"/>
      <c r="R3" s="4" t="s">
        <v>122</v>
      </c>
      <c r="S3" s="13" t="s">
        <v>116</v>
      </c>
      <c r="T3" s="4" t="s">
        <v>56</v>
      </c>
      <c r="U3" s="13" t="s">
        <v>110</v>
      </c>
      <c r="V3" s="21" t="s">
        <v>58</v>
      </c>
      <c r="W3" s="22" t="s">
        <v>123</v>
      </c>
      <c r="X3" s="22" t="s">
        <v>8</v>
      </c>
      <c r="Y3" s="22" t="s">
        <v>124</v>
      </c>
      <c r="Z3" s="22" t="s">
        <v>125</v>
      </c>
      <c r="AA3" s="22" t="s">
        <v>126</v>
      </c>
      <c r="AB3" s="6">
        <v>3</v>
      </c>
      <c r="AC3" s="7" t="s">
        <v>113</v>
      </c>
      <c r="AD3" s="7" t="s">
        <v>114</v>
      </c>
      <c r="AE3" s="22" t="s">
        <v>127</v>
      </c>
      <c r="AF3" s="1"/>
    </row>
    <row r="4" spans="2:32" x14ac:dyDescent="0.3">
      <c r="B4" s="10">
        <v>9</v>
      </c>
      <c r="C4" s="10" t="s">
        <v>116</v>
      </c>
      <c r="D4" s="167" t="s">
        <v>644</v>
      </c>
      <c r="E4" s="10" t="s">
        <v>46</v>
      </c>
      <c r="F4" s="10" t="s">
        <v>128</v>
      </c>
      <c r="G4" s="163" t="s">
        <v>129</v>
      </c>
      <c r="H4" s="10" t="s">
        <v>119</v>
      </c>
      <c r="I4" s="10" t="s">
        <v>76</v>
      </c>
      <c r="J4" s="10" t="s">
        <v>51</v>
      </c>
      <c r="K4" s="10" t="s">
        <v>52</v>
      </c>
      <c r="L4" s="10">
        <v>2</v>
      </c>
      <c r="M4" s="10"/>
      <c r="N4" s="11" t="s">
        <v>130</v>
      </c>
      <c r="O4" s="11" t="s">
        <v>131</v>
      </c>
      <c r="P4" s="11"/>
      <c r="Q4" s="161"/>
      <c r="R4" s="4" t="s">
        <v>122</v>
      </c>
      <c r="S4" s="4" t="s">
        <v>116</v>
      </c>
      <c r="T4" s="4" t="s">
        <v>56</v>
      </c>
      <c r="U4" s="4" t="s">
        <v>110</v>
      </c>
      <c r="V4" s="4" t="s">
        <v>58</v>
      </c>
      <c r="W4" s="22"/>
      <c r="X4" s="22" t="s">
        <v>8</v>
      </c>
      <c r="Y4" s="22" t="s">
        <v>132</v>
      </c>
      <c r="Z4" s="22" t="s">
        <v>133</v>
      </c>
      <c r="AA4" s="22" t="s">
        <v>126</v>
      </c>
      <c r="AB4" s="6">
        <v>3</v>
      </c>
      <c r="AC4" s="7" t="s">
        <v>113</v>
      </c>
      <c r="AD4" s="7" t="s">
        <v>114</v>
      </c>
      <c r="AE4" s="22" t="s">
        <v>134</v>
      </c>
      <c r="AF4" s="1"/>
    </row>
    <row r="5" spans="2:32" ht="24" x14ac:dyDescent="0.3">
      <c r="B5" s="164">
        <v>117</v>
      </c>
      <c r="C5" s="164" t="s">
        <v>116</v>
      </c>
      <c r="D5" s="164" t="s">
        <v>135</v>
      </c>
      <c r="E5" s="164" t="s">
        <v>72</v>
      </c>
      <c r="F5" s="164" t="s">
        <v>136</v>
      </c>
      <c r="G5" s="163" t="s">
        <v>137</v>
      </c>
      <c r="H5" s="164" t="s">
        <v>75</v>
      </c>
      <c r="I5" s="164" t="s">
        <v>93</v>
      </c>
      <c r="J5" s="164" t="s">
        <v>273</v>
      </c>
      <c r="K5" s="164" t="s">
        <v>78</v>
      </c>
      <c r="L5" s="164"/>
      <c r="M5" s="164"/>
      <c r="N5" s="165"/>
      <c r="O5" s="165" t="s">
        <v>79</v>
      </c>
      <c r="P5" s="165" t="s">
        <v>639</v>
      </c>
      <c r="Q5" s="16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8" spans="2:32" x14ac:dyDescent="0.3">
      <c r="B8" s="79" t="s">
        <v>522</v>
      </c>
    </row>
    <row r="9" spans="2:32" x14ac:dyDescent="0.3">
      <c r="B9" t="s">
        <v>530</v>
      </c>
    </row>
    <row r="10" spans="2:32" x14ac:dyDescent="0.3">
      <c r="B10" t="s">
        <v>526</v>
      </c>
    </row>
    <row r="11" spans="2:32" x14ac:dyDescent="0.3">
      <c r="B11" t="s">
        <v>528</v>
      </c>
    </row>
    <row r="13" spans="2:32" x14ac:dyDescent="0.3">
      <c r="B13" t="s">
        <v>531</v>
      </c>
    </row>
    <row r="14" spans="2:32" x14ac:dyDescent="0.3">
      <c r="B14" t="s">
        <v>532</v>
      </c>
    </row>
    <row r="15" spans="2:32" x14ac:dyDescent="0.3">
      <c r="B15" t="s">
        <v>533</v>
      </c>
    </row>
  </sheetData>
  <phoneticPr fontId="1" type="noConversion"/>
  <hyperlinks>
    <hyperlink ref="G3" location="NPD자재목록!A1" display="NPD 자재 목록" xr:uid="{CB651C0C-3241-4487-B18E-17E344B0E75C}"/>
    <hyperlink ref="G4" location="SKU_IN일정!A1" display="SKU In 일정" xr:uid="{EFF45280-FA83-417F-8CE7-677D3F852323}"/>
    <hyperlink ref="G5" location="'CP-107.초도 오더량(자재-PG별)+판매출시일'!A1" display="초도 오더량(자재-PG별)+판매출시일" xr:uid="{B30A9880-1FC2-4093-A0D5-316CEC5BB9BF}"/>
  </hyperlink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B864-AAF1-44A4-B071-43C8FE11368E}">
  <dimension ref="B2:AF39"/>
  <sheetViews>
    <sheetView workbookViewId="0">
      <selection activeCell="A6" sqref="A6:XFD6"/>
    </sheetView>
  </sheetViews>
  <sheetFormatPr defaultRowHeight="16.5" x14ac:dyDescent="0.3"/>
  <cols>
    <col min="7" max="7" width="17.375" customWidth="1"/>
    <col min="14" max="14" width="14" bestFit="1" customWidth="1"/>
    <col min="15" max="15" width="17.125" bestFit="1" customWidth="1"/>
    <col min="16" max="16" width="7.125" customWidth="1"/>
  </cols>
  <sheetData>
    <row r="2" spans="2:32" ht="48" x14ac:dyDescent="0.3">
      <c r="B2" s="23" t="s">
        <v>15</v>
      </c>
      <c r="C2" s="23" t="s">
        <v>16</v>
      </c>
      <c r="D2" s="23" t="s">
        <v>17</v>
      </c>
      <c r="E2" s="23" t="s">
        <v>18</v>
      </c>
      <c r="F2" s="23" t="s">
        <v>19</v>
      </c>
      <c r="G2" s="23" t="s">
        <v>20</v>
      </c>
      <c r="H2" s="23" t="s">
        <v>21</v>
      </c>
      <c r="I2" s="23" t="s">
        <v>22</v>
      </c>
      <c r="J2" s="23" t="s">
        <v>23</v>
      </c>
      <c r="K2" s="23" t="s">
        <v>24</v>
      </c>
      <c r="L2" s="23" t="s">
        <v>25</v>
      </c>
      <c r="M2" s="23" t="s">
        <v>26</v>
      </c>
      <c r="N2" s="23" t="s">
        <v>27</v>
      </c>
      <c r="O2" s="23" t="s">
        <v>28</v>
      </c>
      <c r="P2" s="23" t="s">
        <v>29</v>
      </c>
      <c r="Q2" s="24">
        <v>1</v>
      </c>
      <c r="R2" s="25" t="s">
        <v>30</v>
      </c>
      <c r="S2" s="25" t="s">
        <v>31</v>
      </c>
      <c r="T2" s="25" t="s">
        <v>32</v>
      </c>
      <c r="U2" s="25" t="s">
        <v>33</v>
      </c>
      <c r="V2" s="26" t="s">
        <v>34</v>
      </c>
      <c r="W2" s="26" t="s">
        <v>35</v>
      </c>
      <c r="X2" s="27" t="s">
        <v>36</v>
      </c>
      <c r="Y2" s="27" t="s">
        <v>37</v>
      </c>
      <c r="Z2" s="27" t="s">
        <v>38</v>
      </c>
      <c r="AA2" s="27" t="s">
        <v>39</v>
      </c>
      <c r="AB2" s="27" t="s">
        <v>40</v>
      </c>
      <c r="AC2" s="25" t="s">
        <v>41</v>
      </c>
      <c r="AD2" s="25" t="s">
        <v>42</v>
      </c>
      <c r="AE2" s="25" t="s">
        <v>43</v>
      </c>
    </row>
    <row r="3" spans="2:32" x14ac:dyDescent="0.3">
      <c r="B3" s="10">
        <v>38</v>
      </c>
      <c r="C3" s="10" t="s">
        <v>44</v>
      </c>
      <c r="D3" s="166" t="s">
        <v>640</v>
      </c>
      <c r="E3" s="10" t="s">
        <v>46</v>
      </c>
      <c r="F3" s="10" t="s">
        <v>47</v>
      </c>
      <c r="G3" s="163" t="s">
        <v>48</v>
      </c>
      <c r="H3" s="10" t="s">
        <v>49</v>
      </c>
      <c r="I3" s="10" t="s">
        <v>50</v>
      </c>
      <c r="J3" s="10" t="s">
        <v>51</v>
      </c>
      <c r="K3" s="10" t="s">
        <v>52</v>
      </c>
      <c r="L3" s="10">
        <v>2</v>
      </c>
      <c r="M3" s="10"/>
      <c r="N3" s="11" t="s">
        <v>53</v>
      </c>
      <c r="O3" s="11" t="s">
        <v>54</v>
      </c>
      <c r="P3" s="11"/>
      <c r="Q3" s="12"/>
      <c r="R3" s="4" t="s">
        <v>55</v>
      </c>
      <c r="S3" s="4" t="s">
        <v>44</v>
      </c>
      <c r="T3" s="4" t="s">
        <v>56</v>
      </c>
      <c r="U3" s="4" t="s">
        <v>57</v>
      </c>
      <c r="V3" s="4" t="s">
        <v>58</v>
      </c>
      <c r="W3" s="5"/>
      <c r="X3" s="5" t="s">
        <v>12</v>
      </c>
      <c r="Y3" s="5" t="s">
        <v>59</v>
      </c>
      <c r="Z3" s="5" t="s">
        <v>60</v>
      </c>
      <c r="AA3" s="5" t="s">
        <v>61</v>
      </c>
      <c r="AB3" s="6">
        <v>5</v>
      </c>
      <c r="AC3" s="7" t="s">
        <v>62</v>
      </c>
      <c r="AD3" s="7" t="s">
        <v>63</v>
      </c>
      <c r="AE3" s="22" t="s">
        <v>64</v>
      </c>
    </row>
    <row r="4" spans="2:32" x14ac:dyDescent="0.3">
      <c r="B4" s="10">
        <v>39</v>
      </c>
      <c r="C4" s="10" t="s">
        <v>44</v>
      </c>
      <c r="D4" s="166" t="s">
        <v>641</v>
      </c>
      <c r="E4" s="10" t="s">
        <v>46</v>
      </c>
      <c r="F4" s="10" t="s">
        <v>47</v>
      </c>
      <c r="G4" s="163" t="s">
        <v>65</v>
      </c>
      <c r="H4" s="10" t="s">
        <v>49</v>
      </c>
      <c r="I4" s="10" t="s">
        <v>50</v>
      </c>
      <c r="J4" s="10" t="s">
        <v>51</v>
      </c>
      <c r="K4" s="10" t="s">
        <v>52</v>
      </c>
      <c r="L4" s="10">
        <v>1</v>
      </c>
      <c r="M4" s="10"/>
      <c r="N4" s="11" t="s">
        <v>66</v>
      </c>
      <c r="O4" s="11" t="s">
        <v>67</v>
      </c>
      <c r="P4" s="11"/>
      <c r="Q4" s="12"/>
      <c r="R4" s="4" t="s">
        <v>55</v>
      </c>
      <c r="S4" s="4" t="s">
        <v>44</v>
      </c>
      <c r="T4" s="4" t="s">
        <v>56</v>
      </c>
      <c r="U4" s="4" t="s">
        <v>68</v>
      </c>
      <c r="V4" s="4" t="s">
        <v>58</v>
      </c>
      <c r="W4" s="5"/>
      <c r="X4" s="5" t="s">
        <v>12</v>
      </c>
      <c r="Y4" s="5" t="s">
        <v>69</v>
      </c>
      <c r="Z4" s="5" t="s">
        <v>60</v>
      </c>
      <c r="AA4" s="5" t="s">
        <v>61</v>
      </c>
      <c r="AB4" s="6">
        <v>5</v>
      </c>
      <c r="AC4" s="7" t="s">
        <v>62</v>
      </c>
      <c r="AD4" s="7" t="s">
        <v>63</v>
      </c>
      <c r="AE4" s="22" t="s">
        <v>70</v>
      </c>
    </row>
    <row r="5" spans="2:32" x14ac:dyDescent="0.3">
      <c r="B5" s="10">
        <v>123</v>
      </c>
      <c r="C5" s="10" t="s">
        <v>44</v>
      </c>
      <c r="D5" s="10" t="s">
        <v>71</v>
      </c>
      <c r="E5" s="10" t="s">
        <v>72</v>
      </c>
      <c r="F5" s="10" t="s">
        <v>73</v>
      </c>
      <c r="G5" s="11" t="s">
        <v>74</v>
      </c>
      <c r="H5" s="10" t="s">
        <v>75</v>
      </c>
      <c r="I5" s="10" t="s">
        <v>76</v>
      </c>
      <c r="J5" s="10" t="s">
        <v>51</v>
      </c>
      <c r="K5" s="10" t="s">
        <v>78</v>
      </c>
      <c r="L5" s="10"/>
      <c r="M5" s="10"/>
      <c r="N5" s="11"/>
      <c r="O5" s="11" t="s">
        <v>79</v>
      </c>
      <c r="P5" s="11"/>
      <c r="Q5" s="11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3"/>
    </row>
    <row r="6" spans="2:32" x14ac:dyDescent="0.3">
      <c r="B6" s="10"/>
      <c r="C6" s="10"/>
      <c r="D6" s="10"/>
      <c r="E6" s="10"/>
      <c r="F6" s="10"/>
      <c r="G6" s="11"/>
      <c r="H6" s="10"/>
      <c r="I6" s="10"/>
      <c r="J6" s="10"/>
      <c r="K6" s="10"/>
      <c r="L6" s="10"/>
      <c r="M6" s="10"/>
      <c r="N6" s="11"/>
      <c r="O6" s="11"/>
      <c r="P6" s="11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3"/>
    </row>
    <row r="7" spans="2:32" x14ac:dyDescent="0.3">
      <c r="B7" s="1" t="s">
        <v>13</v>
      </c>
      <c r="C7" s="1"/>
      <c r="D7" s="1"/>
      <c r="E7" s="1" t="s">
        <v>13</v>
      </c>
      <c r="F7" s="1"/>
      <c r="G7" s="1" t="s">
        <v>81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10" spans="2:32" x14ac:dyDescent="0.3">
      <c r="B10" s="79" t="s">
        <v>522</v>
      </c>
    </row>
    <row r="11" spans="2:32" x14ac:dyDescent="0.3">
      <c r="B11" t="s">
        <v>524</v>
      </c>
    </row>
    <row r="12" spans="2:32" x14ac:dyDescent="0.3">
      <c r="B12" t="s">
        <v>527</v>
      </c>
    </row>
    <row r="39" spans="2:2" x14ac:dyDescent="0.3">
      <c r="B39" t="s">
        <v>523</v>
      </c>
    </row>
  </sheetData>
  <phoneticPr fontId="1" type="noConversion"/>
  <hyperlinks>
    <hyperlink ref="G3" location="Role권한승인!A1" display="Role 권한 승인 정보" xr:uid="{5F47C3CB-2CD9-4C03-AC3C-DF01827EF988}"/>
    <hyperlink ref="G4" location="계정승인!A1" display="계정 승인 정보" xr:uid="{C21B7854-2459-4295-B63B-2AE0B507102D}"/>
  </hyperlinks>
  <pageMargins left="0.7" right="0.7" top="0.75" bottom="0.75" header="0.3" footer="0.3"/>
  <customProperties>
    <customPr name="_pios_id" r:id="rId1"/>
  </customProperti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F68F-3927-4F39-8CD7-215427D99713}">
  <dimension ref="B2:AE9"/>
  <sheetViews>
    <sheetView workbookViewId="0">
      <selection activeCell="C13" sqref="C13"/>
    </sheetView>
  </sheetViews>
  <sheetFormatPr defaultRowHeight="16.5" x14ac:dyDescent="0.3"/>
  <sheetData>
    <row r="2" spans="2:31" ht="48" x14ac:dyDescent="0.3">
      <c r="B2" s="23" t="s">
        <v>15</v>
      </c>
      <c r="C2" s="23" t="s">
        <v>16</v>
      </c>
      <c r="D2" s="23" t="s">
        <v>17</v>
      </c>
      <c r="E2" s="23" t="s">
        <v>18</v>
      </c>
      <c r="F2" s="23" t="s">
        <v>19</v>
      </c>
      <c r="G2" s="23" t="s">
        <v>20</v>
      </c>
      <c r="H2" s="23" t="s">
        <v>21</v>
      </c>
      <c r="I2" s="23" t="s">
        <v>22</v>
      </c>
      <c r="J2" s="23" t="s">
        <v>23</v>
      </c>
      <c r="K2" s="23" t="s">
        <v>24</v>
      </c>
      <c r="L2" s="23" t="s">
        <v>25</v>
      </c>
      <c r="M2" s="23" t="s">
        <v>26</v>
      </c>
      <c r="N2" s="23" t="s">
        <v>27</v>
      </c>
      <c r="O2" s="23" t="s">
        <v>28</v>
      </c>
      <c r="P2" s="23" t="s">
        <v>29</v>
      </c>
      <c r="Q2" s="24">
        <v>1</v>
      </c>
      <c r="R2" s="25" t="s">
        <v>30</v>
      </c>
      <c r="S2" s="25" t="s">
        <v>31</v>
      </c>
      <c r="T2" s="25" t="s">
        <v>32</v>
      </c>
      <c r="U2" s="25" t="s">
        <v>33</v>
      </c>
      <c r="V2" s="26" t="s">
        <v>34</v>
      </c>
      <c r="W2" s="26" t="s">
        <v>35</v>
      </c>
      <c r="X2" s="27" t="s">
        <v>36</v>
      </c>
      <c r="Y2" s="27" t="s">
        <v>37</v>
      </c>
      <c r="Z2" s="27" t="s">
        <v>38</v>
      </c>
      <c r="AA2" s="27" t="s">
        <v>39</v>
      </c>
      <c r="AB2" s="27" t="s">
        <v>40</v>
      </c>
      <c r="AC2" s="25" t="s">
        <v>41</v>
      </c>
      <c r="AD2" s="25" t="s">
        <v>42</v>
      </c>
      <c r="AE2" s="25" t="s">
        <v>43</v>
      </c>
    </row>
    <row r="3" spans="2:31" ht="36" x14ac:dyDescent="0.3">
      <c r="B3" s="31">
        <v>35</v>
      </c>
      <c r="C3" s="31" t="s">
        <v>102</v>
      </c>
      <c r="D3" s="31" t="s">
        <v>45</v>
      </c>
      <c r="E3" s="31" t="s">
        <v>46</v>
      </c>
      <c r="F3" s="31" t="s">
        <v>103</v>
      </c>
      <c r="G3" s="32" t="s">
        <v>104</v>
      </c>
      <c r="H3" s="10" t="s">
        <v>105</v>
      </c>
      <c r="I3" s="10" t="s">
        <v>106</v>
      </c>
      <c r="J3" s="10" t="s">
        <v>51</v>
      </c>
      <c r="K3" s="10" t="s">
        <v>52</v>
      </c>
      <c r="L3" s="10">
        <v>2</v>
      </c>
      <c r="M3" s="10"/>
      <c r="N3" s="11" t="s">
        <v>107</v>
      </c>
      <c r="O3" s="30" t="s">
        <v>108</v>
      </c>
      <c r="P3" s="30" t="s">
        <v>109</v>
      </c>
      <c r="Q3" s="12"/>
      <c r="R3" s="4" t="s">
        <v>92</v>
      </c>
      <c r="S3" s="4" t="s">
        <v>102</v>
      </c>
      <c r="T3" s="4" t="s">
        <v>56</v>
      </c>
      <c r="U3" s="4" t="s">
        <v>110</v>
      </c>
      <c r="V3" s="4" t="s">
        <v>58</v>
      </c>
      <c r="W3" s="5"/>
      <c r="X3" s="20" t="s">
        <v>9</v>
      </c>
      <c r="Y3" s="5" t="s">
        <v>111</v>
      </c>
      <c r="Z3" s="5"/>
      <c r="AA3" s="5" t="s">
        <v>112</v>
      </c>
      <c r="AB3" s="6">
        <v>1</v>
      </c>
      <c r="AC3" s="7" t="s">
        <v>113</v>
      </c>
      <c r="AD3" s="7" t="s">
        <v>114</v>
      </c>
      <c r="AE3" s="33" t="s">
        <v>115</v>
      </c>
    </row>
    <row r="6" spans="2:31" x14ac:dyDescent="0.3">
      <c r="B6" s="79" t="s">
        <v>522</v>
      </c>
    </row>
    <row r="7" spans="2:31" x14ac:dyDescent="0.3">
      <c r="B7" t="s">
        <v>525</v>
      </c>
    </row>
    <row r="8" spans="2:31" x14ac:dyDescent="0.3">
      <c r="B8" t="s">
        <v>526</v>
      </c>
    </row>
    <row r="9" spans="2:31" x14ac:dyDescent="0.3">
      <c r="B9" t="s">
        <v>528</v>
      </c>
    </row>
  </sheetData>
  <phoneticPr fontId="1" type="noConversion"/>
  <hyperlinks>
    <hyperlink ref="G3" location="'협력사재고(원부자재)'!A1" display="협력사 원부자재 재고" xr:uid="{F99F075C-3CA4-4ADE-B3CD-D2012FB3F9A4}"/>
  </hyperlinks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BCA1-91F9-4F71-AEAC-7D928A5A867A}">
  <dimension ref="B2:AF9"/>
  <sheetViews>
    <sheetView workbookViewId="0">
      <selection activeCell="E14" sqref="E14"/>
    </sheetView>
  </sheetViews>
  <sheetFormatPr defaultRowHeight="16.5" x14ac:dyDescent="0.3"/>
  <sheetData>
    <row r="2" spans="2:32" ht="48" x14ac:dyDescent="0.3">
      <c r="B2" s="23" t="s">
        <v>15</v>
      </c>
      <c r="C2" s="23" t="s">
        <v>83</v>
      </c>
      <c r="D2" s="23" t="s">
        <v>84</v>
      </c>
      <c r="E2" s="23" t="s">
        <v>18</v>
      </c>
      <c r="F2" s="23" t="s">
        <v>85</v>
      </c>
      <c r="G2" s="23" t="s">
        <v>20</v>
      </c>
      <c r="H2" s="23" t="s">
        <v>86</v>
      </c>
      <c r="I2" s="23" t="s">
        <v>22</v>
      </c>
      <c r="J2" s="23" t="s">
        <v>23</v>
      </c>
      <c r="K2" s="23" t="s">
        <v>24</v>
      </c>
      <c r="L2" s="23" t="s">
        <v>25</v>
      </c>
      <c r="M2" s="23" t="s">
        <v>26</v>
      </c>
      <c r="N2" s="23" t="s">
        <v>87</v>
      </c>
      <c r="O2" s="23" t="s">
        <v>27</v>
      </c>
      <c r="P2" s="23" t="s">
        <v>28</v>
      </c>
      <c r="Q2" s="23" t="s">
        <v>82</v>
      </c>
      <c r="R2" s="12">
        <v>1</v>
      </c>
      <c r="S2" s="25" t="s">
        <v>30</v>
      </c>
      <c r="T2" s="25" t="s">
        <v>31</v>
      </c>
      <c r="U2" s="25" t="s">
        <v>32</v>
      </c>
      <c r="V2" s="25" t="s">
        <v>33</v>
      </c>
      <c r="W2" s="26" t="s">
        <v>34</v>
      </c>
      <c r="X2" s="26" t="s">
        <v>35</v>
      </c>
      <c r="Y2" s="27" t="s">
        <v>36</v>
      </c>
      <c r="Z2" s="27" t="s">
        <v>37</v>
      </c>
      <c r="AA2" s="27" t="s">
        <v>38</v>
      </c>
      <c r="AB2" s="27" t="s">
        <v>39</v>
      </c>
      <c r="AC2" s="27" t="s">
        <v>40</v>
      </c>
      <c r="AD2" s="25" t="s">
        <v>41</v>
      </c>
      <c r="AE2" s="25" t="s">
        <v>42</v>
      </c>
      <c r="AF2" s="25" t="s">
        <v>43</v>
      </c>
    </row>
    <row r="3" spans="2:32" x14ac:dyDescent="0.3">
      <c r="B3" s="8">
        <v>103</v>
      </c>
      <c r="C3" s="8" t="s">
        <v>88</v>
      </c>
      <c r="D3" s="8" t="s">
        <v>89</v>
      </c>
      <c r="E3" s="8" t="s">
        <v>72</v>
      </c>
      <c r="F3" s="8" t="s">
        <v>90</v>
      </c>
      <c r="G3" s="11" t="s">
        <v>91</v>
      </c>
      <c r="H3" s="10" t="s">
        <v>92</v>
      </c>
      <c r="I3" s="10" t="s">
        <v>93</v>
      </c>
      <c r="J3" s="10" t="s">
        <v>51</v>
      </c>
      <c r="K3" s="10" t="s">
        <v>94</v>
      </c>
      <c r="L3" s="10"/>
      <c r="M3" s="10"/>
      <c r="N3" s="11"/>
      <c r="O3" s="11"/>
      <c r="P3" s="11" t="s">
        <v>79</v>
      </c>
      <c r="Q3" s="11"/>
      <c r="R3" s="12"/>
      <c r="S3" s="4" t="s">
        <v>92</v>
      </c>
      <c r="T3" s="13" t="s">
        <v>88</v>
      </c>
      <c r="U3" s="4" t="s">
        <v>51</v>
      </c>
      <c r="V3" s="13" t="s">
        <v>57</v>
      </c>
      <c r="W3" s="13" t="s">
        <v>58</v>
      </c>
      <c r="X3" s="5"/>
      <c r="Y3" s="14" t="s">
        <v>10</v>
      </c>
      <c r="Z3" s="14" t="s">
        <v>95</v>
      </c>
      <c r="AA3" s="15" t="s">
        <v>96</v>
      </c>
      <c r="AB3" s="16" t="s">
        <v>61</v>
      </c>
      <c r="AC3" s="17">
        <v>5</v>
      </c>
      <c r="AD3" s="18" t="s">
        <v>97</v>
      </c>
      <c r="AE3" s="18"/>
      <c r="AF3" s="19"/>
    </row>
    <row r="4" spans="2:32" x14ac:dyDescent="0.3">
      <c r="B4" s="8">
        <v>104</v>
      </c>
      <c r="C4" s="8" t="s">
        <v>88</v>
      </c>
      <c r="D4" s="8" t="s">
        <v>98</v>
      </c>
      <c r="E4" s="8" t="s">
        <v>72</v>
      </c>
      <c r="F4" s="8" t="s">
        <v>99</v>
      </c>
      <c r="G4" s="11" t="s">
        <v>100</v>
      </c>
      <c r="H4" s="10" t="s">
        <v>92</v>
      </c>
      <c r="I4" s="10" t="s">
        <v>93</v>
      </c>
      <c r="J4" s="10" t="s">
        <v>51</v>
      </c>
      <c r="K4" s="10" t="s">
        <v>94</v>
      </c>
      <c r="L4" s="10"/>
      <c r="M4" s="10"/>
      <c r="N4" s="11"/>
      <c r="O4" s="11"/>
      <c r="P4" s="11" t="s">
        <v>79</v>
      </c>
      <c r="Q4" s="11"/>
      <c r="R4" s="12"/>
      <c r="S4" s="4" t="s">
        <v>92</v>
      </c>
      <c r="T4" s="13" t="s">
        <v>88</v>
      </c>
      <c r="U4" s="4" t="s">
        <v>51</v>
      </c>
      <c r="V4" s="13" t="s">
        <v>57</v>
      </c>
      <c r="W4" s="13" t="s">
        <v>58</v>
      </c>
      <c r="X4" s="5"/>
      <c r="Y4" s="14" t="s">
        <v>10</v>
      </c>
      <c r="Z4" s="14" t="s">
        <v>101</v>
      </c>
      <c r="AA4" s="15" t="s">
        <v>96</v>
      </c>
      <c r="AB4" s="16" t="s">
        <v>61</v>
      </c>
      <c r="AC4" s="17">
        <v>5</v>
      </c>
      <c r="AD4" s="18" t="s">
        <v>97</v>
      </c>
      <c r="AE4" s="18"/>
      <c r="AF4" s="19"/>
    </row>
    <row r="7" spans="2:32" x14ac:dyDescent="0.3">
      <c r="B7" s="79" t="s">
        <v>522</v>
      </c>
    </row>
    <row r="8" spans="2:32" x14ac:dyDescent="0.3">
      <c r="B8" t="s">
        <v>524</v>
      </c>
    </row>
    <row r="9" spans="2:32" x14ac:dyDescent="0.3">
      <c r="B9" t="s">
        <v>529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개요</vt:lpstr>
      <vt:lpstr>SAP</vt:lpstr>
      <vt:lpstr>BW</vt:lpstr>
      <vt:lpstr>CDP</vt:lpstr>
      <vt:lpstr>NPD</vt:lpstr>
      <vt:lpstr>IAM</vt:lpstr>
      <vt:lpstr>구매포털</vt:lpstr>
      <vt:lpstr>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윤희영/ERP 플랫폼서비스팀/Huiyeong Yun</dc:creator>
  <cp:lastModifiedBy>윤희영/ERP 플랫폼서비스팀/Huiyeong Yun</cp:lastModifiedBy>
  <dcterms:created xsi:type="dcterms:W3CDTF">2025-10-23T00:26:37Z</dcterms:created>
  <dcterms:modified xsi:type="dcterms:W3CDTF">2025-12-17T05:23:13Z</dcterms:modified>
</cp:coreProperties>
</file>