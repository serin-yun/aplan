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printerSettings/printerSettings2.bin" ContentType="application/vnd.openxmlformats-officedocument.spreadsheetml.printerSettings"/>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omments2.xml" ContentType="application/vnd.openxmlformats-officedocument.spreadsheetml.comments+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printerSettings/printerSettings3.bin" ContentType="application/vnd.openxmlformats-officedocument.spreadsheetml.printerSettings"/>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teamamorepacific-my.sharepoint.com/personal/itpe_yun_amorepacific_com/Documents/문서/업무정리/@비아이매트릭스/3.인터페이스/BIM 인터페이스 정의서/251217버전/"/>
    </mc:Choice>
  </mc:AlternateContent>
  <xr:revisionPtr revIDLastSave="3498" documentId="13_ncr:1_{9AC316B9-E727-4976-854E-763FD0ABAAB2}" xr6:coauthVersionLast="47" xr6:coauthVersionMax="47" xr10:uidLastSave="{AE4025F1-39F1-4E92-A3B7-68218FBE2214}"/>
  <bookViews>
    <workbookView xWindow="28680" yWindow="-120" windowWidth="29040" windowHeight="15720" tabRatio="955" firstSheet="1" activeTab="1" xr2:uid="{2A7986BC-2D3A-4D1F-8980-4A374E5EBF50}"/>
  </bookViews>
  <sheets>
    <sheet name="_com.sap.ip.bi.xl.hiddensheet" sheetId="112" state="veryHidden" r:id="rId1"/>
    <sheet name="List" sheetId="1" r:id="rId2"/>
    <sheet name="개요" sheetId="48" r:id="rId3"/>
    <sheet name="Inbound" sheetId="19" r:id="rId4"/>
    <sheet name="조직도" sheetId="54" r:id="rId5"/>
    <sheet name="자재마스터(영업조직)" sheetId="3" r:id="rId6"/>
    <sheet name="자재마스터(플랜트)" sheetId="4" r:id="rId7"/>
    <sheet name="자재단가(판가)" sheetId="49" r:id="rId8"/>
    <sheet name="NPD자재목록" sheetId="50" r:id="rId9"/>
    <sheet name="제품허가정보" sheetId="51" r:id="rId10"/>
    <sheet name="단종품의완료" sheetId="32" r:id="rId11"/>
    <sheet name="SKU현황" sheetId="52" r:id="rId12"/>
    <sheet name="SKU_IN일정" sheetId="53" r:id="rId13"/>
    <sheet name="자재대체단위" sheetId="55" r:id="rId14"/>
    <sheet name="재고" sheetId="57" r:id="rId15"/>
    <sheet name="자재원가" sheetId="56" r:id="rId16"/>
    <sheet name="거래처" sheetId="58" r:id="rId17"/>
    <sheet name="CP-40.재고(계획용)" sheetId="103" r:id="rId18"/>
    <sheet name="기준환율" sheetId="63" r:id="rId19"/>
    <sheet name="수출진행모니터링" sheetId="64" r:id="rId20"/>
    <sheet name="거래처재고" sheetId="65" r:id="rId21"/>
    <sheet name="기타수요" sheetId="66" r:id="rId22"/>
    <sheet name="BOM" sheetId="67" r:id="rId23"/>
    <sheet name="생산오더" sheetId="72" r:id="rId24"/>
    <sheet name="구매오더" sheetId="75" r:id="rId25"/>
    <sheet name="구매오더 (ODM 원부자재)" sheetId="74" r:id="rId26"/>
    <sheet name="협력사마스터" sheetId="76" r:id="rId27"/>
    <sheet name="가용화입고실적" sheetId="77" r:id="rId28"/>
    <sheet name="협력사재고(원부자재)" sheetId="78" r:id="rId29"/>
    <sheet name="SOP잔량(선적잔량)" sheetId="79" r:id="rId30"/>
    <sheet name="반제품_포장재_재고" sheetId="80" r:id="rId31"/>
    <sheet name="Role권한승인" sheetId="81" r:id="rId32"/>
    <sheet name="계정승인" sheetId="82" r:id="rId33"/>
    <sheet name="CP코드마스터" sheetId="83" r:id="rId34"/>
    <sheet name="공장달력 인터페이스" sheetId="84" r:id="rId35"/>
    <sheet name="유통사 판매 재고" sheetId="85" r:id="rId36"/>
    <sheet name="유통사 판매 재고_월" sheetId="86" r:id="rId37"/>
    <sheet name="유통사 오더수량" sheetId="87" r:id="rId38"/>
    <sheet name="재고 Aging 상태" sheetId="88" r:id="rId39"/>
    <sheet name="엔진상품리스트" sheetId="89" r:id="rId40"/>
    <sheet name="DP-42-1.자재정보추가_BW" sheetId="90" r:id="rId41"/>
    <sheet name="DP-42-2.자재정보추가_BW" sheetId="91" r:id="rId42"/>
    <sheet name="DP-42-3.자재정보추가_BW" sheetId="92" r:id="rId43"/>
    <sheet name="DP-43-1.거래처정보추가_BW" sheetId="93" r:id="rId44"/>
    <sheet name="DP-43-2.거래처정보추가_BW" sheetId="94" r:id="rId45"/>
    <sheet name="DP-43-3.거래처정보추가_BW" sheetId="95" r:id="rId46"/>
    <sheet name="DP-43-4.거래처정보추가_BW" sheetId="96" r:id="rId47"/>
    <sheet name="DP-43-5.거래처정보추가_BW" sheetId="97" r:id="rId48"/>
    <sheet name="DP-44.마감계획_BW" sheetId="98" r:id="rId49"/>
    <sheet name="DP-46.판매실적_거래처&amp;SKU" sheetId="99" r:id="rId50"/>
    <sheet name="DP-48.주문실적_거래처&amp;SKU" sheetId="100" r:id="rId51"/>
    <sheet name="DP-49.목표&amp;예상이익" sheetId="101" r:id="rId52"/>
    <sheet name="DP-49-2.SKU 수익성" sheetId="116" r:id="rId53"/>
    <sheet name="SP-41. 저장위치리스트" sheetId="102" r:id="rId54"/>
    <sheet name="DP-45. 판매실적_SKU" sheetId="104" r:id="rId55"/>
    <sheet name="DP-53.  신제품추정단가" sheetId="105" r:id="rId56"/>
    <sheet name="SP-43.  라우팅관리(SAP)" sheetId="106" r:id="rId57"/>
    <sheet name="SP-44.  라우팅관리(SAP)2" sheetId="107" r:id="rId58"/>
    <sheet name="SP-45. 영업저장위치관리" sheetId="108" r:id="rId59"/>
    <sheet name="DP-55. SAP압축품의 정보" sheetId="109" r:id="rId60"/>
    <sheet name="SP-46. SAP재고에이징데이터(중국)" sheetId="113" r:id="rId61"/>
    <sheet name="DP-57. BW 코드별 네이밍 마스터" sheetId="115" r:id="rId62"/>
    <sheet name="DP-56. 수출포장모듈" sheetId="110" r:id="rId63"/>
    <sheet name="플랜트저장위치마스터" sheetId="38" r:id="rId64"/>
    <sheet name="PG_거래처매핑" sheetId="59" r:id="rId65"/>
    <sheet name="주문결품정보" sheetId="60" r:id="rId66"/>
    <sheet name="판매실적" sheetId="61" r:id="rId67"/>
    <sheet name="SKU목표" sheetId="62" r:id="rId68"/>
    <sheet name="작업장마스터" sheetId="69" r:id="rId69"/>
    <sheet name="ROS" sheetId="70" r:id="rId70"/>
    <sheet name="GPS채널 마스터정보" sheetId="111" r:id="rId71"/>
    <sheet name="오픈SO(계획용)" sheetId="117" r:id="rId72"/>
    <sheet name="판매처별 위탁재고" sheetId="118" r:id="rId73"/>
  </sheets>
  <definedNames>
    <definedName name="_00">#REF!</definedName>
    <definedName name="_1">#REF!</definedName>
    <definedName name="_2">#REF!</definedName>
    <definedName name="_xlnm._FilterDatabase" localSheetId="1" hidden="1">List!$A$2:$AK$57</definedName>
    <definedName name="ddddddddddddddddd">#REF!</definedName>
    <definedName name="MM" localSheetId="17">#REF!</definedName>
    <definedName name="MM">#REF!</definedName>
    <definedName name="MM개발계획10월" localSheetId="17">#REF!</definedName>
    <definedName name="MM개발계획10월">#REF!</definedName>
    <definedName name="MM개발계획11월" localSheetId="17">#REF!</definedName>
    <definedName name="MM개발계획11월">#REF!</definedName>
    <definedName name="MM개발계획12월" localSheetId="17">#REF!</definedName>
    <definedName name="MM개발계획12월">#REF!</definedName>
    <definedName name="MM개발계획12월2005" localSheetId="17">#REF!</definedName>
    <definedName name="MM개발계획12월2005">#REF!</definedName>
    <definedName name="MM개발계획1월" localSheetId="17">#REF!</definedName>
    <definedName name="MM개발계획1월">#REF!</definedName>
    <definedName name="MM개발계획2월" localSheetId="17">#REF!</definedName>
    <definedName name="MM개발계획2월">#REF!</definedName>
    <definedName name="MM개발계획3월" localSheetId="17">#REF!</definedName>
    <definedName name="MM개발계획3월">#REF!</definedName>
    <definedName name="MM개발계획4월" localSheetId="17">#REF!</definedName>
    <definedName name="MM개발계획4월">#REF!</definedName>
    <definedName name="MM개발계획5월" localSheetId="17">#REF!</definedName>
    <definedName name="MM개발계획5월">#REF!</definedName>
    <definedName name="MM개발계획6월" localSheetId="17">#REF!</definedName>
    <definedName name="MM개발계획6월">#REF!</definedName>
    <definedName name="MM개발계획7월" localSheetId="17">#REF!</definedName>
    <definedName name="MM개발계획7월">#REF!</definedName>
    <definedName name="MM개발계획8월" localSheetId="17">#REF!</definedName>
    <definedName name="MM개발계획8월">#REF!</definedName>
    <definedName name="MM개발계획9월" localSheetId="17">#REF!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16" l="1"/>
  <c r="B10" i="116"/>
  <c r="B11" i="116"/>
  <c r="B12" i="116"/>
  <c r="B13" i="116"/>
  <c r="B14" i="116"/>
  <c r="B15" i="116"/>
  <c r="B16" i="116"/>
  <c r="B17" i="116"/>
  <c r="B18" i="116"/>
  <c r="B19" i="116"/>
  <c r="B20" i="116"/>
  <c r="B21" i="116"/>
  <c r="B22" i="116"/>
  <c r="B23" i="116"/>
  <c r="B24" i="116"/>
  <c r="B25" i="116"/>
  <c r="J24" i="116"/>
  <c r="B11" i="115"/>
  <c r="B12" i="115"/>
  <c r="B13" i="115"/>
  <c r="B14" i="115" s="1"/>
  <c r="B15" i="115" s="1"/>
  <c r="B16" i="115" s="1"/>
  <c r="B17" i="115" s="1"/>
  <c r="B18" i="115" s="1"/>
  <c r="B5" i="1"/>
  <c r="B6" i="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9" i="101"/>
  <c r="B10" i="101"/>
  <c r="B11" i="101"/>
  <c r="B12" i="101"/>
  <c r="B13" i="101"/>
  <c r="B14" i="101"/>
  <c r="B15" i="101"/>
  <c r="B16" i="101"/>
  <c r="B17" i="101"/>
  <c r="B18" i="101"/>
  <c r="B19" i="101"/>
  <c r="B20" i="101"/>
  <c r="B21" i="101"/>
  <c r="B22" i="101"/>
  <c r="B23" i="101"/>
  <c r="B24" i="101"/>
  <c r="B25" i="101"/>
  <c r="B26" i="101"/>
  <c r="B27" i="101"/>
  <c r="B28" i="101"/>
  <c r="B29" i="101"/>
  <c r="B30" i="101"/>
  <c r="B31" i="101"/>
  <c r="B32" i="101"/>
  <c r="B33" i="101"/>
  <c r="B34" i="101"/>
  <c r="B35" i="101"/>
  <c r="B36" i="101"/>
  <c r="B37" i="101"/>
  <c r="B38" i="101"/>
  <c r="B39" i="101"/>
  <c r="B40" i="101"/>
  <c r="B41" i="101"/>
  <c r="B42" i="101"/>
  <c r="B43" i="101"/>
  <c r="B44" i="101"/>
  <c r="B45" i="101"/>
  <c r="B46" i="101"/>
  <c r="B47" i="101"/>
  <c r="B48" i="101"/>
  <c r="B49" i="101"/>
  <c r="B50" i="101"/>
  <c r="B51" i="101"/>
  <c r="J25" i="101"/>
  <c r="J26" i="101"/>
  <c r="W10" i="113"/>
  <c r="W11" i="113"/>
  <c r="B12" i="113"/>
  <c r="J12" i="113"/>
  <c r="W12" i="113"/>
  <c r="B13" i="113"/>
  <c r="J13" i="113"/>
  <c r="W13" i="113"/>
  <c r="B14" i="113"/>
  <c r="B15" i="113"/>
  <c r="B16" i="113"/>
  <c r="B17" i="113"/>
  <c r="B18" i="113"/>
  <c r="B19" i="113"/>
  <c r="B20" i="113"/>
  <c r="B21" i="113"/>
  <c r="B22" i="113"/>
  <c r="B23" i="113"/>
  <c r="B24" i="113"/>
  <c r="B25" i="113"/>
  <c r="B26" i="113"/>
  <c r="B27" i="113"/>
  <c r="B28" i="113"/>
  <c r="B29" i="113"/>
  <c r="B30" i="113"/>
  <c r="B31" i="113"/>
  <c r="B32" i="113"/>
  <c r="J14" i="113"/>
  <c r="J15" i="113"/>
  <c r="J16" i="113"/>
  <c r="J17" i="113"/>
  <c r="J18" i="113"/>
  <c r="J19" i="113"/>
  <c r="J20" i="113"/>
  <c r="J21" i="113"/>
  <c r="J22" i="113"/>
  <c r="J23" i="113"/>
  <c r="J24" i="113"/>
  <c r="J25" i="113"/>
  <c r="J26" i="113"/>
  <c r="J27" i="113"/>
  <c r="J28" i="113"/>
  <c r="J29" i="113"/>
  <c r="J30" i="113"/>
  <c r="J31" i="113"/>
  <c r="J32" i="113"/>
  <c r="W14" i="113"/>
  <c r="W15" i="113"/>
  <c r="W16" i="113"/>
  <c r="W17" i="113"/>
  <c r="W18" i="113"/>
  <c r="W19" i="113"/>
  <c r="W20" i="113"/>
  <c r="W21" i="113"/>
  <c r="W22" i="113"/>
  <c r="W23" i="113"/>
  <c r="W24" i="113"/>
  <c r="W25" i="113"/>
  <c r="W26" i="113"/>
  <c r="W27" i="113"/>
  <c r="W28" i="113"/>
  <c r="W29" i="113"/>
  <c r="W30" i="113"/>
  <c r="W31" i="113"/>
  <c r="W32" i="113"/>
  <c r="W33" i="113"/>
  <c r="B34" i="113"/>
  <c r="J34" i="113"/>
  <c r="W34" i="113"/>
  <c r="B35" i="113"/>
  <c r="J35" i="113"/>
  <c r="W35" i="113"/>
  <c r="B36" i="113"/>
  <c r="B37" i="113"/>
  <c r="B38" i="113"/>
  <c r="B39" i="113"/>
  <c r="B40" i="113"/>
  <c r="B41" i="113"/>
  <c r="B42" i="113"/>
  <c r="B43" i="113"/>
  <c r="B44" i="113"/>
  <c r="B45" i="113"/>
  <c r="B46" i="113"/>
  <c r="B47" i="113"/>
  <c r="B48" i="113"/>
  <c r="B49" i="113"/>
  <c r="B50" i="113"/>
  <c r="B51" i="113"/>
  <c r="B52" i="113"/>
  <c r="B53" i="113"/>
  <c r="B54" i="113"/>
  <c r="B55" i="113"/>
  <c r="B56" i="113"/>
  <c r="B57" i="113"/>
  <c r="J36" i="113"/>
  <c r="J37" i="113"/>
  <c r="J38" i="113"/>
  <c r="J39" i="113"/>
  <c r="J40" i="113"/>
  <c r="J41" i="113"/>
  <c r="J42" i="113"/>
  <c r="J43" i="113"/>
  <c r="J44" i="113"/>
  <c r="J45" i="113"/>
  <c r="J46" i="113"/>
  <c r="J47" i="113"/>
  <c r="J48" i="113"/>
  <c r="J49" i="113"/>
  <c r="J50" i="113"/>
  <c r="J51" i="113"/>
  <c r="J52" i="113"/>
  <c r="J53" i="113"/>
  <c r="J54" i="113"/>
  <c r="J55" i="113"/>
  <c r="J56" i="113"/>
  <c r="J57" i="113"/>
  <c r="W36" i="113"/>
  <c r="W37" i="113"/>
  <c r="J27" i="101"/>
  <c r="J33" i="101"/>
  <c r="J34" i="101"/>
  <c r="J31" i="101"/>
  <c r="J32" i="101"/>
  <c r="J35" i="101"/>
  <c r="J36" i="101"/>
  <c r="J37" i="101"/>
  <c r="J38" i="101"/>
  <c r="J39" i="101"/>
  <c r="J40" i="101"/>
  <c r="J41" i="101"/>
  <c r="J42" i="101"/>
  <c r="J43" i="101"/>
  <c r="J44" i="101"/>
  <c r="J45" i="101"/>
  <c r="J46" i="101"/>
  <c r="J47" i="101"/>
  <c r="J48" i="101"/>
  <c r="J49" i="101"/>
  <c r="J50" i="101"/>
  <c r="J51" i="101"/>
  <c r="J11" i="106"/>
  <c r="J12" i="106"/>
  <c r="J13" i="106"/>
  <c r="J14" i="106"/>
  <c r="J15" i="106"/>
  <c r="J16" i="106"/>
  <c r="J17" i="106"/>
  <c r="J18" i="106"/>
  <c r="J19" i="106"/>
  <c r="J20" i="106"/>
  <c r="J21" i="106"/>
  <c r="J22" i="106"/>
  <c r="J23" i="106"/>
  <c r="J24" i="106"/>
  <c r="J25" i="106"/>
  <c r="J26" i="106"/>
  <c r="J27" i="106"/>
  <c r="J28" i="106"/>
  <c r="J29" i="106"/>
  <c r="J30" i="106"/>
  <c r="J31" i="106"/>
  <c r="J32" i="106"/>
  <c r="J33" i="106"/>
  <c r="J34" i="106"/>
  <c r="J35" i="106"/>
  <c r="J36" i="106"/>
  <c r="J37" i="106"/>
  <c r="J38" i="106"/>
  <c r="J39" i="106"/>
  <c r="J29" i="101"/>
  <c r="J30" i="101"/>
  <c r="J28" i="101"/>
  <c r="B11" i="107"/>
  <c r="B12" i="107"/>
  <c r="B13" i="107"/>
  <c r="B14" i="107"/>
  <c r="B15" i="107"/>
  <c r="B16" i="107"/>
  <c r="B17" i="107"/>
  <c r="B18" i="107"/>
  <c r="B19" i="107"/>
  <c r="B20" i="107"/>
  <c r="B21" i="107"/>
  <c r="B22" i="107"/>
  <c r="B23" i="107"/>
  <c r="B24" i="107"/>
  <c r="B25" i="107"/>
  <c r="B26" i="107"/>
  <c r="B27" i="107"/>
  <c r="B28" i="107"/>
  <c r="B29" i="107"/>
  <c r="B30" i="107"/>
  <c r="B31" i="107"/>
  <c r="B32" i="107"/>
  <c r="B33" i="107"/>
  <c r="B34" i="107"/>
  <c r="B35" i="107"/>
  <c r="B36" i="107"/>
  <c r="B37" i="107"/>
  <c r="B38" i="107"/>
  <c r="B39" i="107"/>
  <c r="B40" i="107"/>
  <c r="B41" i="107"/>
  <c r="B42" i="107"/>
  <c r="B43" i="107"/>
  <c r="J42" i="107"/>
  <c r="J43" i="107"/>
  <c r="I52" i="3"/>
  <c r="I53" i="3"/>
  <c r="I54" i="3"/>
  <c r="I55" i="3"/>
  <c r="I56" i="3"/>
  <c r="I57" i="3"/>
  <c r="I58" i="3"/>
  <c r="I59" i="3"/>
  <c r="I60" i="3"/>
  <c r="J34" i="110"/>
  <c r="J35" i="110"/>
  <c r="J36" i="110"/>
  <c r="J37" i="110"/>
  <c r="J38" i="110"/>
  <c r="J39" i="110"/>
  <c r="J40" i="110"/>
  <c r="J41" i="110"/>
  <c r="J42" i="110"/>
  <c r="J43" i="110"/>
  <c r="J44" i="110"/>
  <c r="J45" i="110"/>
  <c r="J46" i="110"/>
  <c r="J47" i="110"/>
  <c r="J48" i="110"/>
  <c r="J49" i="110"/>
  <c r="J50" i="110"/>
  <c r="J51" i="110"/>
  <c r="J52" i="110"/>
  <c r="J53" i="110"/>
  <c r="J54" i="110"/>
  <c r="J55" i="110"/>
  <c r="J56" i="110"/>
  <c r="J57" i="110"/>
  <c r="B34" i="110"/>
  <c r="B35" i="110"/>
  <c r="B36" i="110"/>
  <c r="B37" i="110"/>
  <c r="B38" i="110"/>
  <c r="B39" i="110"/>
  <c r="B40" i="110"/>
  <c r="B41" i="110"/>
  <c r="B42" i="110"/>
  <c r="B43" i="110"/>
  <c r="B44" i="110"/>
  <c r="B45" i="110"/>
  <c r="B46" i="110"/>
  <c r="B47" i="110"/>
  <c r="B48" i="110"/>
  <c r="B49" i="110"/>
  <c r="B50" i="110"/>
  <c r="B51" i="110"/>
  <c r="B52" i="110"/>
  <c r="B53" i="110"/>
  <c r="B54" i="110"/>
  <c r="B55" i="110"/>
  <c r="B56" i="110"/>
  <c r="B57" i="110"/>
  <c r="J12" i="110"/>
  <c r="J13" i="110"/>
  <c r="J14" i="110"/>
  <c r="J15" i="110"/>
  <c r="J16" i="110"/>
  <c r="J17" i="110"/>
  <c r="J18" i="110"/>
  <c r="J19" i="110"/>
  <c r="J20" i="110"/>
  <c r="J21" i="110"/>
  <c r="J22" i="110"/>
  <c r="J23" i="110"/>
  <c r="J24" i="110"/>
  <c r="J25" i="110"/>
  <c r="J26" i="110"/>
  <c r="J27" i="110"/>
  <c r="J28" i="110"/>
  <c r="J29" i="110"/>
  <c r="J30" i="110"/>
  <c r="J31" i="110"/>
  <c r="J32" i="110"/>
  <c r="B12" i="110"/>
  <c r="B13" i="110"/>
  <c r="B14" i="110"/>
  <c r="B15" i="110"/>
  <c r="B16" i="110"/>
  <c r="B17" i="110"/>
  <c r="B18" i="110"/>
  <c r="B19" i="110"/>
  <c r="B20" i="110"/>
  <c r="B21" i="110"/>
  <c r="B22" i="110"/>
  <c r="B23" i="110"/>
  <c r="B24" i="110"/>
  <c r="B25" i="110"/>
  <c r="B26" i="110"/>
  <c r="B27" i="110"/>
  <c r="B28" i="110"/>
  <c r="B29" i="110"/>
  <c r="B30" i="110"/>
  <c r="B31" i="110"/>
  <c r="B32" i="110"/>
  <c r="J34" i="109"/>
  <c r="J35" i="109"/>
  <c r="J36" i="109"/>
  <c r="J37" i="109"/>
  <c r="J38" i="109"/>
  <c r="J39" i="109"/>
  <c r="J40" i="109"/>
  <c r="J41" i="109"/>
  <c r="J42" i="109"/>
  <c r="J43" i="109"/>
  <c r="J44" i="109"/>
  <c r="J45" i="109"/>
  <c r="J46" i="109"/>
  <c r="J47" i="109"/>
  <c r="J48" i="109"/>
  <c r="J49" i="109"/>
  <c r="J50" i="109"/>
  <c r="J51" i="109"/>
  <c r="J52" i="109"/>
  <c r="J53" i="109"/>
  <c r="J54" i="109"/>
  <c r="J55" i="109"/>
  <c r="J56" i="109"/>
  <c r="J57" i="109"/>
  <c r="B34" i="109"/>
  <c r="B35" i="109"/>
  <c r="B36" i="109"/>
  <c r="B37" i="109"/>
  <c r="B38" i="109"/>
  <c r="B39" i="109"/>
  <c r="B40" i="109"/>
  <c r="B41" i="109"/>
  <c r="B42" i="109"/>
  <c r="B43" i="109"/>
  <c r="B44" i="109"/>
  <c r="B45" i="109"/>
  <c r="B46" i="109"/>
  <c r="B47" i="109"/>
  <c r="B48" i="109"/>
  <c r="B49" i="109"/>
  <c r="B50" i="109"/>
  <c r="B51" i="109"/>
  <c r="B52" i="109"/>
  <c r="B53" i="109"/>
  <c r="B54" i="109"/>
  <c r="B55" i="109"/>
  <c r="B56" i="109"/>
  <c r="B57" i="109"/>
  <c r="J12" i="109"/>
  <c r="J13" i="109"/>
  <c r="J14" i="109"/>
  <c r="J15" i="109"/>
  <c r="J16" i="109"/>
  <c r="J17" i="109"/>
  <c r="J18" i="109"/>
  <c r="J19" i="109"/>
  <c r="J20" i="109"/>
  <c r="J21" i="109"/>
  <c r="J22" i="109"/>
  <c r="J23" i="109"/>
  <c r="J24" i="109"/>
  <c r="J25" i="109"/>
  <c r="J26" i="109"/>
  <c r="J27" i="109"/>
  <c r="J28" i="109"/>
  <c r="J29" i="109"/>
  <c r="J30" i="109"/>
  <c r="J31" i="109"/>
  <c r="J32" i="109"/>
  <c r="B12" i="109"/>
  <c r="B13" i="109"/>
  <c r="B14" i="109"/>
  <c r="B15" i="109"/>
  <c r="B16" i="109"/>
  <c r="B17" i="109"/>
  <c r="B18" i="109"/>
  <c r="B19" i="109"/>
  <c r="B20" i="109"/>
  <c r="B21" i="109"/>
  <c r="B22" i="109"/>
  <c r="B23" i="109"/>
  <c r="B24" i="109"/>
  <c r="B25" i="109"/>
  <c r="B26" i="109"/>
  <c r="B27" i="109"/>
  <c r="B28" i="109"/>
  <c r="B29" i="109"/>
  <c r="B30" i="109"/>
  <c r="B31" i="109"/>
  <c r="B32" i="109"/>
  <c r="B45" i="108"/>
  <c r="B46" i="108"/>
  <c r="B47" i="108"/>
  <c r="B48" i="108"/>
  <c r="B49" i="108"/>
  <c r="J10" i="108"/>
  <c r="J11" i="108"/>
  <c r="J12" i="108"/>
  <c r="J13" i="108"/>
  <c r="J14" i="108"/>
  <c r="J15" i="108"/>
  <c r="J16" i="108"/>
  <c r="J17" i="108"/>
  <c r="J18" i="108"/>
  <c r="J19" i="108"/>
  <c r="J20" i="108"/>
  <c r="J21" i="108"/>
  <c r="J22" i="108"/>
  <c r="J23" i="108"/>
  <c r="J24" i="108"/>
  <c r="J25" i="108"/>
  <c r="J26" i="108"/>
  <c r="J27" i="108"/>
  <c r="J28" i="108"/>
  <c r="J29" i="108"/>
  <c r="J30" i="108"/>
  <c r="J31" i="108"/>
  <c r="J32" i="108"/>
  <c r="J33" i="108"/>
  <c r="J34" i="108"/>
  <c r="J35" i="108"/>
  <c r="J36" i="108"/>
  <c r="J37" i="108"/>
  <c r="J38" i="108"/>
  <c r="J39" i="108"/>
  <c r="J40" i="108"/>
  <c r="J47" i="108"/>
  <c r="J48" i="108"/>
  <c r="J49" i="108"/>
  <c r="J11" i="107"/>
  <c r="J12" i="107"/>
  <c r="J13" i="107"/>
  <c r="J14" i="107"/>
  <c r="J15" i="107"/>
  <c r="J16" i="107"/>
  <c r="J17" i="107"/>
  <c r="J18" i="107"/>
  <c r="J19" i="107"/>
  <c r="J20" i="107"/>
  <c r="J21" i="107"/>
  <c r="J22" i="107"/>
  <c r="J23" i="107"/>
  <c r="J24" i="107"/>
  <c r="J25" i="107"/>
  <c r="J26" i="107"/>
  <c r="J27" i="107"/>
  <c r="J28" i="107"/>
  <c r="J29" i="107"/>
  <c r="J30" i="107"/>
  <c r="J31" i="107"/>
  <c r="J32" i="107"/>
  <c r="J33" i="107"/>
  <c r="J34" i="107"/>
  <c r="J35" i="107"/>
  <c r="J36" i="107"/>
  <c r="J37" i="107"/>
  <c r="J38" i="107"/>
  <c r="J39" i="107"/>
  <c r="J40" i="107"/>
  <c r="J41" i="107"/>
  <c r="J40" i="106"/>
  <c r="J41" i="106"/>
  <c r="J42" i="106"/>
  <c r="J43" i="106"/>
  <c r="J44" i="106"/>
  <c r="B27" i="105"/>
  <c r="B28" i="105"/>
  <c r="B29" i="105"/>
  <c r="B30" i="105"/>
  <c r="B31" i="105"/>
  <c r="B32" i="105"/>
  <c r="B33" i="105"/>
  <c r="B34" i="105"/>
  <c r="B35" i="105"/>
  <c r="B36" i="105"/>
  <c r="B37" i="105"/>
  <c r="B38" i="105"/>
  <c r="B39" i="105"/>
  <c r="B40" i="105"/>
  <c r="B41" i="105"/>
  <c r="B42" i="105"/>
  <c r="B43" i="105"/>
  <c r="B44" i="105"/>
  <c r="B26" i="105"/>
  <c r="J11" i="105"/>
  <c r="J12" i="105"/>
  <c r="J13" i="105"/>
  <c r="J14" i="105"/>
  <c r="J15" i="105"/>
  <c r="J16" i="105"/>
  <c r="J17" i="105"/>
  <c r="J18" i="105"/>
  <c r="J19" i="105"/>
  <c r="J20" i="105"/>
  <c r="J21" i="105"/>
  <c r="J22" i="105"/>
  <c r="J23" i="105"/>
  <c r="J24" i="105"/>
  <c r="J25" i="105"/>
  <c r="J26" i="105"/>
  <c r="J27" i="105"/>
  <c r="J28" i="105"/>
  <c r="J29" i="105"/>
  <c r="J30" i="105"/>
  <c r="J31" i="105"/>
  <c r="J32" i="105"/>
  <c r="J33" i="105"/>
  <c r="J34" i="105"/>
  <c r="J35" i="105"/>
  <c r="J36" i="105"/>
  <c r="J37" i="105"/>
  <c r="J38" i="105"/>
  <c r="J39" i="105"/>
  <c r="J40" i="105"/>
  <c r="J41" i="105"/>
  <c r="J42" i="105"/>
  <c r="J43" i="105"/>
  <c r="J44" i="105"/>
  <c r="B51" i="88"/>
  <c r="B10" i="88"/>
  <c r="B11" i="88"/>
  <c r="B12" i="88"/>
  <c r="B13" i="88"/>
  <c r="B14" i="88"/>
  <c r="B15" i="88"/>
  <c r="B16" i="88"/>
  <c r="B17" i="88"/>
  <c r="B18" i="88"/>
  <c r="B19" i="88"/>
  <c r="B20" i="88"/>
  <c r="B21" i="88"/>
  <c r="B22" i="88"/>
  <c r="B23" i="88"/>
  <c r="B24" i="88"/>
  <c r="B25" i="88"/>
  <c r="B26" i="88"/>
  <c r="B27" i="88"/>
  <c r="B28" i="88"/>
  <c r="B29" i="88"/>
  <c r="B30" i="88"/>
  <c r="B31" i="88"/>
  <c r="B32" i="88"/>
  <c r="B33" i="88"/>
  <c r="B34" i="88"/>
  <c r="B35" i="88"/>
  <c r="B36" i="88"/>
  <c r="B37" i="88"/>
  <c r="B38" i="88"/>
  <c r="B39" i="88"/>
  <c r="B40" i="88"/>
  <c r="B41" i="88"/>
  <c r="B42" i="88"/>
  <c r="B43" i="88"/>
  <c r="B44" i="88"/>
  <c r="B45" i="88"/>
  <c r="B46" i="88"/>
  <c r="B47" i="88"/>
  <c r="B48" i="88"/>
  <c r="B49" i="88"/>
  <c r="B50" i="88"/>
  <c r="B9" i="88"/>
  <c r="G16" i="86"/>
  <c r="G17" i="86"/>
  <c r="G18" i="86"/>
  <c r="G19" i="86"/>
  <c r="G20" i="86"/>
  <c r="G21" i="86"/>
  <c r="G22" i="86"/>
  <c r="G23" i="86"/>
  <c r="G24" i="86"/>
  <c r="G25" i="86"/>
  <c r="G26" i="86"/>
  <c r="G27" i="86"/>
  <c r="G28" i="86"/>
  <c r="G29" i="86"/>
  <c r="G30" i="86"/>
  <c r="G15" i="86"/>
  <c r="B9" i="86"/>
  <c r="B10" i="86"/>
  <c r="B11" i="86"/>
  <c r="B12" i="86"/>
  <c r="B13" i="86"/>
  <c r="B14" i="86"/>
  <c r="B32" i="86"/>
  <c r="B33" i="86"/>
  <c r="B34" i="86"/>
  <c r="B35" i="86"/>
  <c r="B36" i="86"/>
  <c r="B37" i="86"/>
  <c r="B38" i="86"/>
  <c r="B39" i="86"/>
  <c r="B40" i="86"/>
  <c r="B41" i="86"/>
  <c r="B42" i="86"/>
  <c r="B43" i="86"/>
  <c r="B44" i="86"/>
  <c r="B45" i="86"/>
  <c r="B46" i="86"/>
  <c r="B47" i="86"/>
  <c r="B48" i="86"/>
  <c r="B49" i="86"/>
  <c r="B50" i="86"/>
  <c r="B51" i="86"/>
  <c r="B52" i="86"/>
  <c r="B53" i="86"/>
  <c r="B54" i="86"/>
  <c r="B55" i="86"/>
  <c r="B56" i="86"/>
  <c r="B51" i="3"/>
  <c r="B52" i="3"/>
  <c r="B53" i="3"/>
  <c r="B54" i="3"/>
  <c r="B55" i="3"/>
  <c r="B56" i="3"/>
  <c r="B57" i="3"/>
  <c r="B58" i="3"/>
  <c r="B59" i="3"/>
  <c r="B60" i="3"/>
  <c r="I17" i="38"/>
  <c r="B17" i="38"/>
  <c r="I16" i="38"/>
  <c r="B16" i="38"/>
  <c r="I15" i="38"/>
  <c r="B15" i="38"/>
  <c r="I14" i="38"/>
  <c r="B14" i="38"/>
  <c r="I13" i="38"/>
  <c r="B13" i="38"/>
  <c r="I12" i="38"/>
  <c r="B12" i="38"/>
  <c r="I11" i="38"/>
  <c r="B11" i="38"/>
  <c r="I10" i="38"/>
  <c r="B10" i="38"/>
  <c r="I9" i="38"/>
  <c r="B9" i="38"/>
  <c r="B68" i="1" l="1"/>
  <c r="B69" i="1" s="1"/>
  <c r="B70" i="1" s="1"/>
  <c r="B34" i="1"/>
  <c r="B35" i="1" l="1"/>
  <c r="B36" i="1" s="1"/>
  <c r="B37" i="1" s="1"/>
  <c r="B71" i="1"/>
  <c r="B38" i="1" l="1"/>
  <c r="B39" i="1" s="1"/>
  <c r="B40" i="1" s="1"/>
  <c r="B41" i="1" s="1"/>
  <c r="B42" i="1" s="1"/>
  <c r="B43" i="1" s="1"/>
  <c r="B44" i="1" s="1"/>
  <c r="B76" i="1"/>
  <c r="B45" i="1" l="1"/>
  <c r="B46" i="1" s="1"/>
  <c r="B47" i="1" s="1"/>
  <c r="B48" i="1" s="1"/>
  <c r="B72" i="1"/>
  <c r="B73" i="1" s="1"/>
  <c r="B74" i="1" s="1"/>
  <c r="B49" i="1" l="1"/>
  <c r="B50" i="1" s="1"/>
  <c r="B51" i="1" s="1"/>
  <c r="B52" i="1" s="1"/>
  <c r="B53" i="1" s="1"/>
  <c r="B75" i="1"/>
  <c r="B54" i="1" l="1"/>
  <c r="B55" i="1" s="1"/>
  <c r="B56" i="1" s="1"/>
  <c r="B57" i="1" s="1"/>
  <c r="B7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E5D54E34-2263-417C-AD10-E2BD14FBB792}">
      <text>
        <r>
          <rPr>
            <sz val="11"/>
            <color theme="1"/>
            <rFont val="맑은 고딕"/>
            <family val="2"/>
            <scheme val="minor"/>
          </rPr>
          <t>======
ID#AAAAwkmaw3M
AC800097    (2023-05-11 05:12:59)
A001 회사코드
A002 국가코드
A003 영업조직코드
A004 BU코드
A005 하위영업경로코드
A006 PG그룹코드
A007 PG유형코드로 정의하고 코드키를 보내드릴 것입니다. SAP기준으로 맵핑 부탁드립니다.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0" authorId="0" shapeId="0" xr:uid="{DF06E0FA-1806-4CE3-A72E-04717E1BD0C8}">
      <text>
        <r>
          <rPr>
            <sz val="11"/>
            <color theme="1"/>
            <rFont val="맑은 고딕"/>
            <family val="2"/>
            <scheme val="minor"/>
          </rPr>
          <t>======
ID#AAAAwkmaw3M
AC800097    (2023-05-11 05:12:59)
A001 회사코드
A002 국가코드
A003 영업조직코드
A004 BU코드
A005 하위영업경로코드
A006 PG그룹코드
A007 PG유형코드로 정의하고 코드키를 보내드릴 것입니다. SAP기준으로 맵핑 부탁드립니다.</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924C4D10-5DD6-4B0A-BAEE-CEA3EFE2EF59}">
      <text>
        <r>
          <rPr>
            <sz val="11"/>
            <color theme="1"/>
            <rFont val="맑은 고딕"/>
            <family val="2"/>
            <scheme val="minor"/>
          </rPr>
          <t>======
ID#AAAAwkmaw3M
AC800097    (2023-05-11 05:12:59)
A001 회사코드
A002 국가코드
A003 영업조직코드
A004 BU코드
A005 하위영업경로코드
A006 PG그룹코드
A007 PG유형코드로 정의하고 코드키를 보내드릴 것입니다. SAP기준으로 맵핑 부탁드립니다.</t>
        </r>
      </text>
    </comment>
  </commentList>
</comments>
</file>

<file path=xl/sharedStrings.xml><?xml version="1.0" encoding="utf-8"?>
<sst xmlns="http://schemas.openxmlformats.org/spreadsheetml/2006/main" count="16915" uniqueCount="3719">
  <si>
    <t>No.</t>
  </si>
  <si>
    <t>Source 
System</t>
    <phoneticPr fontId="4" type="noConversion"/>
  </si>
  <si>
    <t>Interface
ID</t>
  </si>
  <si>
    <t>변경
IF-ID</t>
  </si>
  <si>
    <t>IN/OUT</t>
  </si>
  <si>
    <t>맵핑정의 ID</t>
    <phoneticPr fontId="4" type="noConversion"/>
  </si>
  <si>
    <t>맵핑정의 항목</t>
    <phoneticPr fontId="4" type="noConversion"/>
  </si>
  <si>
    <t xml:space="preserve">사용처 </t>
    <phoneticPr fontId="4" type="noConversion"/>
  </si>
  <si>
    <t>Entity 
분류</t>
    <phoneticPr fontId="4" type="noConversion"/>
  </si>
  <si>
    <t>작업유형</t>
    <phoneticPr fontId="4" type="noConversion"/>
  </si>
  <si>
    <t>I/F정의서</t>
    <phoneticPr fontId="4" type="noConversion"/>
  </si>
  <si>
    <t>적용순서</t>
    <phoneticPr fontId="4" type="noConversion"/>
  </si>
  <si>
    <t>I/F Table</t>
    <phoneticPr fontId="4" type="noConversion"/>
  </si>
  <si>
    <t>STG Table(표준화)</t>
  </si>
  <si>
    <t>Import Program</t>
  </si>
  <si>
    <t xml:space="preserve"> 비고</t>
    <phoneticPr fontId="4" type="noConversion"/>
  </si>
  <si>
    <t>쿠도개발</t>
    <phoneticPr fontId="4" type="noConversion"/>
  </si>
  <si>
    <t>Aplan
구분</t>
    <phoneticPr fontId="7" type="noConversion"/>
  </si>
  <si>
    <t>Source
System</t>
    <phoneticPr fontId="7" type="noConversion"/>
  </si>
  <si>
    <t>작업유형</t>
    <phoneticPr fontId="7" type="noConversion"/>
  </si>
  <si>
    <t>Delta/Full
Data</t>
  </si>
  <si>
    <t>FILE</t>
  </si>
  <si>
    <t>API/File</t>
  </si>
  <si>
    <t>예상건수</t>
  </si>
  <si>
    <t>비고</t>
    <phoneticPr fontId="7" type="noConversion"/>
  </si>
  <si>
    <t>모듈</t>
    <phoneticPr fontId="4" type="noConversion"/>
  </si>
  <si>
    <t>기존IF ID</t>
    <phoneticPr fontId="4" type="noConversion"/>
  </si>
  <si>
    <t>코멘트</t>
    <phoneticPr fontId="4" type="noConversion"/>
  </si>
  <si>
    <t>유형</t>
    <phoneticPr fontId="4" type="noConversion"/>
  </si>
  <si>
    <t>공수(M/D)</t>
    <phoneticPr fontId="4" type="noConversion"/>
  </si>
  <si>
    <t>Batch Cycle</t>
    <phoneticPr fontId="7" type="noConversion"/>
  </si>
  <si>
    <t>Batch Cycle
Detail</t>
    <phoneticPr fontId="7" type="noConversion"/>
  </si>
  <si>
    <t>Source/Target
Table Name</t>
    <phoneticPr fontId="7" type="noConversion"/>
  </si>
  <si>
    <t>SAP</t>
  </si>
  <si>
    <t>SDI4012</t>
  </si>
  <si>
    <t>SDI8361</t>
  </si>
  <si>
    <t>INBOUND</t>
  </si>
  <si>
    <t>CP-03</t>
    <phoneticPr fontId="4" type="noConversion"/>
  </si>
  <si>
    <t>조직도</t>
    <phoneticPr fontId="4" type="noConversion"/>
  </si>
  <si>
    <t xml:space="preserve">공통 </t>
    <phoneticPr fontId="4" type="noConversion"/>
  </si>
  <si>
    <t>M</t>
  </si>
  <si>
    <t>유지</t>
  </si>
  <si>
    <t>Y</t>
    <phoneticPr fontId="4" type="noConversion"/>
  </si>
  <si>
    <t>ALIFCI_OGCH_MSTR</t>
    <phoneticPr fontId="4" type="noConversion"/>
  </si>
  <si>
    <t>ALCDCM_OGCH_MSTR</t>
  </si>
  <si>
    <t>SP_STGCM_OGCH_MSTR</t>
  </si>
  <si>
    <t>공통</t>
    <phoneticPr fontId="4" type="noConversion"/>
  </si>
  <si>
    <t>유지</t>
    <phoneticPr fontId="7" type="noConversion"/>
  </si>
  <si>
    <t>Delta</t>
  </si>
  <si>
    <t>API</t>
  </si>
  <si>
    <t>SD</t>
    <phoneticPr fontId="4" type="noConversion"/>
  </si>
  <si>
    <t>SDI4012 CP-03.조직도</t>
  </si>
  <si>
    <t>확장</t>
    <phoneticPr fontId="4" type="noConversion"/>
  </si>
  <si>
    <t>유지</t>
    <phoneticPr fontId="4" type="noConversion"/>
  </si>
  <si>
    <t>W</t>
    <phoneticPr fontId="4" type="noConversion"/>
  </si>
  <si>
    <t>Random</t>
  </si>
  <si>
    <t>ZSD_SEND_ORG_01</t>
  </si>
  <si>
    <t>SDI4004</t>
  </si>
  <si>
    <t>SDI8362</t>
  </si>
  <si>
    <t>CP-01</t>
    <phoneticPr fontId="4" type="noConversion"/>
  </si>
  <si>
    <t>자재마스터(영업조직: CP)</t>
    <phoneticPr fontId="4" type="noConversion"/>
  </si>
  <si>
    <t>ALIFCI_MTRL_MSTR_CP</t>
    <phoneticPr fontId="4" type="noConversion"/>
  </si>
  <si>
    <t>ALCDCM_MTRL_MSTR
ALCDCM_MTRL_MSTR_CP</t>
  </si>
  <si>
    <t>SP_STGCM_MTRL_MSTR_CP</t>
  </si>
  <si>
    <t>공통</t>
  </si>
  <si>
    <t>영업조직/Item 별 속성정보</t>
    <phoneticPr fontId="4" type="noConversion"/>
  </si>
  <si>
    <t>SDI4004 CP-01.자재마스터</t>
    <phoneticPr fontId="4" type="noConversion"/>
  </si>
  <si>
    <t>필드추가</t>
    <phoneticPr fontId="4" type="noConversion"/>
  </si>
  <si>
    <t>변경</t>
    <phoneticPr fontId="4" type="noConversion"/>
  </si>
  <si>
    <t>W,D</t>
    <phoneticPr fontId="4" type="noConversion"/>
  </si>
  <si>
    <t>10Min</t>
  </si>
  <si>
    <t>ZSD_SEND_MATERIAL_01</t>
  </si>
  <si>
    <t>PPI2015</t>
  </si>
  <si>
    <t>PPI2058</t>
    <phoneticPr fontId="0" type="noConversion"/>
  </si>
  <si>
    <t>SP-02</t>
    <phoneticPr fontId="4" type="noConversion"/>
  </si>
  <si>
    <t>자재마스터(플랜트: SP)</t>
    <phoneticPr fontId="4" type="noConversion"/>
  </si>
  <si>
    <t>ALIFCI_MTRL_MSTR_SP</t>
    <phoneticPr fontId="4" type="noConversion"/>
  </si>
  <si>
    <t>ALCDCM_MTRL_MSTR_SP</t>
    <phoneticPr fontId="4" type="noConversion"/>
  </si>
  <si>
    <t>SP_STGCM_MTRL_MSTR_SP</t>
  </si>
  <si>
    <t>PP</t>
    <phoneticPr fontId="4" type="noConversion"/>
  </si>
  <si>
    <t>PPI2015 SP-02.자재 마스터</t>
    <phoneticPr fontId="4" type="noConversion"/>
  </si>
  <si>
    <t>15Min</t>
  </si>
  <si>
    <t>ZPP_IF_MAT_SEND_SP</t>
  </si>
  <si>
    <t>SDI4009</t>
  </si>
  <si>
    <t>CP-10</t>
    <phoneticPr fontId="4" type="noConversion"/>
  </si>
  <si>
    <t>자재 단가</t>
    <phoneticPr fontId="4" type="noConversion"/>
  </si>
  <si>
    <t>ALIFCI_MTRL_UTPR</t>
  </si>
  <si>
    <t>ALCDCM_MTRL_UTPR</t>
  </si>
  <si>
    <t>SP_STGCM_MTRL_UTPR</t>
  </si>
  <si>
    <t>판가 정보</t>
    <phoneticPr fontId="7" type="noConversion"/>
  </si>
  <si>
    <t>SDI4009 CP-10.자재 단가</t>
    <phoneticPr fontId="4" type="noConversion"/>
  </si>
  <si>
    <t>ZSD_SEND_CHANNEL_PRICE</t>
  </si>
  <si>
    <t>NPD</t>
  </si>
  <si>
    <t>PPI2027</t>
  </si>
  <si>
    <t>PPI2059</t>
  </si>
  <si>
    <t>CP-25</t>
    <phoneticPr fontId="4" type="noConversion"/>
  </si>
  <si>
    <t>NPD 자재 목록</t>
    <phoneticPr fontId="4" type="noConversion"/>
  </si>
  <si>
    <t>M</t>
    <phoneticPr fontId="4" type="noConversion"/>
  </si>
  <si>
    <t>ALIFCI_DVLP_MTRL</t>
  </si>
  <si>
    <t>ALCDCM_DVLP_MTRL</t>
  </si>
  <si>
    <t>SP_STGCM_DVLP_MTRL</t>
  </si>
  <si>
    <t>Full</t>
  </si>
  <si>
    <t>현행화 주기 나 대상 검토 필요, 현재 업데이트가 되고 있지 않음</t>
    <phoneticPr fontId="7" type="noConversion"/>
  </si>
  <si>
    <t>NPD</t>
    <phoneticPr fontId="4" type="noConversion"/>
  </si>
  <si>
    <t>PPI2027 CP-25.NPD 자재 목록</t>
    <phoneticPr fontId="4" type="noConversion"/>
  </si>
  <si>
    <t>필드 추가(NPD 소비자가 72P)</t>
    <phoneticPr fontId="4" type="noConversion"/>
  </si>
  <si>
    <t>Daily</t>
  </si>
  <si>
    <t>ZPL_IF_DEVHEAD_SINGLE</t>
  </si>
  <si>
    <t>SDI4029</t>
  </si>
  <si>
    <t>SDI8364</t>
  </si>
  <si>
    <t>CP-07</t>
    <phoneticPr fontId="4" type="noConversion"/>
  </si>
  <si>
    <t>제품 허가 정보</t>
    <phoneticPr fontId="4" type="noConversion"/>
  </si>
  <si>
    <t>ALIFCI_MTRL_WARR</t>
  </si>
  <si>
    <t>ALCDCM_MTRL_WARR</t>
  </si>
  <si>
    <t>SP_STGCM_MTRL_WARR</t>
  </si>
  <si>
    <t>국가별 제품사용허가 정보</t>
    <phoneticPr fontId="4" type="noConversion"/>
  </si>
  <si>
    <t>BOD 및 SKU IN/OUT 에서 사용함</t>
    <phoneticPr fontId="7" type="noConversion"/>
  </si>
  <si>
    <t>SDI4029 CP-07.제품 허가 정보</t>
    <phoneticPr fontId="4" type="noConversion"/>
  </si>
  <si>
    <t>티움넷-&gt;SAP 허가 관리 대상 로직 확인 필요</t>
    <phoneticPr fontId="4" type="noConversion"/>
  </si>
  <si>
    <t>변경(상)</t>
    <phoneticPr fontId="4" type="noConversion"/>
  </si>
  <si>
    <t>ZSD_SEND_CONFIRM_MAT_O9</t>
  </si>
  <si>
    <t>PPI2025</t>
    <phoneticPr fontId="4" type="noConversion"/>
  </si>
  <si>
    <t>PPI2060</t>
  </si>
  <si>
    <t>SP-15</t>
    <phoneticPr fontId="4" type="noConversion"/>
  </si>
  <si>
    <t>단종 품의 완료 상태</t>
    <phoneticPr fontId="4" type="noConversion"/>
  </si>
  <si>
    <t>ALIFCI_BEDI_CNSN</t>
  </si>
  <si>
    <t>ALCDCM_BEDI_CNSN</t>
  </si>
  <si>
    <t>SP_STGCM_BEDI_CNSN</t>
  </si>
  <si>
    <t>SAP</t>
    <phoneticPr fontId="4" type="noConversion"/>
  </si>
  <si>
    <t>신규</t>
    <phoneticPr fontId="7" type="noConversion"/>
  </si>
  <si>
    <t>Real Time</t>
  </si>
  <si>
    <t>SAP에서 압축 품의 후 상태 수신</t>
    <phoneticPr fontId="4" type="noConversion"/>
  </si>
  <si>
    <t>신규</t>
    <phoneticPr fontId="4" type="noConversion"/>
  </si>
  <si>
    <t>1) Aplan -&gt; SAP: 자재, 생산단종월, 판매단종월 인터페이스
2) SAP에서 압축 품의 (Aplan에서 품의하지 않음) 
3) SAP -&gt; Aplan: 압축품의일(월), 압축대상분류 인터페이스</t>
    <phoneticPr fontId="4" type="noConversion"/>
  </si>
  <si>
    <t>TBD</t>
  </si>
  <si>
    <t>BW</t>
  </si>
  <si>
    <t>BII0229</t>
  </si>
  <si>
    <t>BII0246</t>
  </si>
  <si>
    <t>CP-23</t>
    <phoneticPr fontId="4" type="noConversion"/>
  </si>
  <si>
    <t>SKU 현황</t>
    <phoneticPr fontId="4" type="noConversion"/>
  </si>
  <si>
    <t>ALIFCI_MTRL_PS</t>
  </si>
  <si>
    <t>ALCDCM_MTRL_PS</t>
  </si>
  <si>
    <t>SP_STGCM_MTRL_PS</t>
  </si>
  <si>
    <t>File</t>
  </si>
  <si>
    <t>6.5k</t>
  </si>
  <si>
    <t>BW</t>
    <phoneticPr fontId="4" type="noConversion"/>
  </si>
  <si>
    <t>BII0229 CP-23.SKU 현황</t>
    <phoneticPr fontId="4" type="noConversion"/>
  </si>
  <si>
    <t>ZBI_SEND_FILE_TO_O9</t>
  </si>
  <si>
    <t>PPI2026</t>
  </si>
  <si>
    <t>PPI2061</t>
  </si>
  <si>
    <t>CP-24</t>
    <phoneticPr fontId="4" type="noConversion"/>
  </si>
  <si>
    <t>SKU In 일정</t>
    <phoneticPr fontId="4" type="noConversion"/>
  </si>
  <si>
    <t>ALIFCI_MTRL_LNCH_SCH</t>
  </si>
  <si>
    <t>ALCDCM_MTRL_LNCH_SCH</t>
  </si>
  <si>
    <t>SP_STGCM_MTRL_LNCH_SCH</t>
  </si>
  <si>
    <t>PPI2026 CP-24.SKU In 일정</t>
    <phoneticPr fontId="4" type="noConversion"/>
  </si>
  <si>
    <t>필드 추가(NPD 생산회의 상태 68P)</t>
    <phoneticPr fontId="4" type="noConversion"/>
  </si>
  <si>
    <t>ZPL_IF_MT_SINGLE</t>
  </si>
  <si>
    <t>PPI2017</t>
  </si>
  <si>
    <t>PPI2062</t>
  </si>
  <si>
    <t>SP-19</t>
    <phoneticPr fontId="4" type="noConversion"/>
  </si>
  <si>
    <t>자재마스터 대체단위 인터페이스 매핑구조</t>
    <phoneticPr fontId="4" type="noConversion"/>
  </si>
  <si>
    <t>ALIFCI_MTRL_UNIT_CNVT</t>
  </si>
  <si>
    <t>ALCDCM_MTRL_UNIT_CNVT</t>
  </si>
  <si>
    <t>SP_STGCM_MTRL_UNIT_CNVT</t>
  </si>
  <si>
    <t>Full</t>
    <phoneticPr fontId="4" type="noConversion"/>
  </si>
  <si>
    <t>PPI2017 SP-19.자재마스터 대체단위 인터페이스 매핑구조</t>
    <phoneticPr fontId="4" type="noConversion"/>
  </si>
  <si>
    <t>필드 추가</t>
    <phoneticPr fontId="4" type="noConversion"/>
  </si>
  <si>
    <t>PPI2011</t>
  </si>
  <si>
    <t>PPI2063</t>
  </si>
  <si>
    <t>SP-13</t>
    <phoneticPr fontId="4" type="noConversion"/>
  </si>
  <si>
    <t>자재마스터 원가정보</t>
    <phoneticPr fontId="4" type="noConversion"/>
  </si>
  <si>
    <t>ALIFCI_MTRL_PRPR</t>
  </si>
  <si>
    <t>ALCDCM_MTRL_PRPR</t>
  </si>
  <si>
    <t>SP_STGCM_MTRL_PRPR</t>
  </si>
  <si>
    <t>해외 정보 확인 필요</t>
    <phoneticPr fontId="7" type="noConversion"/>
  </si>
  <si>
    <t>PPI2011 SP-13.자재마스터 원가정보</t>
    <phoneticPr fontId="4" type="noConversion"/>
  </si>
  <si>
    <t>D</t>
    <phoneticPr fontId="4" type="noConversion"/>
  </si>
  <si>
    <t>ZPP_IF_STD_PRICE_SEND_SP</t>
  </si>
  <si>
    <t>BII0224</t>
  </si>
  <si>
    <t>BII0247</t>
  </si>
  <si>
    <t>CP-12</t>
    <phoneticPr fontId="4" type="noConversion"/>
  </si>
  <si>
    <t>재고</t>
    <phoneticPr fontId="4" type="noConversion"/>
  </si>
  <si>
    <t>A</t>
  </si>
  <si>
    <t>ALIFCI_INVN</t>
  </si>
  <si>
    <t>ALCDCA_INVN</t>
  </si>
  <si>
    <t>SP_STGCA_INVN</t>
  </si>
  <si>
    <t>364k</t>
  </si>
  <si>
    <t>BII0224 CP-12.재고</t>
  </si>
  <si>
    <t>대표다이나믹</t>
    <phoneticPr fontId="4" type="noConversion"/>
  </si>
  <si>
    <t>SDI4018</t>
  </si>
  <si>
    <t>SDI8365</t>
  </si>
  <si>
    <t>CP-40</t>
  </si>
  <si>
    <t>재고(계획용)</t>
  </si>
  <si>
    <t>수정</t>
  </si>
  <si>
    <t>Y</t>
  </si>
  <si>
    <t>ALIFCI_INVN_PLAN</t>
  </si>
  <si>
    <t>ALCDCA_INVN_PLAN</t>
  </si>
  <si>
    <t>SP_STGCA_INVN_PLAN</t>
  </si>
  <si>
    <t>취소==&gt; 시간차이로 다시 수정후 사용결정(11/04)이봉기=&gt; 기존 그대로 사용하고, 주문생성후 dn미부여는 추가 인터페이스하여 활용(11/17일).</t>
    <phoneticPr fontId="4" type="noConversion"/>
  </si>
  <si>
    <t>345k</t>
  </si>
  <si>
    <t>SDI4005</t>
  </si>
  <si>
    <t>SDI8366</t>
  </si>
  <si>
    <t>CP-02</t>
    <phoneticPr fontId="4" type="noConversion"/>
  </si>
  <si>
    <t>거래처마스터</t>
    <phoneticPr fontId="4" type="noConversion"/>
  </si>
  <si>
    <t>DP</t>
    <phoneticPr fontId="4" type="noConversion"/>
  </si>
  <si>
    <t>ALIFCI_PRTN_MSTR</t>
    <phoneticPr fontId="4" type="noConversion"/>
  </si>
  <si>
    <t>ALCDCM_PRTN_MSTR</t>
  </si>
  <si>
    <t>SP_STGCM_PRTN_MSTR</t>
  </si>
  <si>
    <t>거래처 그룹 기준정보 필요.(데이터 존재여부)</t>
    <phoneticPr fontId="4" type="noConversion"/>
  </si>
  <si>
    <t>DP</t>
  </si>
  <si>
    <t>SDI4005 CP-02.거래처마스터</t>
    <phoneticPr fontId="4" type="noConversion"/>
  </si>
  <si>
    <t>ZSD_SEND_CUSTOMER_01</t>
  </si>
  <si>
    <t>BII0230</t>
  </si>
  <si>
    <t>BII0248</t>
  </si>
  <si>
    <t>CP-39</t>
    <phoneticPr fontId="4" type="noConversion"/>
  </si>
  <si>
    <t>SKU 목표</t>
    <phoneticPr fontId="4" type="noConversion"/>
  </si>
  <si>
    <t>ALIFCI_YRLY_SAL_PLAN</t>
  </si>
  <si>
    <t>ALCDCA_YRLY_SAL_PLAN</t>
  </si>
  <si>
    <t>SP_STGCA_YRLY_SAL_PLAN</t>
  </si>
  <si>
    <t>년월+SKU 단위 판매목표수량</t>
    <phoneticPr fontId="4" type="noConversion"/>
  </si>
  <si>
    <t>3k</t>
  </si>
  <si>
    <t>BII0230 CP-39.SKU 목표</t>
    <phoneticPr fontId="4" type="noConversion"/>
  </si>
  <si>
    <t>BII0232</t>
  </si>
  <si>
    <t>BII0249</t>
  </si>
  <si>
    <t>CP-42</t>
    <phoneticPr fontId="4" type="noConversion"/>
  </si>
  <si>
    <t>기준환율</t>
    <phoneticPr fontId="4" type="noConversion"/>
  </si>
  <si>
    <t>ALIFCI_STND_EXRT</t>
  </si>
  <si>
    <t>ALCDCA_STND_EXRT</t>
  </si>
  <si>
    <t>SP_STGCA_STND_EXRT</t>
  </si>
  <si>
    <t>환율일자 추가가 필요하다고 판단됨</t>
  </si>
  <si>
    <t>1k</t>
  </si>
  <si>
    <t>유지(값의 정합성 확인 필요) 영업 조직별 기준환율이 I/F 되어야 함</t>
    <phoneticPr fontId="7" type="noConversion"/>
  </si>
  <si>
    <t>BII0232 CP-42.기준환율</t>
    <phoneticPr fontId="4" type="noConversion"/>
  </si>
  <si>
    <t>SDI4030</t>
  </si>
  <si>
    <t>SDI8367</t>
  </si>
  <si>
    <t>CP-32</t>
    <phoneticPr fontId="4" type="noConversion"/>
  </si>
  <si>
    <t>수출 진행 모니터링</t>
  </si>
  <si>
    <t>ALIFCI_EXPO_PRGR_MONI</t>
  </si>
  <si>
    <t>ALCDCA_EXPO_PRGR_MONI</t>
  </si>
  <si>
    <t>SP_STGCA_EXPO_PRGR_MONI</t>
  </si>
  <si>
    <t>SDI4030 CP-32.수출 진행 모니터링</t>
    <phoneticPr fontId="4" type="noConversion"/>
  </si>
  <si>
    <t>ZSD_SEND_EXPORT_O9</t>
  </si>
  <si>
    <t>BII0234</t>
  </si>
  <si>
    <t>BII0250</t>
  </si>
  <si>
    <t>CP-49</t>
    <phoneticPr fontId="4" type="noConversion"/>
  </si>
  <si>
    <t>거래처 재고</t>
    <phoneticPr fontId="4" type="noConversion"/>
  </si>
  <si>
    <t>ALIFCI_PRTN_INVN</t>
  </si>
  <si>
    <t>ALCDCA_PRTN_INVN</t>
  </si>
  <si>
    <t>SP_STGCA_PRTN_INVN</t>
  </si>
  <si>
    <t>BII0234 CP-49.거래처 재고</t>
    <phoneticPr fontId="4" type="noConversion"/>
  </si>
  <si>
    <t>BII0226</t>
  </si>
  <si>
    <t>BII0251</t>
  </si>
  <si>
    <t>CP-19</t>
    <phoneticPr fontId="4" type="noConversion"/>
  </si>
  <si>
    <t>기타 수요(잡출)</t>
    <phoneticPr fontId="4" type="noConversion"/>
  </si>
  <si>
    <t>ALIFCI_OTH_DMD</t>
  </si>
  <si>
    <t>ALCDCA_OTH_DMD</t>
  </si>
  <si>
    <t>SP_STGCA_OTH_DMD</t>
  </si>
  <si>
    <t>수정</t>
    <phoneticPr fontId="7" type="noConversion"/>
  </si>
  <si>
    <t>4.7k</t>
  </si>
  <si>
    <t>Layout 변경(PG → Sold-To-Party 로 변경</t>
    <phoneticPr fontId="4" type="noConversion"/>
  </si>
  <si>
    <t>BII0226 CP-19.기타 수요(잡출)</t>
    <phoneticPr fontId="4" type="noConversion"/>
  </si>
  <si>
    <t>거래처 단위 로직 변경</t>
    <phoneticPr fontId="4" type="noConversion"/>
  </si>
  <si>
    <t>Weekly,Daily</t>
  </si>
  <si>
    <t>PPI2003</t>
  </si>
  <si>
    <t>PPI2064</t>
  </si>
  <si>
    <t>SP-01</t>
    <phoneticPr fontId="4" type="noConversion"/>
  </si>
  <si>
    <t>BOM Master</t>
    <phoneticPr fontId="4" type="noConversion"/>
  </si>
  <si>
    <t>SP</t>
    <phoneticPr fontId="4" type="noConversion"/>
  </si>
  <si>
    <t>ALIFCI_BOM_MSTR</t>
  </si>
  <si>
    <t>ALCDCM_BOM_MSTR</t>
  </si>
  <si>
    <t>SP_STGCM_BOM_MSTR</t>
  </si>
  <si>
    <t>SP</t>
  </si>
  <si>
    <t>PPI2003 SP-01.BOM</t>
    <phoneticPr fontId="4" type="noConversion"/>
  </si>
  <si>
    <t>신규 플랜트 로직 수정 필요</t>
    <phoneticPr fontId="4" type="noConversion"/>
  </si>
  <si>
    <t>ZPP_IF_BOM_SEND_SP</t>
  </si>
  <si>
    <t>PPI2006</t>
  </si>
  <si>
    <t>PPI2065</t>
  </si>
  <si>
    <t>SP-05</t>
    <phoneticPr fontId="4" type="noConversion"/>
  </si>
  <si>
    <t>작업장 마스터</t>
    <phoneticPr fontId="4" type="noConversion"/>
  </si>
  <si>
    <t>ALIFCI_MFG_WKNS</t>
  </si>
  <si>
    <t>ALCDCM_MFG_WKNS</t>
  </si>
  <si>
    <t>SP_STGCM_MFG_WKNS</t>
  </si>
  <si>
    <t>(작업장 기준 Grouping 해서 Resource 로 정의</t>
    <phoneticPr fontId="7" type="noConversion"/>
  </si>
  <si>
    <t>PPI2006 SP-05.작업장 마스터</t>
    <phoneticPr fontId="4" type="noConversion"/>
  </si>
  <si>
    <t>ZPP_IF_WORKCENTER_SEND_SP</t>
    <phoneticPr fontId="7" type="noConversion"/>
  </si>
  <si>
    <t>PPI2009</t>
  </si>
  <si>
    <t>PPI2066</t>
  </si>
  <si>
    <t>SP-10</t>
    <phoneticPr fontId="4" type="noConversion"/>
  </si>
  <si>
    <t>생산 오더</t>
    <phoneticPr fontId="4" type="noConversion"/>
  </si>
  <si>
    <t>ALIFCI_MFG_ORD</t>
  </si>
  <si>
    <t>ALCDCA_MFG_ORD</t>
  </si>
  <si>
    <t>SP_STGCA_MFG_ORD</t>
  </si>
  <si>
    <t>국내 포함 전체(해외)Plant  반영 필요</t>
    <phoneticPr fontId="7" type="noConversion"/>
  </si>
  <si>
    <t>PPI2009 SP-10.생산 오더</t>
    <phoneticPr fontId="4" type="noConversion"/>
  </si>
  <si>
    <t>ZPP_IF_PROD_ORDER_SEND_SP</t>
  </si>
  <si>
    <t>PPI2010</t>
  </si>
  <si>
    <t>PPI2067</t>
  </si>
  <si>
    <t>SP-11</t>
    <phoneticPr fontId="4" type="noConversion"/>
  </si>
  <si>
    <t>구매오더</t>
  </si>
  <si>
    <t>ALIFCI_PUR_ORD</t>
  </si>
  <si>
    <t>ALCDCA_PUR_ORD</t>
  </si>
  <si>
    <t>SP_STGCA_PUR_ORD</t>
  </si>
  <si>
    <t>ODM 포함 전체 구매오더로 반영되어야 하고 확인 필요</t>
    <phoneticPr fontId="7" type="noConversion"/>
  </si>
  <si>
    <t>PPI2010 SP-11.구매오더</t>
    <phoneticPr fontId="4" type="noConversion"/>
  </si>
  <si>
    <t>ZPP_IF_PURCH_ORDER_SEND_SP</t>
  </si>
  <si>
    <t>PPI2004</t>
  </si>
  <si>
    <t>PPI2068</t>
  </si>
  <si>
    <t>SP-03</t>
    <phoneticPr fontId="4" type="noConversion"/>
  </si>
  <si>
    <t>구매정보 (ODM 원부자재)</t>
  </si>
  <si>
    <t>ALIFCI_MTRL_PUR</t>
  </si>
  <si>
    <t>ALCDCM_MTRL_PUR</t>
  </si>
  <si>
    <t>SP_STGCM_MTRL_PUR</t>
  </si>
  <si>
    <t>ODM Network 구성 및 포장재 구매처 정의  (Category 컬럼-&gt; 구매 또는 외주가공 정의 가능)</t>
    <phoneticPr fontId="7" type="noConversion"/>
  </si>
  <si>
    <t>PPI2004 SP-03.구매정보(ODM 외주 원부자재)</t>
    <phoneticPr fontId="4" type="noConversion"/>
  </si>
  <si>
    <t>ZPP_IF_INFOREC_SEND_SP</t>
  </si>
  <si>
    <t>PPI2005</t>
  </si>
  <si>
    <t>PPI2069</t>
  </si>
  <si>
    <t>SP-04</t>
    <phoneticPr fontId="4" type="noConversion"/>
  </si>
  <si>
    <t>협력사 마스터</t>
    <phoneticPr fontId="4" type="noConversion"/>
  </si>
  <si>
    <t>ALIFCI_SBCN_MSTR</t>
  </si>
  <si>
    <t>ALCDCM_SBCN_MSTR</t>
  </si>
  <si>
    <t>SP_STGCM_SBCN_MSTR</t>
  </si>
  <si>
    <t>PPI2005 SP-04.협력사 마스터</t>
  </si>
  <si>
    <t>ZPP_IF_VENDOR_SEND_SP</t>
    <phoneticPr fontId="7" type="noConversion"/>
  </si>
  <si>
    <t>PPI2016</t>
  </si>
  <si>
    <t>PPI2070</t>
  </si>
  <si>
    <t>SP-14</t>
    <phoneticPr fontId="4" type="noConversion"/>
  </si>
  <si>
    <t>가용화 입고 실적</t>
    <phoneticPr fontId="4" type="noConversion"/>
  </si>
  <si>
    <t>ALIFCI_AVAB_WRHS_PRFR</t>
  </si>
  <si>
    <t>ALCDCA_AVAB_WRHS_PRFR</t>
  </si>
  <si>
    <t>SP_STGCA_AVAB_WRHS_PRFR</t>
  </si>
  <si>
    <t>엔진 Input은 아니나 활용 측면에서 검토 필요</t>
    <phoneticPr fontId="7" type="noConversion"/>
  </si>
  <si>
    <t>PPI2016 SP-14.가용화 입고 실적</t>
    <phoneticPr fontId="4" type="noConversion"/>
  </si>
  <si>
    <t>2/Day</t>
    <phoneticPr fontId="4" type="noConversion"/>
  </si>
  <si>
    <t>2/day( 11AM , 03PM)</t>
    <phoneticPr fontId="7" type="noConversion"/>
  </si>
  <si>
    <t>ZPP_IF_AVAIL_STOCK_SEND_SP</t>
    <phoneticPr fontId="4" type="noConversion"/>
  </si>
  <si>
    <t>SDI4026</t>
  </si>
  <si>
    <t>SDI8368</t>
  </si>
  <si>
    <t>CP-37</t>
    <phoneticPr fontId="4" type="noConversion"/>
  </si>
  <si>
    <t>SOP 잔량 정보</t>
    <phoneticPr fontId="4" type="noConversion"/>
  </si>
  <si>
    <t>ALIFCI_LOAD_RMN_QTY</t>
  </si>
  <si>
    <t>ALCDCA_LOAD_RMN_QTY</t>
  </si>
  <si>
    <t>SP_STGCA_LOAD_RMN_QTY</t>
  </si>
  <si>
    <t>선적잔량</t>
    <phoneticPr fontId="7" type="noConversion"/>
  </si>
  <si>
    <t>SC</t>
    <phoneticPr fontId="4" type="noConversion"/>
  </si>
  <si>
    <t>SDI4026 CP-37.SOP 잔량 정보</t>
    <phoneticPr fontId="4" type="noConversion"/>
  </si>
  <si>
    <t>해외요청량 프로세스 Aplan 개발 범위에 따라 공수 변동</t>
    <phoneticPr fontId="4" type="noConversion"/>
  </si>
  <si>
    <t>Sunday</t>
  </si>
  <si>
    <t>ZSC_PIR_O9_SAP_002</t>
  </si>
  <si>
    <t>PPI2007</t>
  </si>
  <si>
    <t>PPI2071</t>
  </si>
  <si>
    <t>SP-08</t>
    <phoneticPr fontId="4" type="noConversion"/>
  </si>
  <si>
    <t>반제품 포장재 MD04 재고</t>
    <phoneticPr fontId="4" type="noConversion"/>
  </si>
  <si>
    <t>ALIFCI_SMPR_INVN</t>
  </si>
  <si>
    <t>ALCDCA_SMPR_INVN</t>
  </si>
  <si>
    <t>SP_STGCA_SMPR_INVN</t>
  </si>
  <si>
    <t>반제품 재고 수량 + QA 수량</t>
    <phoneticPr fontId="7" type="noConversion"/>
  </si>
  <si>
    <t>PPI2007 SP-08.반제품 포장재 MD04 재고</t>
    <phoneticPr fontId="4" type="noConversion"/>
  </si>
  <si>
    <t>ZPP_IF_MD04STOCK_SEND_SP</t>
  </si>
  <si>
    <t>IAM</t>
  </si>
  <si>
    <t>LEGI3532</t>
  </si>
  <si>
    <t>CP-04</t>
    <phoneticPr fontId="4" type="noConversion"/>
  </si>
  <si>
    <t>Role 권한 승인 정보</t>
    <phoneticPr fontId="4" type="noConversion"/>
  </si>
  <si>
    <t>SYS</t>
    <phoneticPr fontId="4" type="noConversion"/>
  </si>
  <si>
    <t>ALIFCI_AUTH_ROLE</t>
  </si>
  <si>
    <t>ALCDCM_AUTH_ROLE</t>
  </si>
  <si>
    <t>SP_STGCM_AUTH_ROLE</t>
  </si>
  <si>
    <t>System</t>
  </si>
  <si>
    <t>-</t>
  </si>
  <si>
    <t>IAM</t>
    <phoneticPr fontId="4" type="noConversion"/>
  </si>
  <si>
    <t>LEGI3532 CP-04.Role 권한 승인 정보</t>
    <phoneticPr fontId="4" type="noConversion"/>
  </si>
  <si>
    <t>IAM 박소영님/레이아웃 재정의</t>
    <phoneticPr fontId="4" type="noConversion"/>
  </si>
  <si>
    <t>11:30:00 AM / 04:30 PM</t>
  </si>
  <si>
    <t>EX_IF_ROLE</t>
  </si>
  <si>
    <t>LEGI3531</t>
  </si>
  <si>
    <t>계정 승인 정보</t>
    <phoneticPr fontId="4" type="noConversion"/>
  </si>
  <si>
    <t>ALIFCI_USER_ACCT</t>
  </si>
  <si>
    <t>ALCDCM_USER_ACCT</t>
  </si>
  <si>
    <t>SP_STGCM_USER_ACCT</t>
  </si>
  <si>
    <t>LEGI3531 CP-04. 계정 승인 정보</t>
    <phoneticPr fontId="4" type="noConversion"/>
  </si>
  <si>
    <t>EX_IF_RES_USER</t>
  </si>
  <si>
    <t>SDI4011</t>
  </si>
  <si>
    <t>SDI8369</t>
  </si>
  <si>
    <t>CP-34</t>
    <phoneticPr fontId="4" type="noConversion"/>
  </si>
  <si>
    <t>CP 코드 마스터</t>
    <phoneticPr fontId="4" type="noConversion"/>
  </si>
  <si>
    <t>ALIFCI_CP_CD_MSTR</t>
  </si>
  <si>
    <t>ALCDCM_CP_CD_MSTR</t>
  </si>
  <si>
    <t>SP_STGCM_CP_CD_MSTR</t>
  </si>
  <si>
    <t>SAP 공통코드</t>
  </si>
  <si>
    <t>SDI4011 CP-34.CP 코드 마스터</t>
    <phoneticPr fontId="4" type="noConversion"/>
  </si>
  <si>
    <t>왜 신규 인터페이스인지 확인 필요</t>
    <phoneticPr fontId="4" type="noConversion"/>
  </si>
  <si>
    <t>SDI8354</t>
    <phoneticPr fontId="4" type="noConversion"/>
  </si>
  <si>
    <t>SDI8354</t>
  </si>
  <si>
    <t>SP-41</t>
    <phoneticPr fontId="4" type="noConversion"/>
  </si>
  <si>
    <t>SP-41. 저장위치리스트</t>
  </si>
  <si>
    <t xml:space="preserve">공통 </t>
  </si>
  <si>
    <t>ALIFCI_INVN_SLOC</t>
  </si>
  <si>
    <t>ALCDCM_INVN_SLOC</t>
  </si>
  <si>
    <t>SP_STGCM_INVN_SLOC</t>
  </si>
  <si>
    <t>SRC 시스템 다름</t>
    <phoneticPr fontId="4" type="noConversion"/>
  </si>
  <si>
    <t>20251020추가</t>
  </si>
  <si>
    <t>신규</t>
  </si>
  <si>
    <t>PPI2018</t>
  </si>
  <si>
    <t>PPI2072</t>
  </si>
  <si>
    <t>SP-20</t>
    <phoneticPr fontId="4" type="noConversion"/>
  </si>
  <si>
    <t>공장달력 인터페이스</t>
    <phoneticPr fontId="4" type="noConversion"/>
  </si>
  <si>
    <t>수정</t>
    <phoneticPr fontId="4" type="noConversion"/>
  </si>
  <si>
    <t>ALIFCI_PLNT_CLD</t>
  </si>
  <si>
    <t>ALCDCA_PLNT_CLD</t>
  </si>
  <si>
    <t>SP_STGCA_PLNT_CLD</t>
  </si>
  <si>
    <t>PP</t>
  </si>
  <si>
    <t>PPI2018 SP-20.공장달력 인터페이스</t>
  </si>
  <si>
    <t>공장달력 인터페이스 누락되어 추가</t>
  </si>
  <si>
    <t>보류</t>
  </si>
  <si>
    <t>CDP</t>
  </si>
  <si>
    <t>DP-50</t>
    <phoneticPr fontId="4" type="noConversion"/>
  </si>
  <si>
    <t>거래처 협업 유통사 판매 재고</t>
    <phoneticPr fontId="4" type="noConversion"/>
  </si>
  <si>
    <t>ALIFCI_PRTN_DSTR_INVN</t>
  </si>
  <si>
    <t>ALCDCA_PRTN_DSTR_INVN</t>
  </si>
  <si>
    <t>SP_STGCA_PRTN_DSTR_INVN</t>
  </si>
  <si>
    <t>글루 사용 I/F</t>
    <phoneticPr fontId="4" type="noConversion"/>
  </si>
  <si>
    <t>재고, 판매</t>
  </si>
  <si>
    <t xml:space="preserve">신규 </t>
  </si>
  <si>
    <t>신규 (거래처 협업 유통사 데이터, 84P)  글루 I/F만 허용</t>
    <phoneticPr fontId="4" type="noConversion"/>
  </si>
  <si>
    <t>DP-51</t>
    <phoneticPr fontId="4" type="noConversion"/>
  </si>
  <si>
    <t>거래처 협업 유통사 판매 재고(월)</t>
    <phoneticPr fontId="4" type="noConversion"/>
  </si>
  <si>
    <t>ALIFCI_PRTN_DSTR_MTH_INVN</t>
  </si>
  <si>
    <t>ALCDCA_PRTN_DSTR_MTH_INVN</t>
  </si>
  <si>
    <t>SP_STGCA_PRTN_DSTR_MTH_INVN</t>
  </si>
  <si>
    <t>재고, 판매 (월)</t>
  </si>
  <si>
    <t>신규 (거래처 협업 유통사 데이터, 84P) 글루 I/F만 허용</t>
    <phoneticPr fontId="4" type="noConversion"/>
  </si>
  <si>
    <t>SP-42</t>
    <phoneticPr fontId="4" type="noConversion"/>
  </si>
  <si>
    <t>재고 Aging 상태</t>
    <phoneticPr fontId="4" type="noConversion"/>
  </si>
  <si>
    <t>ALIFCI_INVN_AG_ST</t>
  </si>
  <si>
    <t>ALCDCA_INVN_AG_ST</t>
  </si>
  <si>
    <t>SP_STGCA_INVN_AG_ST</t>
  </si>
  <si>
    <t>SAP, EWM, 아폴로, 3PL 데이터를 CDP에서 통합하여 연계</t>
  </si>
  <si>
    <t>신규 (재고 Aging, 52P) 글루 I/F만 허용</t>
    <phoneticPr fontId="4" type="noConversion"/>
  </si>
  <si>
    <t>DP-52</t>
    <phoneticPr fontId="4" type="noConversion"/>
  </si>
  <si>
    <t>엔진상품 리스트</t>
    <phoneticPr fontId="4" type="noConversion"/>
  </si>
  <si>
    <t>ALIFCI_ENGN_PRD</t>
  </si>
  <si>
    <t>ALCDCM_ENGN_PRD</t>
  </si>
  <si>
    <t>SP_STGCM_ENGN_PRD</t>
  </si>
  <si>
    <t>글루 I/F만 허용</t>
  </si>
  <si>
    <t>BII0237</t>
  </si>
  <si>
    <t>DP-42-1</t>
  </si>
  <si>
    <t>DP-42-1.  자재정보추가_BW</t>
  </si>
  <si>
    <t>ALIFCI_MTRL_XTRA_ATTR1</t>
  </si>
  <si>
    <t>ALCDCM_MTRL_MSTR(업데이트 Only)</t>
  </si>
  <si>
    <t>SP_STGCM_MTRL_MSTR_XTRA1</t>
  </si>
  <si>
    <t>BII0238</t>
  </si>
  <si>
    <t>DP-42-2</t>
  </si>
  <si>
    <t>DP-42-2.  자재정보추가_BW</t>
  </si>
  <si>
    <t>ALIFCI_MTRL_XTRA_ATTR2</t>
  </si>
  <si>
    <t>ALCDCM_MTRL_MSTR_CP(업데이트 Only)</t>
  </si>
  <si>
    <t>SP_STGCM_MTRL_MSTR_XTRA2</t>
  </si>
  <si>
    <t>BII0239</t>
  </si>
  <si>
    <t>DP-42-3</t>
  </si>
  <si>
    <t>DP-42-3.  자재정보추가_BW</t>
  </si>
  <si>
    <t>ALIFCI_MTRL_XTRA_ATTR3</t>
  </si>
  <si>
    <t>ALCDCM_MTRL_MSTR_CP_YRMN_HIST</t>
  </si>
  <si>
    <t>SP_STGCM_MTRL_MSTR_XTRA3</t>
  </si>
  <si>
    <t>BII0240</t>
  </si>
  <si>
    <t>DP-43-1</t>
  </si>
  <si>
    <t>DP-43-1. 거래처정보추가_BW(유통경로)</t>
  </si>
  <si>
    <t>ALIFCI_PRTN_XTRA_ATTR1</t>
  </si>
  <si>
    <t>ALCDCM_PRTN_MSTR(업데이트 ONLY)</t>
  </si>
  <si>
    <t>SP_STGCM_PRTN_XTRA_ATTR1</t>
  </si>
  <si>
    <t>SBW17</t>
    <phoneticPr fontId="4" type="noConversion"/>
  </si>
  <si>
    <t>BII0241</t>
  </si>
  <si>
    <t>DP-43-2</t>
  </si>
  <si>
    <t>DP-43-2. 거래처정보추가_BW(영업조직 회사정보)</t>
  </si>
  <si>
    <t>ALIFCI_PRTN_XTRA_ATTR2</t>
  </si>
  <si>
    <t>ALCDCM_SORG_CMPY</t>
  </si>
  <si>
    <t>SP_STGCM_PRTN_XTRA_ATTR2</t>
  </si>
  <si>
    <t>SBW18</t>
    <phoneticPr fontId="4" type="noConversion"/>
  </si>
  <si>
    <t>BII0242</t>
  </si>
  <si>
    <t>DP-44</t>
    <phoneticPr fontId="4" type="noConversion"/>
  </si>
  <si>
    <t>DP-44. 마감계획_BW</t>
    <phoneticPr fontId="4" type="noConversion"/>
  </si>
  <si>
    <t>ALIFCI_DDLN_PLAN</t>
  </si>
  <si>
    <t>ALCDCA_DDLN_PLAN</t>
  </si>
  <si>
    <t>SP_STGCA_DDLN_PLAN</t>
  </si>
  <si>
    <t>수정완료(12/3)SBW19</t>
    <phoneticPr fontId="4" type="noConversion"/>
  </si>
  <si>
    <t>BII0243</t>
    <phoneticPr fontId="4" type="noConversion"/>
  </si>
  <si>
    <t>BII0243</t>
  </si>
  <si>
    <t>DP-46</t>
    <phoneticPr fontId="4" type="noConversion"/>
  </si>
  <si>
    <t>DP-46. 판매실적_거래처&amp;SKU</t>
    <phoneticPr fontId="4" type="noConversion"/>
  </si>
  <si>
    <t>ALIFCI_SAL_PRFR</t>
  </si>
  <si>
    <t>ALCDCA_SAL_PRFR</t>
  </si>
  <si>
    <t>SP_STGCA_SAL_PRFR</t>
  </si>
  <si>
    <t>수정완료(12/3)-SBW20</t>
    <phoneticPr fontId="4" type="noConversion"/>
  </si>
  <si>
    <t>BII0244</t>
    <phoneticPr fontId="4" type="noConversion"/>
  </si>
  <si>
    <t>BII0244</t>
  </si>
  <si>
    <t>DP-48</t>
    <phoneticPr fontId="4" type="noConversion"/>
  </si>
  <si>
    <t>DP-48. 주문실적_거래처&amp;SKU</t>
    <phoneticPr fontId="4" type="noConversion"/>
  </si>
  <si>
    <t>ALIFCI_ORD_LACK</t>
  </si>
  <si>
    <t>ALCDCA_ORD_LACK</t>
  </si>
  <si>
    <t>SP_STGCA_ORD_LACK</t>
  </si>
  <si>
    <t>수정완료(12/3)-SBW21</t>
    <phoneticPr fontId="4" type="noConversion"/>
  </si>
  <si>
    <t>BII0245</t>
  </si>
  <si>
    <t>DP-49</t>
    <phoneticPr fontId="4" type="noConversion"/>
  </si>
  <si>
    <t>DP-49. 목표&amp;예상이익</t>
    <phoneticPr fontId="4" type="noConversion"/>
  </si>
  <si>
    <t>ALIFCI_GOAL_EXPC_PRFT</t>
  </si>
  <si>
    <t>ALCDCA_GOAL_EXPC_PRFT</t>
  </si>
  <si>
    <t>SP_STGCA_GOAL_EXPC_PRFT</t>
  </si>
  <si>
    <t>수정완료(12/3)</t>
    <phoneticPr fontId="4" type="noConversion"/>
  </si>
  <si>
    <t>SDI8353</t>
    <phoneticPr fontId="4" type="noConversion"/>
  </si>
  <si>
    <t>SDI8353</t>
    <phoneticPr fontId="0" type="noConversion"/>
  </si>
  <si>
    <t>DP-53</t>
  </si>
  <si>
    <t>DP-53.  신제품추정단가</t>
  </si>
  <si>
    <t>ALIFCI_NEW_PRD_ESTI_UTPR</t>
  </si>
  <si>
    <t>ALCDCM_NEW_PRD_ESTI_UTPR</t>
  </si>
  <si>
    <t>SP_STGCM_NEW_PRD_ESTI_UTPR</t>
  </si>
  <si>
    <t>20251106추가</t>
  </si>
  <si>
    <t>PPI2055</t>
  </si>
  <si>
    <t>SP-43</t>
  </si>
  <si>
    <t>SP-43.  라우팅관리(SAP)</t>
  </si>
  <si>
    <t>ALIFCI_MFRU_MSTR1</t>
  </si>
  <si>
    <t>ALCDCM_MFRU_MSTR1</t>
  </si>
  <si>
    <t>SP_STGCM_MFRU_MSTR1</t>
  </si>
  <si>
    <t>PPI2056</t>
  </si>
  <si>
    <t>SP-44</t>
  </si>
  <si>
    <t>SP-44.  라우팅관리(SAP)2</t>
  </si>
  <si>
    <t>ALIFCI_MFRU_MSTR2</t>
  </si>
  <si>
    <t>ALCDCM_MFRU_MSTR2</t>
  </si>
  <si>
    <t>SP_STGCM_MFRU_MSTR2</t>
  </si>
  <si>
    <t>SDI8352</t>
  </si>
  <si>
    <t>SP-45</t>
  </si>
  <si>
    <t>SP-45. 영업저장위치관리</t>
  </si>
  <si>
    <t>ALIFCI_SALES_SLOC</t>
  </si>
  <si>
    <t>ALCDCM_SALES_SLOC</t>
  </si>
  <si>
    <t>SP_STGCM_SALES_SLOC</t>
  </si>
  <si>
    <t>PPI2057</t>
  </si>
  <si>
    <t>DP-55</t>
  </si>
  <si>
    <t>DP-55. SAP압축품의 정보</t>
    <phoneticPr fontId="4" type="noConversion"/>
  </si>
  <si>
    <t>ALIFCI_SAP_BEDI_CNSN</t>
  </si>
  <si>
    <t>ALCDCM_SAP_BEDI_CNSN</t>
    <phoneticPr fontId="4" type="noConversion"/>
  </si>
  <si>
    <t>SP_STGCM_SAP_BEDI_CNSN</t>
  </si>
  <si>
    <t>SP-46</t>
    <phoneticPr fontId="4" type="noConversion"/>
  </si>
  <si>
    <t>SP-46. SAP재고에이징데이터(중국)</t>
    <phoneticPr fontId="4" type="noConversion"/>
  </si>
  <si>
    <t>ALIFCI_SAP_AG_INVN_CHIN</t>
  </si>
  <si>
    <t>ALCDCA_SAP_AG_INVN_CHIN</t>
  </si>
  <si>
    <t>SP_STGCA_SAP_AG_INVN_CHIN</t>
  </si>
  <si>
    <t>20251126추가</t>
  </si>
  <si>
    <t>BII0252</t>
  </si>
  <si>
    <t>DP-57</t>
    <phoneticPr fontId="4" type="noConversion"/>
  </si>
  <si>
    <t xml:space="preserve">DP-57. BW 코드별 네이밍 마스터 </t>
    <phoneticPr fontId="4" type="noConversion"/>
  </si>
  <si>
    <t>ALIFCI_BW_CD_MSTR</t>
  </si>
  <si>
    <t>ALCDCM_BW_CD_MSTR</t>
  </si>
  <si>
    <t>SP_STGCM_BW_CD_MSTR</t>
  </si>
  <si>
    <t>20251203추가</t>
  </si>
  <si>
    <t>SDI8358</t>
  </si>
  <si>
    <t>SP-47</t>
    <phoneticPr fontId="4" type="noConversion"/>
  </si>
  <si>
    <t>오픈SO(계획용)</t>
    <phoneticPr fontId="4" type="noConversion"/>
  </si>
  <si>
    <t>ALIFCI_OPEN_SAL_ORD</t>
  </si>
  <si>
    <t>ALCDCA_OPEN_SAL_ORD</t>
  </si>
  <si>
    <t>SP_STGCA_OPEN_SAL_ORD</t>
  </si>
  <si>
    <t>20251205 ERP팀추가</t>
    <phoneticPr fontId="4" type="noConversion"/>
  </si>
  <si>
    <t>SDI8359</t>
  </si>
  <si>
    <t>SP-48</t>
    <phoneticPr fontId="4" type="noConversion"/>
  </si>
  <si>
    <t>판매처별 위탁재고</t>
    <phoneticPr fontId="4" type="noConversion"/>
  </si>
  <si>
    <t>ALIFCI_PRTN_TS_INVN</t>
  </si>
  <si>
    <t>ALICDCA_PRTN_TS_INVN</t>
  </si>
  <si>
    <t>SP_STGCA_PRTN_TS_INVN</t>
  </si>
  <si>
    <t>삭제</t>
  </si>
  <si>
    <t>SP-18</t>
    <phoneticPr fontId="4" type="noConversion"/>
  </si>
  <si>
    <t>플랜트 저장위치 매핑 마스터</t>
  </si>
  <si>
    <t>삭제</t>
    <phoneticPr fontId="4" type="noConversion"/>
  </si>
  <si>
    <t>20251202삭제</t>
    <phoneticPr fontId="4" type="noConversion"/>
  </si>
  <si>
    <t>저장위치리스트(SP-41)로 대체.
25.11.19삭제</t>
    <phoneticPr fontId="4" type="noConversion"/>
  </si>
  <si>
    <t>거래처 / GPS 목표채널 Mapping 정보</t>
  </si>
  <si>
    <t>거래처 추가 칼럼에 GPS채널 존재
25.11.19 삭제</t>
  </si>
  <si>
    <t>BII0227</t>
  </si>
  <si>
    <t>CP-20</t>
    <phoneticPr fontId="4" type="noConversion"/>
  </si>
  <si>
    <t>주문 실적/결품 수량</t>
    <phoneticPr fontId="4" type="noConversion"/>
  </si>
  <si>
    <t>110k</t>
  </si>
  <si>
    <t>Layout 변경(PG → Sold-To-Party 로 변경</t>
    <phoneticPr fontId="7" type="noConversion"/>
  </si>
  <si>
    <t>BII0227 CP-20.주문 실적/결품 수량</t>
    <phoneticPr fontId="4" type="noConversion"/>
  </si>
  <si>
    <t>BII0228</t>
  </si>
  <si>
    <t>CP-21</t>
    <phoneticPr fontId="4" type="noConversion"/>
  </si>
  <si>
    <t>판매실적</t>
    <phoneticPr fontId="4" type="noConversion"/>
  </si>
  <si>
    <t>ALIFCI_SAL_PRFR</t>
    <phoneticPr fontId="4" type="noConversion"/>
  </si>
  <si>
    <t>201k</t>
  </si>
  <si>
    <t>BII0228 CP-21.판매 실적</t>
    <phoneticPr fontId="4" type="noConversion"/>
  </si>
  <si>
    <t>LEGI2972</t>
  </si>
  <si>
    <t>SP-06</t>
    <phoneticPr fontId="4" type="noConversion"/>
  </si>
  <si>
    <t>ROS</t>
    <phoneticPr fontId="4" type="noConversion"/>
  </si>
  <si>
    <t>ALIFCI_ROS_MSTR</t>
  </si>
  <si>
    <t>ALCDCM_ROS_MSTR</t>
  </si>
  <si>
    <t>ROUTING으로 대체.25.11.18</t>
  </si>
  <si>
    <t>해외사업장 확장으로 인해서 원천을 SAP 로 변경, MES 한국 Plant만 존재함</t>
    <phoneticPr fontId="7" type="noConversion"/>
  </si>
  <si>
    <t>신규-LEGI2972 SP-06.ROS</t>
    <phoneticPr fontId="4" type="noConversion"/>
  </si>
  <si>
    <t>목(Thu)/토(Sat)</t>
    <phoneticPr fontId="7" type="noConversion"/>
  </si>
  <si>
    <t>MWRKTI_ROS_PACK_PRFR_SND</t>
    <phoneticPr fontId="7" type="noConversion"/>
  </si>
  <si>
    <t>구매포털</t>
  </si>
  <si>
    <t>LEGI3534</t>
  </si>
  <si>
    <t>CP-36</t>
    <phoneticPr fontId="4" type="noConversion"/>
  </si>
  <si>
    <t>협력사 원부자재 재고</t>
    <phoneticPr fontId="4" type="noConversion"/>
  </si>
  <si>
    <t>ALIFCI_SBCN_MTRL_INVN</t>
  </si>
  <si>
    <t>ALCDCA_SBCN_MTRL_INVN</t>
  </si>
  <si>
    <t>20251113_제외처리_이봉기</t>
    <phoneticPr fontId="4" type="noConversion"/>
  </si>
  <si>
    <t>구매포털</t>
    <phoneticPr fontId="4" type="noConversion"/>
  </si>
  <si>
    <t>LEGI3534 CP-36.협력사 원부자재 재고</t>
    <phoneticPr fontId="4" type="noConversion"/>
  </si>
  <si>
    <t>-</t>
    <phoneticPr fontId="7" type="noConversion"/>
  </si>
  <si>
    <t>CP-40</t>
    <phoneticPr fontId="4" type="noConversion"/>
  </si>
  <si>
    <t>Lot ID별 재고정보</t>
    <phoneticPr fontId="4" type="noConversion"/>
  </si>
  <si>
    <t>신규추가_2025.10.20
(확인필요) 삭제(251119)</t>
  </si>
  <si>
    <t>SD</t>
  </si>
  <si>
    <t>SDI4018 CP-40.재고(계획용)</t>
  </si>
  <si>
    <t>DN, GI 상태 고려한 기준 변경</t>
  </si>
  <si>
    <t>변경(상)</t>
  </si>
  <si>
    <t>D</t>
  </si>
  <si>
    <t>판매실적(계획용)</t>
    <phoneticPr fontId="7" type="noConversion"/>
  </si>
  <si>
    <t>신규추가_2025.10.20
(확인필요) 삭제(251119)
삭제재확인(251126)</t>
    <phoneticPr fontId="4" type="noConversion"/>
  </si>
  <si>
    <t>판매실적(계획용)</t>
  </si>
  <si>
    <t>CP-06</t>
    <phoneticPr fontId="4" type="noConversion"/>
  </si>
  <si>
    <t>플랜트 저장위치 마스터</t>
    <phoneticPr fontId="4" type="noConversion"/>
  </si>
  <si>
    <t>신규추가_2025.10.20</t>
  </si>
  <si>
    <t>BIM Inbound 추가</t>
  </si>
  <si>
    <t>신규 -SDI4013 CP-06.PG별 영업 저장위치 매핑 마스터</t>
  </si>
  <si>
    <t>PG BIM에서 관리하기 위해 플랜트/저장위치 마스터 필요</t>
  </si>
  <si>
    <t>W</t>
  </si>
  <si>
    <t>??</t>
    <phoneticPr fontId="4" type="noConversion"/>
  </si>
  <si>
    <t>GPS 목표채널 기준정보</t>
  </si>
  <si>
    <t>그룹거래처 채널- GPS 목표채널 Mapping 정보 BW 에서 신규 I/F 필요</t>
  </si>
  <si>
    <t>DP-43-3</t>
  </si>
  <si>
    <t>DP-43-3. 거래처정보추가_BW</t>
  </si>
  <si>
    <t>신규추가_2025.10.20 ,삭제 11/14</t>
  </si>
  <si>
    <t>DP-43-4</t>
  </si>
  <si>
    <t>DP-43-4. 거래처정보추가_BW</t>
  </si>
  <si>
    <t>신규추가_2025.10.20, 삭제 11/14</t>
  </si>
  <si>
    <t>DP-43-5</t>
  </si>
  <si>
    <t>DP-43-5. 거래처정보추가_BW</t>
  </si>
  <si>
    <t>DP-45</t>
  </si>
  <si>
    <t>DP-45. 판매실적_SKU</t>
  </si>
  <si>
    <t>신규추가_2025.11.06
판매실적 거래처/SKU만 사용하고 이 건은 삭제 협의됨. 25/11/12</t>
  </si>
  <si>
    <t>DP-50-1</t>
    <phoneticPr fontId="4" type="noConversion"/>
  </si>
  <si>
    <t>유통사 오더 수량</t>
    <phoneticPr fontId="4" type="noConversion"/>
  </si>
  <si>
    <t>신규추가_2025.10.20=&gt; 취소
업로드 기능 개발취소됨(손혜원님 확인)</t>
    <phoneticPr fontId="4" type="noConversion"/>
  </si>
  <si>
    <t>유통사 오더 수량(발수)</t>
  </si>
  <si>
    <t>DP-56</t>
  </si>
  <si>
    <t>DP-56. 수출포장모듈</t>
    <phoneticPr fontId="4" type="noConversion"/>
  </si>
  <si>
    <t>신규추가_2025.11.06
자재대체단위 항목으로 대체됨
SAP ZPP02230에서 데이터 확인함(11/26일)
STG I/F된 데이터확인필요</t>
    <phoneticPr fontId="4" type="noConversion"/>
  </si>
  <si>
    <t>I/F 연관시스템</t>
    <phoneticPr fontId="4" type="noConversion"/>
  </si>
  <si>
    <t>시스템 관리팀</t>
    <phoneticPr fontId="4" type="noConversion"/>
  </si>
  <si>
    <t>시스템 담당자</t>
    <phoneticPr fontId="4" type="noConversion"/>
  </si>
  <si>
    <t>AP-ON</t>
  </si>
  <si>
    <t>MES</t>
  </si>
  <si>
    <t>Inbound Interface Data 처리 Logic</t>
    <phoneticPr fontId="4" type="noConversion"/>
  </si>
  <si>
    <t>1. Purge Old i/f data(인터페이스 항목 별로 보존기간이 지난 data이고 i/f data 상태가 처리 또는 에러상태)</t>
    <phoneticPr fontId="4" type="noConversion"/>
  </si>
  <si>
    <t>2. Backup (신규 인터페이스 데이터를 일자별로 백업테이블로 저장)</t>
    <phoneticPr fontId="4" type="noConversion"/>
  </si>
  <si>
    <t>3. 신규 i/f Group id 채번</t>
    <phoneticPr fontId="4" type="noConversion"/>
  </si>
  <si>
    <t>4. 신규 i/f data(i/f status 칼럼이 null)인 데이터를 찾아 i/f group id 업데이트</t>
    <phoneticPr fontId="4" type="noConversion"/>
  </si>
  <si>
    <t>5. 채번된 I/F GRP ID 기준으로 대상 데이터를 선택하고, 중복데이터가 존재하는 경우 제거(중복 시 최신 데이터 선택)</t>
    <phoneticPr fontId="4" type="noConversion"/>
  </si>
  <si>
    <t>6. 중복된 I/F 데이터 중 최신 값이 아닌 경우는 I/F STATUS 칼럼에 'I' 업데이트. (무시)</t>
    <phoneticPr fontId="4" type="noConversion"/>
  </si>
  <si>
    <t>7. 처리가 완료된 데이터는 'C' 업데이트(완료)</t>
    <phoneticPr fontId="4" type="noConversion"/>
  </si>
  <si>
    <t>8. 처리 중에러가 발생하는 경우는 'E' 업데이트(ERROR)</t>
    <phoneticPr fontId="4" type="noConversion"/>
  </si>
  <si>
    <t>9. I/F DATA의 ROW 단위로 처리하는 경우와 BOM 과 같이 여러 ROW를 묶어서 에러처리해야 하는 경우를 구분해야 함.</t>
    <phoneticPr fontId="4" type="noConversion"/>
  </si>
  <si>
    <t>기존I/F ID</t>
    <phoneticPr fontId="4" type="noConversion"/>
  </si>
  <si>
    <t>SP-01.BOM</t>
  </si>
  <si>
    <t>SP-02.자재 마스터</t>
  </si>
  <si>
    <t>SP-03.구매정보(ODM 외주 원부자재)</t>
  </si>
  <si>
    <t>SP-04.협력사 마스터</t>
  </si>
  <si>
    <t>SP-05.작업장 마스터</t>
  </si>
  <si>
    <t>SP-06.ROS</t>
  </si>
  <si>
    <t>SP-07.QA L/T</t>
  </si>
  <si>
    <t>SP-08.반제품 포장재 MD04 재고</t>
  </si>
  <si>
    <t>SP-09.공급가시성 QA 데이터</t>
  </si>
  <si>
    <t>SP-28.공급가시성 QA 데이터 (OnDemand)</t>
  </si>
  <si>
    <t>SP-10.생산 오더</t>
  </si>
  <si>
    <t>SP-11.구매오더</t>
  </si>
  <si>
    <t>SP-12.라인 인력 운영 실적</t>
  </si>
  <si>
    <t>SP-13.자재마스터 원가정보</t>
  </si>
  <si>
    <t>SP-14.가용화 입고 실적</t>
  </si>
  <si>
    <t>SP-15.단종 품의 완료 상태</t>
  </si>
  <si>
    <t>SP-16.이니스프리 ODM 제조원 정보</t>
  </si>
  <si>
    <t>SP-17.로케이션 그룹 마스터</t>
  </si>
  <si>
    <t>SP-18.로케이션 그룹 저장위치 매핑 마스터</t>
  </si>
  <si>
    <t>SP-19.자재마스터 대체단위 인터페이스 매핑구조</t>
  </si>
  <si>
    <t>SP-20.공장달력 인터페이스</t>
  </si>
  <si>
    <t>CP-01.자재마스터</t>
  </si>
  <si>
    <t>CP-02.거래처마스터</t>
  </si>
  <si>
    <t>CP-03.조직도</t>
  </si>
  <si>
    <t>CP-04. 계정 승인 정보</t>
  </si>
  <si>
    <t>CP-04.Role 권한 승인 정보</t>
  </si>
  <si>
    <t>CP-05.PG마스터</t>
  </si>
  <si>
    <t>CP-06.PG별 영업 저장위치 매핑 마스터</t>
  </si>
  <si>
    <t>CP-07.제품 허가 정보</t>
  </si>
  <si>
    <t>CP-10.자재 단가</t>
  </si>
  <si>
    <t>CP-11.가용 판촉 수량</t>
  </si>
  <si>
    <t>CP-12.재고</t>
  </si>
  <si>
    <t>CP-13.부진/부동 자재 마스터</t>
  </si>
  <si>
    <t>CP-14.할당 조정 이력</t>
  </si>
  <si>
    <t>CP-19.기타 수요(잡출)</t>
  </si>
  <si>
    <t>CP-20.주문 실적/결품 수량</t>
  </si>
  <si>
    <t>CP-21.판매 실적</t>
  </si>
  <si>
    <t>CP-22.거래처 판매 실적</t>
  </si>
  <si>
    <t>CP-23.SKU 현황</t>
  </si>
  <si>
    <t>CP-24.SKU In 일정</t>
  </si>
  <si>
    <t>CP-25.NPD 자재 목록</t>
  </si>
  <si>
    <t>CP-26.자재별 유사자재 정보</t>
  </si>
  <si>
    <t>CP-27.러닝 자재 판매 예측(BLF+Lift)</t>
  </si>
  <si>
    <t>CP-28.러닝 자재 주문 예측(BLF+Lift)</t>
  </si>
  <si>
    <t>CP-29.신규 자재 판매 예측(BLF+Lift)</t>
  </si>
  <si>
    <t>CP-30.신규 자재 주문 예측(BLF+Lift)</t>
  </si>
  <si>
    <t>CP-31.견본 요청</t>
  </si>
  <si>
    <t>CP-32.수출 진행 모니터링</t>
  </si>
  <si>
    <t>CP-33.주문 가능 상태</t>
  </si>
  <si>
    <t>CP-34.CP 코드 마스터</t>
  </si>
  <si>
    <t>CP-35.소비자 환산가</t>
  </si>
  <si>
    <t>CP-36.협력사 원부자재 재고</t>
  </si>
  <si>
    <t>CP-37.SOP 잔량 정보</t>
  </si>
  <si>
    <t>CP-38.수기 할당 대상 정보</t>
  </si>
  <si>
    <t>CP-39.SKU 목표</t>
  </si>
  <si>
    <t>CP-40.재고(계획용)</t>
  </si>
  <si>
    <t>CP-41.판매실적(계획용)</t>
  </si>
  <si>
    <t>CP-42.기준환율</t>
  </si>
  <si>
    <t>SP-21.BOM On-demand</t>
  </si>
  <si>
    <t>SP-23.ROS On-demand</t>
  </si>
  <si>
    <t>SP-25.공급가시성 QA 데이터 On-demand</t>
  </si>
  <si>
    <t>SP-26.생산 오더 On-demand</t>
  </si>
  <si>
    <t>CP-48.거래처 주문 실적</t>
  </si>
  <si>
    <t>CP-49.거래처 재고</t>
  </si>
  <si>
    <t>SP-27.공급가시성 Report 데이터 On-demand</t>
  </si>
  <si>
    <t>CP-50. 프로모션 실적</t>
  </si>
  <si>
    <t>CP-51. 폐쇄몰 실적</t>
  </si>
  <si>
    <t>CP-52.Version2판매예측 정보</t>
  </si>
  <si>
    <t>SP-101.생산 PIR</t>
  </si>
  <si>
    <t>SP-102 단종 정보</t>
  </si>
  <si>
    <t>SP-103.직입고 PIR</t>
  </si>
  <si>
    <t>SP-104.관리품 PIR</t>
  </si>
  <si>
    <t>SP-105.매입공급</t>
  </si>
  <si>
    <t>CP-101.선적 PIR(서다은님, 나웅재님+SD모듈+SP팀 협의)</t>
  </si>
  <si>
    <t>CP-102.할당 내역+Carry-Over 수량+SCP재고</t>
  </si>
  <si>
    <t>CP-104.장납기 SKU</t>
  </si>
  <si>
    <t>CP-105.판매계획 가능 목록-국내</t>
  </si>
  <si>
    <t>CP-106.판매계획 가능 목록-해외</t>
  </si>
  <si>
    <t>CP-107.초도 오더량(자재-PG별)+판매출시일</t>
  </si>
  <si>
    <t>CP-108.해외 견본 요청 수량 정보</t>
  </si>
  <si>
    <t>CP-109.할당예정 상품</t>
  </si>
  <si>
    <t>CP-110.수기 대상 자재 RTF</t>
  </si>
  <si>
    <t>CP-111 프로모션 세부 분석용 데이터</t>
  </si>
  <si>
    <t>CP-112.주별 판매계획+RTF</t>
  </si>
  <si>
    <t>CP-114. 거래처 협업 정보(FT)</t>
  </si>
  <si>
    <t>CP-115. SKU In Ount(FT)</t>
  </si>
  <si>
    <t>CP-116.월별 판매계획(FT)</t>
  </si>
  <si>
    <t>CP-118.SKU In 일정</t>
  </si>
  <si>
    <t>CP-119.SKU Out 일정</t>
  </si>
  <si>
    <t>CP-120.싱글플랫폼 Role 정보</t>
  </si>
  <si>
    <t>CP-121.협업거래처 정보</t>
  </si>
  <si>
    <t>CP-122.프로모션 투입비용 산출</t>
  </si>
  <si>
    <t>CP-123.프로모션 상세 계획 및 이력 조회</t>
  </si>
  <si>
    <t>CP-124.프로모션 상세 계획 및 이력 조회 (주별)</t>
  </si>
  <si>
    <t>CP-125.프로모션 거래처 등록 내역</t>
  </si>
  <si>
    <t>CP-127.LT 리드타임</t>
  </si>
  <si>
    <t>CP-128.버전별 주별 판매,공급,BLF 계획</t>
  </si>
  <si>
    <t>CP-129.혜택 상세 정보</t>
  </si>
  <si>
    <t>CP-130.SKU In Out(BW)</t>
  </si>
  <si>
    <t>CP-131.GEC GTR 요청량</t>
  </si>
  <si>
    <t>CP-132.판매계획 프로모션 정보</t>
  </si>
  <si>
    <t>No</t>
    <phoneticPr fontId="7" type="noConversion"/>
  </si>
  <si>
    <t>Interface
ID</t>
    <phoneticPr fontId="7" type="noConversion"/>
  </si>
  <si>
    <t>In/Out</t>
    <phoneticPr fontId="7" type="noConversion"/>
  </si>
  <si>
    <t>항목</t>
    <phoneticPr fontId="7" type="noConversion"/>
  </si>
  <si>
    <t>IN</t>
    <phoneticPr fontId="4" type="noConversion"/>
  </si>
  <si>
    <t>조직도</t>
  </si>
  <si>
    <t>IN</t>
  </si>
  <si>
    <t>자재마스터(영업조직:CP)</t>
    <phoneticPr fontId="7" type="noConversion"/>
  </si>
  <si>
    <t>자재 마스터(플랜트:SP)</t>
    <phoneticPr fontId="7" type="noConversion"/>
  </si>
  <si>
    <t>자재 단가</t>
  </si>
  <si>
    <t>NPD 자재 목록</t>
  </si>
  <si>
    <t>제품 허가 정보</t>
  </si>
  <si>
    <t>단종 품의 완료 상태</t>
  </si>
  <si>
    <t>AP-ON I/F (압축 품의 정보 전송 필요 BI -&gt; AP-ON) (변경BI 압축 품의 진행 여부 확인 필요)</t>
    <phoneticPr fontId="7" type="noConversion"/>
  </si>
  <si>
    <t>SKU 현황</t>
  </si>
  <si>
    <t>SKU In 일정</t>
  </si>
  <si>
    <t>UOM Conversion Rule</t>
    <phoneticPr fontId="4" type="noConversion"/>
  </si>
  <si>
    <t>자재마스터 원가정보</t>
  </si>
  <si>
    <t>재고</t>
  </si>
  <si>
    <t>Lot ID별 재고정보</t>
    <phoneticPr fontId="7" type="noConversion"/>
  </si>
  <si>
    <t>TBD</t>
    <phoneticPr fontId="7" type="noConversion"/>
  </si>
  <si>
    <t>재고(계획용)</t>
    <phoneticPr fontId="4" type="noConversion"/>
  </si>
  <si>
    <t>플랜트 저장위치 매핑 마스터</t>
    <phoneticPr fontId="4" type="noConversion"/>
  </si>
  <si>
    <t>SAP</t>
    <phoneticPr fontId="7" type="noConversion"/>
  </si>
  <si>
    <t>BIM Inbound 삭제 , BIM Outbound 추가</t>
    <phoneticPr fontId="7" type="noConversion"/>
  </si>
  <si>
    <t>거래처마스터</t>
  </si>
  <si>
    <t>채널- GPS 목표채널 Mapping 정보</t>
  </si>
  <si>
    <t>주문 실적/결품 수량</t>
  </si>
  <si>
    <t>판매 실적</t>
  </si>
  <si>
    <t>SKU 목표</t>
  </si>
  <si>
    <t>기준환율</t>
  </si>
  <si>
    <t>거래처 재고</t>
  </si>
  <si>
    <t>기타 수요(잡출)</t>
  </si>
  <si>
    <t>BOM</t>
  </si>
  <si>
    <t>BOM On-demand</t>
  </si>
  <si>
    <t>On-Demand</t>
  </si>
  <si>
    <t>ZPP_IF_SP_GET_BOM</t>
  </si>
  <si>
    <t>작업장 마스터</t>
  </si>
  <si>
    <t>ROS</t>
  </si>
  <si>
    <t>ROS On-demand</t>
  </si>
  <si>
    <t>MWRKTI_ROS_PACK_PRFR_SND</t>
  </si>
  <si>
    <t>생산 오더</t>
  </si>
  <si>
    <t>생산 오더 On-demand</t>
  </si>
  <si>
    <t>ZPP_IF_SP_GET_PROD_ORDER</t>
  </si>
  <si>
    <t>구매정보(ODM 외주 원부자재)</t>
  </si>
  <si>
    <t>협력사 마스터</t>
  </si>
  <si>
    <t>가용화 입고 실적</t>
  </si>
  <si>
    <t>협력사 원부자재 재고</t>
  </si>
  <si>
    <t>SOP 잔량 정보</t>
  </si>
  <si>
    <t>반제품 포장재 MD04 재고</t>
  </si>
  <si>
    <t>Role 권한 승인 정보</t>
  </si>
  <si>
    <t>계정 승인 정보</t>
  </si>
  <si>
    <t>CP 코드 마스터</t>
  </si>
  <si>
    <t>Top</t>
    <phoneticPr fontId="4" type="noConversion"/>
  </si>
  <si>
    <t>매핑정의서 - 조직도</t>
    <phoneticPr fontId="4" type="noConversion"/>
  </si>
  <si>
    <t>Source System</t>
    <phoneticPr fontId="4" type="noConversion"/>
  </si>
  <si>
    <t>문서작성일</t>
    <phoneticPr fontId="4" type="noConversion"/>
  </si>
  <si>
    <t>2025.09.25</t>
    <phoneticPr fontId="4" type="noConversion"/>
  </si>
  <si>
    <t>Target System</t>
    <phoneticPr fontId="4" type="noConversion"/>
  </si>
  <si>
    <t>APLAN</t>
    <phoneticPr fontId="4" type="noConversion"/>
  </si>
  <si>
    <t>버전</t>
    <phoneticPr fontId="4" type="noConversion"/>
  </si>
  <si>
    <t>매핑정의</t>
    <phoneticPr fontId="4" type="noConversion"/>
  </si>
  <si>
    <t>Source Table : ?</t>
    <phoneticPr fontId="4" type="noConversion"/>
  </si>
  <si>
    <t>Target Table : ALIFCI_OGCH_MSTR</t>
    <phoneticPr fontId="4" type="noConversion"/>
  </si>
  <si>
    <t>Set
Value</t>
  </si>
  <si>
    <t>변환규칙</t>
  </si>
  <si>
    <t>CDP 자재 마스터 테이블 명세서 (D_PRD_MSTR)</t>
    <phoneticPr fontId="7" type="noConversion"/>
  </si>
  <si>
    <t>RFC</t>
  </si>
  <si>
    <t>Web SVC</t>
    <phoneticPr fontId="4" type="noConversion"/>
  </si>
  <si>
    <t>PreProd : https://myamorepacificpreprod.o9solutions.com/
Prod : https://myamorepacific.o9solutions.com/</t>
  </si>
  <si>
    <t>SEQ</t>
  </si>
  <si>
    <t>Field</t>
  </si>
  <si>
    <t>PK</t>
  </si>
  <si>
    <t>Type</t>
  </si>
  <si>
    <t>Size</t>
  </si>
  <si>
    <t>Desc</t>
  </si>
  <si>
    <t>Desc(ENG)</t>
    <phoneticPr fontId="4" type="noConversion"/>
  </si>
  <si>
    <t>Req
No</t>
  </si>
  <si>
    <t>Res
No</t>
  </si>
  <si>
    <t>컬럼명</t>
  </si>
  <si>
    <t>데이터타입</t>
  </si>
  <si>
    <t>한글명</t>
  </si>
  <si>
    <t>영문명</t>
  </si>
  <si>
    <t>I_LEGACY</t>
  </si>
  <si>
    <t>CHAR</t>
  </si>
  <si>
    <t>LEGACY SYSTEM 명</t>
  </si>
  <si>
    <t>Legacy System Name</t>
  </si>
  <si>
    <t>PRD_CD</t>
  </si>
  <si>
    <t>VARCHAR(12)</t>
  </si>
  <si>
    <t>상품코드</t>
  </si>
  <si>
    <t>Product Code.</t>
  </si>
  <si>
    <t>BUKRS</t>
  </si>
  <si>
    <t>회사코드</t>
  </si>
  <si>
    <t>Company code</t>
  </si>
  <si>
    <t>Company</t>
  </si>
  <si>
    <t>NVARCHAR2</t>
    <phoneticPr fontId="4" type="noConversion"/>
  </si>
  <si>
    <t>PRD_NM</t>
  </si>
  <si>
    <t>VARCHAR(100)</t>
  </si>
  <si>
    <t>상품명</t>
  </si>
  <si>
    <t>Product Name.</t>
  </si>
  <si>
    <t>VKORG</t>
  </si>
  <si>
    <t>영업조직</t>
  </si>
  <si>
    <t>Sales organization</t>
  </si>
  <si>
    <t>SalesOrg</t>
  </si>
  <si>
    <t>PRD_ENGL_NM</t>
  </si>
  <si>
    <t>VARCHAR(200)</t>
  </si>
  <si>
    <t>상품영어명</t>
  </si>
  <si>
    <t>Product English Name.</t>
  </si>
  <si>
    <t>SUBSC</t>
  </si>
  <si>
    <t>하위영업경로</t>
  </si>
  <si>
    <t>Sub -business path</t>
  </si>
  <si>
    <t>Channel</t>
  </si>
  <si>
    <t>ENGL_PRD_NM</t>
  </si>
  <si>
    <t>영어상품명(비표준)</t>
  </si>
  <si>
    <t>English Product Name (Non-Standard).</t>
  </si>
  <si>
    <t>LAND1</t>
  </si>
  <si>
    <t>국가</t>
  </si>
  <si>
    <t>nation</t>
  </si>
  <si>
    <t>Country</t>
  </si>
  <si>
    <t>BRND_CD</t>
  </si>
  <si>
    <t>VARCHAR(5)</t>
  </si>
  <si>
    <t>브랜드코드</t>
  </si>
  <si>
    <t>Brand Code.</t>
  </si>
  <si>
    <t>BUSUN</t>
  </si>
  <si>
    <t>BU</t>
    <phoneticPr fontId="4" type="noConversion"/>
  </si>
  <si>
    <t>BU</t>
  </si>
  <si>
    <t>BU(사업부)</t>
  </si>
  <si>
    <t>BRND_DTL_CD</t>
  </si>
  <si>
    <t>VARCHAR(6)</t>
  </si>
  <si>
    <t>브랜드상세코드</t>
  </si>
  <si>
    <t>Brand Detail Code.</t>
  </si>
  <si>
    <t>ZMODE</t>
  </si>
  <si>
    <t>'I' (Insert) , 'U'(Update), 'D'(Delete)</t>
  </si>
  <si>
    <t>'I' (INSERT), 'U' (update), 'D' (Delete)</t>
  </si>
  <si>
    <t>CUD</t>
  </si>
  <si>
    <t>RPRS_PRD_CD</t>
  </si>
  <si>
    <t>대표상품코드</t>
  </si>
  <si>
    <t>Representative Product Code.</t>
  </si>
  <si>
    <t>TFLG</t>
  </si>
  <si>
    <t>이관 Flag</t>
  </si>
  <si>
    <t>Transfer flag</t>
  </si>
  <si>
    <t>TransFlag</t>
  </si>
  <si>
    <t>RPRS_PRD_NM</t>
  </si>
  <si>
    <t>대표상품명</t>
  </si>
  <si>
    <t>.INCLUDE</t>
  </si>
  <si>
    <t>STRU</t>
  </si>
  <si>
    <t>Cr/Ch log</t>
  </si>
  <si>
    <t>Cr/ch log</t>
  </si>
  <si>
    <t>RPRS_PRD_ENGL_NM</t>
  </si>
  <si>
    <t>대표상품영어명</t>
  </si>
  <si>
    <t>Representative Product English Name.</t>
  </si>
  <si>
    <t>ERDAT</t>
  </si>
  <si>
    <t>DATS</t>
  </si>
  <si>
    <t xml:space="preserve">레코드 생성일 </t>
  </si>
  <si>
    <t>Record creation date</t>
  </si>
  <si>
    <t>IF_DATE</t>
    <phoneticPr fontId="4" type="noConversion"/>
  </si>
  <si>
    <t>DATE</t>
    <phoneticPr fontId="4" type="noConversion"/>
  </si>
  <si>
    <t>인터페이스 일자</t>
    <phoneticPr fontId="4" type="noConversion"/>
  </si>
  <si>
    <t>Interface date</t>
    <phoneticPr fontId="4" type="noConversion"/>
  </si>
  <si>
    <t>RPLC_PRD_CD</t>
  </si>
  <si>
    <t>대체상품코드</t>
  </si>
  <si>
    <t>Alternative Product Code.</t>
  </si>
  <si>
    <t>ERZET</t>
  </si>
  <si>
    <t>TIMS</t>
  </si>
  <si>
    <t>입력 시간</t>
  </si>
  <si>
    <t>Input time</t>
  </si>
  <si>
    <t>IF_STATUS</t>
    <phoneticPr fontId="4" type="noConversion"/>
  </si>
  <si>
    <t>VARCHAR2</t>
    <phoneticPr fontId="4" type="noConversion"/>
  </si>
  <si>
    <t>인터페이스 처리 상태</t>
    <phoneticPr fontId="4" type="noConversion"/>
  </si>
  <si>
    <t>Interface Status</t>
    <phoneticPr fontId="4" type="noConversion"/>
  </si>
  <si>
    <t>PRD_MKT_CAT_CD</t>
  </si>
  <si>
    <t>VARCHAR(2)</t>
  </si>
  <si>
    <t>상품마케팅분류코드</t>
  </si>
  <si>
    <t>Product Marketing Classification Code.</t>
  </si>
  <si>
    <t>ERNAM</t>
  </si>
  <si>
    <t>오브젝트 생성자 이름</t>
  </si>
  <si>
    <t>Object constructor name</t>
  </si>
  <si>
    <t>IF_PROCESS_DATE</t>
    <phoneticPr fontId="4" type="noConversion"/>
  </si>
  <si>
    <t>인터페이스 처리 일자</t>
    <phoneticPr fontId="4" type="noConversion"/>
  </si>
  <si>
    <t>Interface Process date</t>
    <phoneticPr fontId="4" type="noConversion"/>
  </si>
  <si>
    <t>SET_PRD_YN</t>
  </si>
  <si>
    <t>VARCHAR(1)</t>
  </si>
  <si>
    <t>세트상품여부</t>
  </si>
  <si>
    <t>Set product or not.</t>
  </si>
  <si>
    <t>AEDAT</t>
  </si>
  <si>
    <t>변경일</t>
  </si>
  <si>
    <t>Change date</t>
  </si>
  <si>
    <t>IF_GRP_ID</t>
    <phoneticPr fontId="4" type="noConversion"/>
  </si>
  <si>
    <t>NUMBER</t>
    <phoneticPr fontId="4" type="noConversion"/>
  </si>
  <si>
    <t>인터페이스 그룹 id(처리 시)</t>
    <phoneticPr fontId="4" type="noConversion"/>
  </si>
  <si>
    <t>Interface group id</t>
    <phoneticPr fontId="4" type="noConversion"/>
  </si>
  <si>
    <t>SET_DSMN_YN</t>
  </si>
  <si>
    <t>세트해체여부</t>
  </si>
  <si>
    <t>Set disassembly.</t>
  </si>
  <si>
    <t>AEZET</t>
  </si>
  <si>
    <t xml:space="preserve">최종변경시간 </t>
  </si>
  <si>
    <t>Final change time</t>
  </si>
  <si>
    <t>CNSM_UTPR_AMT</t>
  </si>
  <si>
    <t>NUMBER(20,3)</t>
  </si>
  <si>
    <t>소비자단가금액</t>
  </si>
  <si>
    <t>Consumer Unit Price.</t>
  </si>
  <si>
    <t>AENAM</t>
  </si>
  <si>
    <t>오브젝트 변경자 이름</t>
  </si>
  <si>
    <t>Object Changer Name</t>
  </si>
  <si>
    <t>PRD_CPT</t>
  </si>
  <si>
    <t>NUMBER(38,0)</t>
  </si>
  <si>
    <t>상품용량</t>
  </si>
  <si>
    <t>Product Capacity.</t>
  </si>
  <si>
    <t>PRD_CPT_UNIT_CD</t>
  </si>
  <si>
    <t>VARCHAR(3)</t>
  </si>
  <si>
    <t>상품용량단위코드</t>
  </si>
  <si>
    <t>Product Unit Code.</t>
  </si>
  <si>
    <t>PRD_USE_CD</t>
  </si>
  <si>
    <t>상품용도코드</t>
  </si>
  <si>
    <t>Product Use Code.</t>
  </si>
  <si>
    <t>PRD_CAT_CD</t>
  </si>
  <si>
    <t>VARCHAR(10)</t>
  </si>
  <si>
    <t>상품분류코드</t>
  </si>
  <si>
    <t>Product Classification Code.</t>
  </si>
  <si>
    <t>MAIN_FUNC_CD</t>
  </si>
  <si>
    <t>VARCHAR(4)</t>
  </si>
  <si>
    <t>주요기능코드</t>
  </si>
  <si>
    <t>Main Function Code.</t>
  </si>
  <si>
    <t>USER_TP_CD</t>
  </si>
  <si>
    <t>사용자유형코드</t>
  </si>
  <si>
    <t>User Type Code.</t>
  </si>
  <si>
    <t>FRSH_CSMT_YN</t>
  </si>
  <si>
    <t>신선화장품여부</t>
  </si>
  <si>
    <t>Fresh Cosmetics.</t>
  </si>
  <si>
    <t>PRD_CL_CD</t>
  </si>
  <si>
    <t>상품구분코드</t>
  </si>
  <si>
    <t>SLS_TP_CD</t>
  </si>
  <si>
    <t>영업유형코드</t>
  </si>
  <si>
    <t>Sales Type Code.</t>
  </si>
  <si>
    <t>SAP_PRD_LN_CD</t>
  </si>
  <si>
    <t>SAP상품라인코드</t>
  </si>
  <si>
    <t>SAP Product Line Code.</t>
  </si>
  <si>
    <t>PRD_CLR_CD</t>
  </si>
  <si>
    <t>상품색상코드</t>
  </si>
  <si>
    <t>Product Color Code.</t>
  </si>
  <si>
    <t>NEW_PRD_CL_CD</t>
  </si>
  <si>
    <t>신상품구분코드</t>
  </si>
  <si>
    <t>New Product Code.</t>
  </si>
  <si>
    <t>STRO_PRD_YN</t>
  </si>
  <si>
    <t>강한상품여부</t>
  </si>
  <si>
    <t>Strong product or not.</t>
  </si>
  <si>
    <t>INNO_PRD_YN</t>
  </si>
  <si>
    <t>혁신상품여부</t>
  </si>
  <si>
    <t>Innovative Product Status.</t>
  </si>
  <si>
    <t>CUSH_PRD_YN</t>
  </si>
  <si>
    <t>쿠션상품여부</t>
  </si>
  <si>
    <t>Cushion product status.</t>
  </si>
  <si>
    <t>PRD_GRD_CD</t>
  </si>
  <si>
    <t>상품등급코드</t>
  </si>
  <si>
    <t>Product Grade Code.</t>
  </si>
  <si>
    <t>BRND_LN_CD</t>
  </si>
  <si>
    <t>브랜드라인코드</t>
  </si>
  <si>
    <t>Brand Line Code.</t>
  </si>
  <si>
    <t>MFG_PLNT_CD</t>
  </si>
  <si>
    <t>생산플랜트코드</t>
  </si>
  <si>
    <t>Production Plant Code.</t>
  </si>
  <si>
    <t>NITM_APLY_YN</t>
  </si>
  <si>
    <t>품목수적용여부</t>
  </si>
  <si>
    <t>Item Application.</t>
  </si>
  <si>
    <t>변환규칙정의</t>
    <phoneticPr fontId="4" type="noConversion"/>
  </si>
  <si>
    <t>FST_MFG_DT</t>
  </si>
  <si>
    <t>최초생산일자</t>
  </si>
  <si>
    <t>Initial Production Date.</t>
  </si>
  <si>
    <t>내용</t>
  </si>
  <si>
    <t>LST_MFG_DT</t>
  </si>
  <si>
    <t>최종생산일자</t>
  </si>
  <si>
    <t>Final production date.</t>
  </si>
  <si>
    <t>R1</t>
  </si>
  <si>
    <t>PRD_BRCD_CD</t>
  </si>
  <si>
    <t>VARCHAR(15)</t>
  </si>
  <si>
    <t>상품바코드코드</t>
  </si>
  <si>
    <t>Product barcode code.</t>
  </si>
  <si>
    <t>R2</t>
  </si>
  <si>
    <t>REG_APPL_CL_CD</t>
  </si>
  <si>
    <t>등록어플리케이션구분코드</t>
  </si>
  <si>
    <t>Registration Application Type Code.</t>
  </si>
  <si>
    <t>CP_PRD_YN</t>
  </si>
  <si>
    <t>자사상품여부</t>
  </si>
  <si>
    <t>Is it a company product?.</t>
  </si>
  <si>
    <t>기타정보</t>
    <phoneticPr fontId="4" type="noConversion"/>
  </si>
  <si>
    <t>INSD_MGNT_AMT</t>
  </si>
  <si>
    <t>내부관리금액</t>
  </si>
  <si>
    <t>Internal Management Amount.</t>
  </si>
  <si>
    <t>이벤트 발생조건
(DB Trigger)</t>
  </si>
  <si>
    <t>WKPL_CL_CD</t>
  </si>
  <si>
    <t>사업장구분코드</t>
  </si>
  <si>
    <t>Business Site Classification Code.</t>
  </si>
  <si>
    <t>연계데이터 추출조건</t>
  </si>
  <si>
    <t>ASRC_PRD_MKT_CAT_CD</t>
  </si>
  <si>
    <t>소스상품마케팅분류코드</t>
  </si>
  <si>
    <t>Source Product Marketing Classification Code.</t>
  </si>
  <si>
    <t>데이터 반영방법</t>
  </si>
  <si>
    <t>ASRC_PRD_CAT_CD</t>
  </si>
  <si>
    <t>소스상품분류코드</t>
  </si>
  <si>
    <t>Source Product Classification Code.</t>
  </si>
  <si>
    <t>기타</t>
  </si>
  <si>
    <t>PRD_TP_CD</t>
  </si>
  <si>
    <t>상품유형코드</t>
  </si>
  <si>
    <t>Product Type Code.</t>
  </si>
  <si>
    <t>매핑정의서 - 자재마스터(Sales ORG.)
Item Master CP</t>
    <phoneticPr fontId="4" type="noConversion"/>
  </si>
  <si>
    <t>Target Table : ALIFCI_MTRL_MSTR_CP</t>
  </si>
  <si>
    <t>변환
규칙</t>
    <phoneticPr fontId="4" type="noConversion"/>
  </si>
  <si>
    <t>MATNR</t>
  </si>
  <si>
    <t>자재코드</t>
  </si>
  <si>
    <t>Material code</t>
  </si>
  <si>
    <t>Item</t>
    <phoneticPr fontId="7" type="noConversion"/>
  </si>
  <si>
    <t>nvarchar2</t>
    <phoneticPr fontId="4" type="noConversion"/>
  </si>
  <si>
    <t>판매조직</t>
  </si>
  <si>
    <t>MAKTX_KO</t>
  </si>
  <si>
    <t>자재내역(KO)</t>
  </si>
  <si>
    <t>Material details (KO)</t>
  </si>
  <si>
    <t>ItemDescKR</t>
  </si>
  <si>
    <t>자재공통칼럼</t>
    <phoneticPr fontId="4" type="noConversion"/>
  </si>
  <si>
    <t>MTART</t>
  </si>
  <si>
    <t>자재유형</t>
  </si>
  <si>
    <t>Material</t>
  </si>
  <si>
    <t>ItemType</t>
  </si>
  <si>
    <t>BISMT</t>
  </si>
  <si>
    <t>이전상품코드</t>
  </si>
  <si>
    <t>Previous product code</t>
  </si>
  <si>
    <t>OldItem</t>
  </si>
  <si>
    <t>LABOR</t>
  </si>
  <si>
    <t>상품개발담당자</t>
    <phoneticPr fontId="4" type="noConversion"/>
  </si>
  <si>
    <t>Product operation manager</t>
  </si>
  <si>
    <t>ProdOpPerson</t>
  </si>
  <si>
    <t>BRAND</t>
  </si>
  <si>
    <t>Brand code</t>
  </si>
  <si>
    <t>Brand</t>
  </si>
  <si>
    <t>BCTXT_KO</t>
  </si>
  <si>
    <t>브랜드명(KO)</t>
  </si>
  <si>
    <t>Brand name (KO)</t>
  </si>
  <si>
    <t>BrandDescKR</t>
  </si>
  <si>
    <t>MEINS</t>
  </si>
  <si>
    <t>기본단위</t>
  </si>
  <si>
    <t>Basic unit</t>
  </si>
  <si>
    <t>UOM</t>
  </si>
  <si>
    <t>DISPO</t>
  </si>
  <si>
    <t>MRP관리자</t>
  </si>
  <si>
    <t>MRP manager</t>
  </si>
  <si>
    <t>MRPPerson</t>
  </si>
  <si>
    <t>MVGR1</t>
  </si>
  <si>
    <t>제품용도</t>
  </si>
  <si>
    <t>Product use</t>
  </si>
  <si>
    <t>MVGR2</t>
  </si>
  <si>
    <t>제품등급</t>
  </si>
  <si>
    <t>Product grade</t>
  </si>
  <si>
    <t>MVGR4</t>
  </si>
  <si>
    <t>자재클래스1</t>
  </si>
  <si>
    <t>Material Class 1</t>
  </si>
  <si>
    <t>ItemClass1</t>
  </si>
  <si>
    <t>MVGR5</t>
  </si>
  <si>
    <t>자재클래스2</t>
  </si>
  <si>
    <t>Material Class 2</t>
  </si>
  <si>
    <t>ItemClass2</t>
  </si>
  <si>
    <t>PRODH</t>
  </si>
  <si>
    <t>제품계층구조</t>
  </si>
  <si>
    <t>Product hierarchy</t>
  </si>
  <si>
    <t>ProdHrcy</t>
  </si>
  <si>
    <t>MATNR2</t>
  </si>
  <si>
    <t>대체자재</t>
  </si>
  <si>
    <t>Alternative materials</t>
  </si>
  <si>
    <t>ReplaceItem</t>
  </si>
  <si>
    <t>ADNEW</t>
  </si>
  <si>
    <t>NEW/AD</t>
  </si>
  <si>
    <t>New/AD</t>
  </si>
  <si>
    <t>SETID</t>
  </si>
  <si>
    <t>SET구분</t>
  </si>
  <si>
    <t>SET classification</t>
  </si>
  <si>
    <t>MATOP</t>
  </si>
  <si>
    <t>상품운영담당</t>
  </si>
  <si>
    <t>Product operation manager</t>
    <phoneticPr fontId="4" type="noConversion"/>
  </si>
  <si>
    <t>ProdOp</t>
    <phoneticPr fontId="4" type="noConversion"/>
  </si>
  <si>
    <t>상품운영담당</t>
    <phoneticPr fontId="4" type="noConversion"/>
  </si>
  <si>
    <t>SETDI</t>
  </si>
  <si>
    <t>Whether to dismantle the set</t>
  </si>
  <si>
    <t>MANFT</t>
  </si>
  <si>
    <t>제조장</t>
  </si>
  <si>
    <t>Manufacture</t>
  </si>
  <si>
    <t>Plant</t>
  </si>
  <si>
    <t>LPRDD</t>
  </si>
  <si>
    <t>최종생산일</t>
  </si>
  <si>
    <t>Final production date</t>
  </si>
  <si>
    <t>LastProdDate</t>
  </si>
  <si>
    <t>FPRDD</t>
  </si>
  <si>
    <t>최초생산일</t>
  </si>
  <si>
    <t>Initial production date</t>
  </si>
  <si>
    <t>FirstProdDate</t>
  </si>
  <si>
    <t>MAKTX_EN</t>
  </si>
  <si>
    <t>자재내역(EN)</t>
  </si>
  <si>
    <t>Material details (EN)</t>
  </si>
  <si>
    <t>ItemDescEN</t>
  </si>
  <si>
    <t>MAKTX_ZH</t>
  </si>
  <si>
    <t>자재내역(ZH)</t>
  </si>
  <si>
    <t>Material details (ZH)</t>
  </si>
  <si>
    <t>ItemDescZH</t>
  </si>
  <si>
    <t>BCTXT_EN</t>
  </si>
  <si>
    <t>브랜드명(EN)</t>
  </si>
  <si>
    <t>Brand name (EN)</t>
  </si>
  <si>
    <t>BrandDescEN</t>
  </si>
  <si>
    <t>BCTXT_ZH</t>
  </si>
  <si>
    <t>브랜드명(ZH)</t>
  </si>
  <si>
    <t>Brand name (ZH)</t>
  </si>
  <si>
    <t>BrandDescZH</t>
  </si>
  <si>
    <t>MANFT2</t>
  </si>
  <si>
    <t>제조장2</t>
  </si>
  <si>
    <t>Manufacturer 2</t>
  </si>
  <si>
    <t>SCMU</t>
  </si>
  <si>
    <t>SETYN</t>
  </si>
  <si>
    <t>SET 여부(Y/N)</t>
  </si>
  <si>
    <t>Whether set (Y/N)</t>
  </si>
  <si>
    <t>SetYN</t>
  </si>
  <si>
    <t>MATKL</t>
  </si>
  <si>
    <t>자재그룹</t>
  </si>
  <si>
    <t>Material group</t>
  </si>
  <si>
    <t>ItemGroup</t>
  </si>
  <si>
    <t>ZZBRANG</t>
  </si>
  <si>
    <t>브랜드그룹</t>
  </si>
  <si>
    <t>Brand group</t>
  </si>
  <si>
    <t>BrandGroup</t>
  </si>
  <si>
    <t>ZZRPPRD</t>
  </si>
  <si>
    <t>대표상품</t>
  </si>
  <si>
    <t>Head_PRDT</t>
    <phoneticPr fontId="4" type="noConversion"/>
  </si>
  <si>
    <t>nvarchar2</t>
  </si>
  <si>
    <t>신규추가.25.09.25</t>
    <phoneticPr fontId="4" type="noConversion"/>
  </si>
  <si>
    <t>ZZSCGRP</t>
    <phoneticPr fontId="4" type="noConversion"/>
  </si>
  <si>
    <t>소싱그룹</t>
  </si>
  <si>
    <t>SRC_GRP</t>
    <phoneticPr fontId="4" type="noConversion"/>
  </si>
  <si>
    <t>ZZBLINE</t>
  </si>
  <si>
    <t>제형명</t>
  </si>
  <si>
    <t>PRDT_FORM_NM</t>
    <phoneticPr fontId="4" type="noConversion"/>
  </si>
  <si>
    <t>ZZRPFUT</t>
  </si>
  <si>
    <t>주기능</t>
  </si>
  <si>
    <t>MAINFUNC</t>
    <phoneticPr fontId="4" type="noConversion"/>
  </si>
  <si>
    <t>ZZADFU1</t>
  </si>
  <si>
    <t>부기능1</t>
  </si>
  <si>
    <t>SUBFUNC1</t>
    <phoneticPr fontId="4" type="noConversion"/>
  </si>
  <si>
    <t>ZZADFU2</t>
  </si>
  <si>
    <t>부기능2</t>
  </si>
  <si>
    <t>SUBFUNC2</t>
    <phoneticPr fontId="4" type="noConversion"/>
  </si>
  <si>
    <t>ZZADNEW</t>
  </si>
  <si>
    <t>신제품 분류</t>
  </si>
  <si>
    <t>NEW_PRDT_CD</t>
  </si>
  <si>
    <t>신제품분류</t>
  </si>
  <si>
    <t>MHDRZ</t>
  </si>
  <si>
    <t>물류보관기간 (제조일로부터)</t>
  </si>
  <si>
    <t>DIST_KEEP_DAYS</t>
    <phoneticPr fontId="4" type="noConversion"/>
  </si>
  <si>
    <t>MHDHB</t>
  </si>
  <si>
    <t>사용기한(제조일로부터)</t>
  </si>
  <si>
    <t>SHELFLIFE_DAYS</t>
    <phoneticPr fontId="4" type="noConversion"/>
  </si>
  <si>
    <t>ZZFSDAT</t>
  </si>
  <si>
    <t>최초판매실적발생일</t>
  </si>
  <si>
    <t>FST_SALE_DATE</t>
    <phoneticPr fontId="4" type="noConversion"/>
  </si>
  <si>
    <t>ZZLSDAT</t>
  </si>
  <si>
    <t>최종판매실적발생일</t>
  </si>
  <si>
    <t>LST_SALE_DATE</t>
    <phoneticPr fontId="4" type="noConversion"/>
  </si>
  <si>
    <t>MVGR3</t>
  </si>
  <si>
    <t>제품허용그룹</t>
  </si>
  <si>
    <t>PRDT_PERMIT_GRP</t>
    <phoneticPr fontId="4" type="noConversion"/>
  </si>
  <si>
    <t>ZZRLINE</t>
  </si>
  <si>
    <t>CHAR</t>
    <phoneticPr fontId="4" type="noConversion"/>
  </si>
  <si>
    <t>제품별 라인명</t>
  </si>
  <si>
    <t>PRDT_LINE_NM</t>
    <phoneticPr fontId="4" type="noConversion"/>
  </si>
  <si>
    <t>UMREZ_BOX</t>
  </si>
  <si>
    <t>박스단위 포장모듈</t>
  </si>
  <si>
    <t>Quantity per Box</t>
  </si>
  <si>
    <t>QTY_PER_BOX</t>
  </si>
  <si>
    <t>신규추가.25.10.20</t>
    <phoneticPr fontId="4" type="noConversion"/>
  </si>
  <si>
    <t>UMREZ_TA</t>
  </si>
  <si>
    <t>타단위 포장모듈</t>
  </si>
  <si>
    <t>Quantity per TA</t>
  </si>
  <si>
    <t>QTY_PER_TA</t>
  </si>
  <si>
    <t>UMREZ_PAL</t>
  </si>
  <si>
    <t>팔레트단위 포장모듈</t>
  </si>
  <si>
    <t>Quantity per PLT</t>
  </si>
  <si>
    <t>QTY_PER_PLT</t>
  </si>
  <si>
    <t>EAN11</t>
  </si>
  <si>
    <t>EAN/UPC</t>
  </si>
  <si>
    <t>EAN_UPC</t>
  </si>
  <si>
    <t>ZZCPIAP</t>
    <phoneticPr fontId="4" type="noConversion"/>
  </si>
  <si>
    <t>카테고리</t>
    <phoneticPr fontId="4" type="noConversion"/>
  </si>
  <si>
    <t>ITEM_CATEGORY</t>
  </si>
  <si>
    <t>카테고리</t>
  </si>
  <si>
    <t>신규추가.25.10.22</t>
    <phoneticPr fontId="4" type="noConversion"/>
  </si>
  <si>
    <t>MAKTX_BISMT_KO</t>
  </si>
  <si>
    <t>기존자재코드 내역(한국어)</t>
  </si>
  <si>
    <t>OLDITEM_NM</t>
  </si>
  <si>
    <t>기존품목명(한국어)</t>
  </si>
  <si>
    <t>신규추가.25.11.17</t>
    <phoneticPr fontId="4" type="noConversion"/>
  </si>
  <si>
    <t>자재공통칼럼-BK추가</t>
    <phoneticPr fontId="4" type="noConversion"/>
  </si>
  <si>
    <t>MAKTX_BISMT_EN</t>
  </si>
  <si>
    <t>기존자재코드 내역(영어)</t>
  </si>
  <si>
    <t>OLDITEM_NM_EN</t>
  </si>
  <si>
    <t>기존품목명(영어)</t>
  </si>
  <si>
    <t>MAKTX_BISMT_ZH</t>
  </si>
  <si>
    <t>기존자재코드 내역(중국어)</t>
  </si>
  <si>
    <t>OLDITEM_NM_ZH</t>
  </si>
  <si>
    <t>기존품목명(중국어)</t>
  </si>
  <si>
    <t>RPTXT</t>
    <phoneticPr fontId="4" type="noConversion"/>
  </si>
  <si>
    <t>대표제품명</t>
    <phoneticPr fontId="4" type="noConversion"/>
  </si>
  <si>
    <t>Head_PRDT_NM</t>
  </si>
  <si>
    <t>신규추가.25.12.01</t>
    <phoneticPr fontId="4" type="noConversion"/>
  </si>
  <si>
    <t>ITEM_TYPE, 제품계층구조의 코드/코드명 필요</t>
    <phoneticPr fontId="4" type="noConversion"/>
  </si>
  <si>
    <t xml:space="preserve">* SQL의 성능을 고려하여 STG의 자재마스터 cp,sp에도 자재명, 브랜드명 등 공통코드를 포함. </t>
    <phoneticPr fontId="4" type="noConversion"/>
  </si>
  <si>
    <t>매핑정의서 - 자재마스터(Plant)
Item Master SP</t>
    <phoneticPr fontId="4" type="noConversion"/>
  </si>
  <si>
    <t>Target Table : ALIFCI_MTRL_MSTR_CP</t>
    <phoneticPr fontId="4" type="noConversion"/>
  </si>
  <si>
    <t>Item</t>
  </si>
  <si>
    <t>nvarchar</t>
  </si>
  <si>
    <t>WERKS</t>
  </si>
  <si>
    <t>플랜트</t>
  </si>
  <si>
    <t>BESKZ</t>
  </si>
  <si>
    <t>조달유형</t>
  </si>
  <si>
    <t>Procurement</t>
  </si>
  <si>
    <t>ProcType</t>
  </si>
  <si>
    <t>SOBSL</t>
  </si>
  <si>
    <t>특별조달유형</t>
  </si>
  <si>
    <t>Special procurement type</t>
  </si>
  <si>
    <t>SpecProcType</t>
  </si>
  <si>
    <t>ODM</t>
  </si>
  <si>
    <t>ODM/OEM flag</t>
  </si>
  <si>
    <t>ODM/OEM Flag</t>
  </si>
  <si>
    <t>PROVG</t>
  </si>
  <si>
    <t>주요판매경로</t>
  </si>
  <si>
    <t>Main</t>
  </si>
  <si>
    <t>ExportFlag</t>
  </si>
  <si>
    <t>수출 여부</t>
  </si>
  <si>
    <t>ZZMANFT</t>
  </si>
  <si>
    <t>소싱플랜트</t>
  </si>
  <si>
    <t>Sourcing plant</t>
  </si>
  <si>
    <t>SourcingPlant</t>
  </si>
  <si>
    <t>LGFSB</t>
  </si>
  <si>
    <t>EP 저장위치</t>
  </si>
  <si>
    <t>EP storage location</t>
  </si>
  <si>
    <t>ReceivingPlant</t>
  </si>
  <si>
    <t>입고저장위치</t>
  </si>
  <si>
    <t>LGPRO</t>
  </si>
  <si>
    <t>생산 저장위치</t>
  </si>
  <si>
    <t>Production storage location</t>
  </si>
  <si>
    <t>ProductionLocation</t>
  </si>
  <si>
    <t>생산저장위치</t>
  </si>
  <si>
    <t>BSTMI</t>
  </si>
  <si>
    <t>QUAN</t>
  </si>
  <si>
    <t>13.3</t>
  </si>
  <si>
    <t>Minimum Lot Size</t>
  </si>
  <si>
    <t>Minimum lot size</t>
  </si>
  <si>
    <t>MOQ</t>
  </si>
  <si>
    <t>최소로트크기</t>
  </si>
  <si>
    <t>EKGRP</t>
  </si>
  <si>
    <t>Purchasing Group</t>
  </si>
  <si>
    <t>PurchacingGroup</t>
  </si>
  <si>
    <t>구매그룹</t>
  </si>
  <si>
    <t>Material Type</t>
  </si>
  <si>
    <t>Material type</t>
  </si>
  <si>
    <t>MAKTX</t>
  </si>
  <si>
    <t>Material Description (Short Text)</t>
  </si>
  <si>
    <t>ItemDesc</t>
  </si>
  <si>
    <t>MAKTX EN</t>
  </si>
  <si>
    <t>Material Description (Short Text-EN)</t>
  </si>
  <si>
    <t>Material Description (Short Text -en)</t>
  </si>
  <si>
    <t>MAKTX KO</t>
  </si>
  <si>
    <t>Material Description (Short Text-KO)</t>
  </si>
  <si>
    <t>MAKTX ZH</t>
  </si>
  <si>
    <t>Material Description (Short Text-ZH)</t>
  </si>
  <si>
    <t>AD or New</t>
  </si>
  <si>
    <t>SET Indicator</t>
  </si>
  <si>
    <t>Set indicator</t>
  </si>
  <si>
    <t>SET (Y/N)</t>
  </si>
  <si>
    <t>Set (Y/N)</t>
  </si>
  <si>
    <t>MRP Controller (Materials Planner)</t>
  </si>
  <si>
    <t>Laboratory/design office</t>
  </si>
  <si>
    <t>Laboratory/Design Office</t>
  </si>
  <si>
    <t>Material Group</t>
  </si>
  <si>
    <t>Brand Code</t>
  </si>
  <si>
    <t>BCTXT</t>
  </si>
  <si>
    <t>Description</t>
  </si>
  <si>
    <t>Material Usage</t>
  </si>
  <si>
    <t>Material usage</t>
  </si>
  <si>
    <t>Material Grade</t>
  </si>
  <si>
    <t>Product Hierarchy</t>
  </si>
  <si>
    <t>Old material number</t>
  </si>
  <si>
    <t>Old Material Number</t>
  </si>
  <si>
    <t>DISMM</t>
  </si>
  <si>
    <t>MRP유형</t>
  </si>
  <si>
    <t>MRP type</t>
  </si>
  <si>
    <t>MRPType</t>
  </si>
  <si>
    <t>LVORM</t>
  </si>
  <si>
    <t>삭제지시자</t>
  </si>
  <si>
    <t>Delete Flag</t>
  </si>
  <si>
    <t>DeleteFlag</t>
  </si>
  <si>
    <t>NVARCHAR</t>
  </si>
  <si>
    <t>CUD_CI</t>
  </si>
  <si>
    <t>CUD 구분</t>
  </si>
  <si>
    <t>CUD classification</t>
  </si>
  <si>
    <t>D : 삭제</t>
  </si>
  <si>
    <t>BRANG</t>
  </si>
  <si>
    <t>char</t>
  </si>
  <si>
    <t>Brand Group</t>
  </si>
  <si>
    <t>ZZQIDATE</t>
  </si>
  <si>
    <t>플랜트별 품질검사일수(일)</t>
    <phoneticPr fontId="4" type="noConversion"/>
  </si>
  <si>
    <t>플랜트별 품질검사일수(일)</t>
  </si>
  <si>
    <t>QA_DAYS</t>
  </si>
  <si>
    <t>품질검사일자</t>
  </si>
  <si>
    <t>ZZFPRDD</t>
  </si>
  <si>
    <t>　</t>
  </si>
  <si>
    <t>ZZLPRDD</t>
  </si>
  <si>
    <t>ZZSCGRP</t>
  </si>
  <si>
    <t>20251215 추가</t>
    <phoneticPr fontId="4" type="noConversion"/>
  </si>
  <si>
    <t>IF_DATE</t>
  </si>
  <si>
    <t>DATE</t>
  </si>
  <si>
    <t>인터페이스 일자</t>
  </si>
  <si>
    <t>Interface date</t>
  </si>
  <si>
    <t>IF_STATUS</t>
  </si>
  <si>
    <t>VARCHAR2</t>
  </si>
  <si>
    <t>인터페이스 처리 상태</t>
  </si>
  <si>
    <t>Interface Status</t>
  </si>
  <si>
    <t>IF_PROCESS_DATE</t>
  </si>
  <si>
    <t>인터페이스 처리 일자</t>
  </si>
  <si>
    <t>Interface Process date</t>
  </si>
  <si>
    <t>IF_ERROR</t>
  </si>
  <si>
    <t>인터페이스 에러</t>
  </si>
  <si>
    <t>코드 및 코드명  ex) FG: 제품</t>
    <phoneticPr fontId="4" type="noConversion"/>
  </si>
  <si>
    <t>자재구분의 계층구조</t>
    <phoneticPr fontId="4" type="noConversion"/>
  </si>
  <si>
    <t>각 레벨 별 코드 및 코드명 필요</t>
    <phoneticPr fontId="4" type="noConversion"/>
  </si>
  <si>
    <t xml:space="preserve">코드 및 코드명  </t>
    <phoneticPr fontId="4" type="noConversion"/>
  </si>
  <si>
    <t>매핑정의서 - 자재단가(판가)</t>
    <phoneticPr fontId="4" type="noConversion"/>
  </si>
  <si>
    <t>Target Table : ?</t>
    <phoneticPr fontId="4" type="noConversion"/>
  </si>
  <si>
    <t>ZSD_SEND_CHANNEL_PRICE</t>
    <phoneticPr fontId="4" type="noConversion"/>
  </si>
  <si>
    <t>Legacy system</t>
  </si>
  <si>
    <t>Legacy System</t>
  </si>
  <si>
    <t>KNUMH</t>
  </si>
  <si>
    <t xml:space="preserve">조건 번호 </t>
  </si>
  <si>
    <t>Condition number</t>
  </si>
  <si>
    <t>ConditionNo</t>
  </si>
  <si>
    <t>KSCHL</t>
  </si>
  <si>
    <t>조건 유형</t>
  </si>
  <si>
    <t>Condition</t>
  </si>
  <si>
    <t>ConditionType</t>
  </si>
  <si>
    <t>판매 조직</t>
  </si>
  <si>
    <t>WAERK</t>
  </si>
  <si>
    <t>통화</t>
  </si>
  <si>
    <t>Currency</t>
  </si>
  <si>
    <t>자재 번호</t>
  </si>
  <si>
    <t>Material number</t>
  </si>
  <si>
    <t>PLTYP</t>
  </si>
  <si>
    <t>가격리스트유형</t>
  </si>
  <si>
    <t>Price list type</t>
  </si>
  <si>
    <t>PriceListType</t>
  </si>
  <si>
    <t>DATBI</t>
  </si>
  <si>
    <t xml:space="preserve">종료일 </t>
  </si>
  <si>
    <t>End date</t>
  </si>
  <si>
    <t>EffEndDate</t>
  </si>
  <si>
    <t>DATAB</t>
  </si>
  <si>
    <t xml:space="preserve">시작일 </t>
  </si>
  <si>
    <t>start date</t>
  </si>
  <si>
    <t>EffStartDate</t>
  </si>
  <si>
    <t>KBETR</t>
  </si>
  <si>
    <t>NUMBER</t>
  </si>
  <si>
    <t>상품대(부가세제외)</t>
  </si>
  <si>
    <t>Product price (excluding additional tax)</t>
  </si>
  <si>
    <t>KBETR_INV</t>
  </si>
  <si>
    <t>출하가(부가세포함)</t>
  </si>
  <si>
    <t>Shipping price (additional cell box)</t>
  </si>
  <si>
    <t>KBETR_VAT</t>
  </si>
  <si>
    <t xml:space="preserve">부가세 </t>
  </si>
  <si>
    <t>VAT</t>
  </si>
  <si>
    <t>SPETAX</t>
  </si>
  <si>
    <t>특소세(개별소비세+교육세+농어촌특별세)</t>
  </si>
  <si>
    <t>Special tax (individual consumption tax+education tax+special farming and fishing village)</t>
  </si>
  <si>
    <t>CONTAX</t>
  </si>
  <si>
    <t>개별소비세</t>
  </si>
  <si>
    <t>Individual consumption tax</t>
  </si>
  <si>
    <t>EDUTAX</t>
  </si>
  <si>
    <t>교육세</t>
  </si>
  <si>
    <t>Education tax</t>
  </si>
  <si>
    <t>RURTAX</t>
  </si>
  <si>
    <t>농어촌특별세</t>
  </si>
  <si>
    <t>Special tax</t>
  </si>
  <si>
    <t>LOEVM_KO</t>
  </si>
  <si>
    <t>Deleter</t>
  </si>
  <si>
    <t>GUBUN</t>
  </si>
  <si>
    <t>구분</t>
  </si>
  <si>
    <t>division</t>
  </si>
  <si>
    <t>TYPE</t>
  </si>
  <si>
    <t>전송결과 S,E</t>
  </si>
  <si>
    <t>Transmission Result S, E</t>
  </si>
  <si>
    <t>MESSAGE</t>
  </si>
  <si>
    <t>전송결과 메시지</t>
  </si>
  <si>
    <t>Transmission result message</t>
  </si>
  <si>
    <t>매핑정의서 - NPD자재목록(NPD material list)</t>
    <phoneticPr fontId="4" type="noConversion"/>
  </si>
  <si>
    <t>I_TERMS_F</t>
  </si>
  <si>
    <t>시작일 FROM</t>
  </si>
  <si>
    <t>From Date</t>
  </si>
  <si>
    <t>FROM</t>
  </si>
  <si>
    <t>From Date("20221001")</t>
  </si>
  <si>
    <t>I_TERMS_T</t>
  </si>
  <si>
    <t>종료일 TO</t>
  </si>
  <si>
    <t>To Date</t>
  </si>
  <si>
    <t>TO</t>
  </si>
  <si>
    <t>DEVNO</t>
  </si>
  <si>
    <t>개발의뢰서번호</t>
  </si>
  <si>
    <t>Development request number</t>
  </si>
  <si>
    <t>DevNo</t>
  </si>
  <si>
    <t>제품코드</t>
  </si>
  <si>
    <t>Product code</t>
  </si>
  <si>
    <t>YYMM</t>
  </si>
  <si>
    <t>생산회의년월( ex: 201709 )</t>
  </si>
  <si>
    <t>Production meeting month (ex: 201709)</t>
  </si>
  <si>
    <t>YYYYMM</t>
  </si>
  <si>
    <t>DEGREE</t>
  </si>
  <si>
    <t>주차(1,2,3,4)</t>
  </si>
  <si>
    <t>Week</t>
  </si>
  <si>
    <t>플랜트코드</t>
  </si>
  <si>
    <t>Plant code</t>
  </si>
  <si>
    <t>MTBC</t>
  </si>
  <si>
    <t>[NPD] 생산회의상정확인( X:확인, ‘’: 미확인 )</t>
  </si>
  <si>
    <t>Production meeting Confirmation
(X: OK, '': Unidentified)</t>
  </si>
  <si>
    <t>NPDMeetFlag</t>
  </si>
  <si>
    <t>삭제여부(개발의뢰서 삭제하는경우( X:삭제, ‘’: 미삭제 )</t>
  </si>
  <si>
    <t>Deletion
(X: delete, ‘’: Undeleted )</t>
  </si>
  <si>
    <t>Deletion (X: delete, ‘’: Undeleted )</t>
  </si>
  <si>
    <t>매핑정의서 - 제품허가정보 관리
Product License Information</t>
    <phoneticPr fontId="4" type="noConversion"/>
  </si>
  <si>
    <t>IT_TABLE</t>
  </si>
  <si>
    <t>LEGACY SYSTEM</t>
  </si>
  <si>
    <t>NVARCHAR</t>
    <phoneticPr fontId="4" type="noConversion"/>
  </si>
  <si>
    <t xml:space="preserve">국가 키 </t>
  </si>
  <si>
    <t>National key</t>
  </si>
  <si>
    <t>CONT_CODE</t>
  </si>
  <si>
    <t xml:space="preserve">내용물코드 </t>
  </si>
  <si>
    <t>Content cord</t>
  </si>
  <si>
    <t>Component</t>
  </si>
  <si>
    <t>LIC_DATEED</t>
  </si>
  <si>
    <t xml:space="preserve">허가 만료일 </t>
  </si>
  <si>
    <t>License expiration date</t>
  </si>
  <si>
    <t>LicenseExpDate</t>
  </si>
  <si>
    <t>LIC_DATEOP</t>
  </si>
  <si>
    <t xml:space="preserve">허가 취득일 </t>
  </si>
  <si>
    <t>License acquisition date</t>
  </si>
  <si>
    <t>LicenseIssueDate</t>
  </si>
  <si>
    <t>LIC_ST_DT</t>
  </si>
  <si>
    <t xml:space="preserve">허가 신청일 </t>
  </si>
  <si>
    <t>License application date</t>
  </si>
  <si>
    <t>LicenseReqDate</t>
  </si>
  <si>
    <t>LIC_CP_DT</t>
  </si>
  <si>
    <t xml:space="preserve">예상허가 취득일 </t>
  </si>
  <si>
    <t>Expected permit acquisition date</t>
  </si>
  <si>
    <t>ExpectIssueDate</t>
  </si>
  <si>
    <t>LIC_FLAG</t>
  </si>
  <si>
    <t>허가 불필요</t>
  </si>
  <si>
    <t>Unnecessary permission</t>
  </si>
  <si>
    <t>NotConfirmFlag</t>
  </si>
  <si>
    <t>매핑정의서 - 단종품의완료</t>
  </si>
  <si>
    <t>AP-ON</t>
    <phoneticPr fontId="4" type="noConversion"/>
  </si>
  <si>
    <t>REQNO</t>
  </si>
  <si>
    <t>(승인)요청번호</t>
  </si>
  <si>
    <t>(Approval) Request number</t>
  </si>
  <si>
    <t>ReqNo</t>
  </si>
  <si>
    <t>SEQNO</t>
  </si>
  <si>
    <t>일련번호</t>
  </si>
  <si>
    <t>Serial Number</t>
  </si>
  <si>
    <t>SeqNo</t>
  </si>
  <si>
    <t>CPRREGDAT</t>
  </si>
  <si>
    <t>DAT</t>
  </si>
  <si>
    <t>압축월 등록일</t>
  </si>
  <si>
    <t>SKU Out registration date</t>
  </si>
  <si>
    <t>SKUOutMonRegDate</t>
  </si>
  <si>
    <t>압축품의 일자</t>
  </si>
  <si>
    <t>Date of SKU Out</t>
  </si>
  <si>
    <t>SKUOutMonth</t>
  </si>
  <si>
    <t>APSTK</t>
  </si>
  <si>
    <t>압축품의 진행상태</t>
  </si>
  <si>
    <t>Progress status of SKU Out</t>
  </si>
  <si>
    <t>SKUOutStatus</t>
  </si>
  <si>
    <t>매핑정의서 - SKU 현황
SKU 합리화 실적</t>
    <phoneticPr fontId="4" type="noConversion"/>
  </si>
  <si>
    <t>0salesorg</t>
  </si>
  <si>
    <t>0calmonth</t>
  </si>
  <si>
    <t>Month</t>
  </si>
  <si>
    <t>월</t>
  </si>
  <si>
    <t>month</t>
  </si>
  <si>
    <t>zgubuncd</t>
  </si>
  <si>
    <t>LocalExportFlag</t>
  </si>
  <si>
    <t>국내/수출 구분(CUBE 기준)</t>
  </si>
  <si>
    <t>Domestic/export classification (based on CUBE)</t>
  </si>
  <si>
    <t>0material</t>
  </si>
  <si>
    <t>자재 코드</t>
  </si>
  <si>
    <t>매핑정의서 - SKU In 일정
SKU In schedule</t>
    <phoneticPr fontId="4" type="noConversion"/>
  </si>
  <si>
    <t>From_date</t>
    <phoneticPr fontId="4" type="noConversion"/>
  </si>
  <si>
    <t>To_date</t>
    <phoneticPr fontId="4" type="noConversion"/>
  </si>
  <si>
    <t>생산 플랜트</t>
  </si>
  <si>
    <t>Production Meeting Month</t>
  </si>
  <si>
    <t>MeetingMonth</t>
  </si>
  <si>
    <t>생산회의 상정 월</t>
  </si>
  <si>
    <t>Production Meeting Week</t>
  </si>
  <si>
    <t>MeetingWeek</t>
  </si>
  <si>
    <t>생산회의 상정 주차</t>
  </si>
  <si>
    <t>PKGSDT</t>
  </si>
  <si>
    <t>실포장일시작주차</t>
  </si>
  <si>
    <t>Packaging Start Date</t>
  </si>
  <si>
    <t>ProdInitDate</t>
  </si>
  <si>
    <t>실포장일 시작 일자</t>
  </si>
  <si>
    <t>ACTPRD</t>
  </si>
  <si>
    <t>실초도량</t>
  </si>
  <si>
    <t>Treadmill</t>
  </si>
  <si>
    <t>InitQty</t>
  </si>
  <si>
    <t>초도 생산량</t>
  </si>
  <si>
    <t>PRDPLN</t>
  </si>
  <si>
    <t>생산 계획 반영 여부
(R:반영, D:삭제, P:이월, M:보류2, N:보류3, O:보류4)</t>
  </si>
  <si>
    <t>Reflecting production plan
(R:reflect, D:delete, P:over, M:hold 2, N:hold 3, O:hold 4)</t>
  </si>
  <si>
    <t>POFlag</t>
  </si>
  <si>
    <t>생산계획반영여부(R:반영, D:삭제, P:이월, M:보류2, N:보류3, O:보류4)</t>
  </si>
  <si>
    <t>CFRDT</t>
  </si>
  <si>
    <t>생산회의일자</t>
  </si>
  <si>
    <t>Production meeting date</t>
  </si>
  <si>
    <t>MeetingDate</t>
  </si>
  <si>
    <t>매핑정의서 - 자재대체단위</t>
    <phoneticPr fontId="4" type="noConversion"/>
  </si>
  <si>
    <t>ZPP_IF_MAT_ALTUNIT_SEND_BM_SP</t>
  </si>
  <si>
    <t>MEINH</t>
  </si>
  <si>
    <t>UNIT</t>
  </si>
  <si>
    <t>재고유지단위의 대체단위</t>
  </si>
  <si>
    <t>Alternative unit</t>
  </si>
  <si>
    <t>ReplaceMeasure</t>
  </si>
  <si>
    <t>UMREZ</t>
  </si>
  <si>
    <t>DEC</t>
  </si>
  <si>
    <t>기본 단위로의 환산을 위한 분자</t>
  </si>
  <si>
    <t>Molecule for conversion to basic units</t>
  </si>
  <si>
    <t>Numerator</t>
  </si>
  <si>
    <t>UMREN</t>
  </si>
  <si>
    <t>기본 단위로 환산하는데 사용하는 분모</t>
  </si>
  <si>
    <t>Denominator</t>
  </si>
  <si>
    <t>매핑정의서 - 재고</t>
    <phoneticPr fontId="4" type="noConversion"/>
  </si>
  <si>
    <t>DATUM</t>
  </si>
  <si>
    <t>Date</t>
  </si>
  <si>
    <t>일자</t>
  </si>
  <si>
    <t>자재</t>
  </si>
  <si>
    <t>material</t>
  </si>
  <si>
    <t>plant</t>
  </si>
  <si>
    <t>LGORT</t>
  </si>
  <si>
    <t>SL</t>
  </si>
  <si>
    <t>저장위치</t>
  </si>
  <si>
    <t>Storage location</t>
  </si>
  <si>
    <t>단위</t>
  </si>
  <si>
    <t>unit</t>
  </si>
  <si>
    <t>LABST</t>
  </si>
  <si>
    <t>AvailQty</t>
  </si>
  <si>
    <t>가용재고</t>
  </si>
  <si>
    <t>Available inventory</t>
  </si>
  <si>
    <t>ZRESTO</t>
  </si>
  <si>
    <t>STOInQty</t>
  </si>
  <si>
    <t>STO입고예정</t>
  </si>
  <si>
    <t>STO will be in stock</t>
  </si>
  <si>
    <t>ZRERES</t>
  </si>
  <si>
    <t>ReserveInQty</t>
  </si>
  <si>
    <t>예약입고예정</t>
  </si>
  <si>
    <t>Scheduled reservation</t>
  </si>
  <si>
    <t>ZRETUR</t>
  </si>
  <si>
    <t>ReturnQty</t>
  </si>
  <si>
    <t>반품입고예정</t>
  </si>
  <si>
    <t>Scheduled to be in stock</t>
  </si>
  <si>
    <t>KULAB</t>
  </si>
  <si>
    <t>CustomerQty</t>
  </si>
  <si>
    <t>고객위탁재고</t>
  </si>
  <si>
    <t>Customer Consignment High School</t>
  </si>
  <si>
    <t>INSME</t>
  </si>
  <si>
    <t>QMQty</t>
  </si>
  <si>
    <t>품질재고</t>
  </si>
  <si>
    <t>Quality inventory</t>
  </si>
  <si>
    <t>ZISSTO</t>
  </si>
  <si>
    <t>STOOutQty</t>
  </si>
  <si>
    <t>STO출고예정</t>
  </si>
  <si>
    <t>STO shipping scheduled</t>
  </si>
  <si>
    <t>ZISRES</t>
  </si>
  <si>
    <t>ReserveOutQty</t>
  </si>
  <si>
    <t>예약출고예정</t>
  </si>
  <si>
    <t>Scheduled to be reserved</t>
  </si>
  <si>
    <t>ZISALE</t>
  </si>
  <si>
    <t>SOOutQty</t>
  </si>
  <si>
    <t>SO출고예정</t>
  </si>
  <si>
    <t>SO shipped</t>
  </si>
  <si>
    <t xml:space="preserve">매핑정의서 - 자재 원가 </t>
    <phoneticPr fontId="4" type="noConversion"/>
  </si>
  <si>
    <t>PREIS</t>
  </si>
  <si>
    <t>CURR</t>
  </si>
  <si>
    <t>가격</t>
  </si>
  <si>
    <t>price</t>
  </si>
  <si>
    <t>Price</t>
  </si>
  <si>
    <t>WAERS</t>
  </si>
  <si>
    <t>CUKY</t>
  </si>
  <si>
    <t>통화키</t>
  </si>
  <si>
    <t>Call key</t>
  </si>
  <si>
    <t>CurrencyKey</t>
  </si>
  <si>
    <t>PEINH</t>
  </si>
  <si>
    <t>가격단위</t>
  </si>
  <si>
    <t>Price unit</t>
  </si>
  <si>
    <t>PRICE_UNIT_QTY</t>
  </si>
  <si>
    <t>VPRSV</t>
  </si>
  <si>
    <t>가격관리 지시자(S:표준가, V:이동평균가)</t>
  </si>
  <si>
    <t>Price management indicator (S: Standard price, V: average mobile price)</t>
  </si>
  <si>
    <t>PriceType</t>
  </si>
  <si>
    <t>매핑정의서 - 거래처마스터</t>
    <phoneticPr fontId="4" type="noConversion"/>
  </si>
  <si>
    <t>Target Table : ALIFCI_PRTN_MSTR</t>
    <phoneticPr fontId="4" type="noConversion"/>
  </si>
  <si>
    <t>KTOKD</t>
  </si>
  <si>
    <t>고객계정그룹</t>
  </si>
  <si>
    <t>Customer account group</t>
  </si>
  <si>
    <t>VTWEG</t>
  </si>
  <si>
    <t>유통경로</t>
  </si>
  <si>
    <t>Distribution path</t>
  </si>
  <si>
    <t>SalesChannel</t>
  </si>
  <si>
    <t>SPART</t>
  </si>
  <si>
    <t xml:space="preserve">제품군 </t>
  </si>
  <si>
    <t>product family</t>
  </si>
  <si>
    <t>ProductGroup</t>
  </si>
  <si>
    <t>KUNNR</t>
  </si>
  <si>
    <t>거래처코드</t>
  </si>
  <si>
    <t>Traffic</t>
  </si>
  <si>
    <t>SoldToParty</t>
  </si>
  <si>
    <t>거래처 코드</t>
  </si>
  <si>
    <t>Customer</t>
  </si>
  <si>
    <t>AUFSD</t>
  </si>
  <si>
    <t>상태구분</t>
  </si>
  <si>
    <t>State distinction</t>
  </si>
  <si>
    <t>Status</t>
  </si>
  <si>
    <t>NAME1</t>
  </si>
  <si>
    <t>거래처명 1</t>
  </si>
  <si>
    <t>ShipTo Name1</t>
  </si>
  <si>
    <t>ShipToDesc1</t>
  </si>
  <si>
    <t>NAME2</t>
  </si>
  <si>
    <t>거래처명 2</t>
  </si>
  <si>
    <t>ShipTo Name2</t>
  </si>
  <si>
    <t>ShipToDesc2</t>
  </si>
  <si>
    <t>NAME3</t>
  </si>
  <si>
    <t>거래처명 3</t>
  </si>
  <si>
    <t>ShipTo Name3</t>
  </si>
  <si>
    <t>ShipToDesc3</t>
  </si>
  <si>
    <t>PRCTR</t>
  </si>
  <si>
    <t>손익센터</t>
  </si>
  <si>
    <t>Income Center</t>
  </si>
  <si>
    <t>ProfitCenter</t>
  </si>
  <si>
    <t>COUNTRY</t>
  </si>
  <si>
    <t>POST_CODE1</t>
  </si>
  <si>
    <t>우편번호</t>
  </si>
  <si>
    <t>Zip code</t>
  </si>
  <si>
    <t>REGION</t>
  </si>
  <si>
    <t>지역</t>
  </si>
  <si>
    <t>region</t>
  </si>
  <si>
    <t>CITY1</t>
  </si>
  <si>
    <t>도시</t>
  </si>
  <si>
    <t>city</t>
  </si>
  <si>
    <t>STREET</t>
  </si>
  <si>
    <t>상세 주소 1</t>
  </si>
  <si>
    <t>Details 1</t>
  </si>
  <si>
    <t>STR_SUPPL1</t>
  </si>
  <si>
    <t>상세 주소 2</t>
  </si>
  <si>
    <t>Details 2</t>
  </si>
  <si>
    <t>STR_SUPPL2</t>
  </si>
  <si>
    <t>상세 주소 3</t>
  </si>
  <si>
    <t>Details 3</t>
  </si>
  <si>
    <t>STR_SUPPL3</t>
  </si>
  <si>
    <t>상세 주소 4</t>
  </si>
  <si>
    <t>Details 4</t>
  </si>
  <si>
    <t>TEL_NUMBER</t>
  </si>
  <si>
    <t>전화번호</t>
  </si>
  <si>
    <t>phone number</t>
  </si>
  <si>
    <t>FAX_NUMBER</t>
  </si>
  <si>
    <t>팩스번호</t>
  </si>
  <si>
    <t>Fax number</t>
  </si>
  <si>
    <t>SMTP_ADDR</t>
  </si>
  <si>
    <t>전자메일 주소</t>
  </si>
  <si>
    <t>E -mail address</t>
  </si>
  <si>
    <t>TRANSPZONE</t>
  </si>
  <si>
    <t>운송 지역</t>
  </si>
  <si>
    <t>Transportation area</t>
  </si>
  <si>
    <t>REGIOGROUP</t>
  </si>
  <si>
    <t xml:space="preserve">지역구조그루핑 </t>
  </si>
  <si>
    <t>Regional structure groop</t>
  </si>
  <si>
    <t>DLVSQ</t>
  </si>
  <si>
    <t>배송순서</t>
  </si>
  <si>
    <t>Shipping order</t>
  </si>
  <si>
    <t>J_1KFREPRE</t>
  </si>
  <si>
    <t>대표자이름</t>
  </si>
  <si>
    <t>Representative name</t>
  </si>
  <si>
    <t>BAHNS</t>
  </si>
  <si>
    <t>Sales Note1</t>
  </si>
  <si>
    <t>SALES NOTE1</t>
  </si>
  <si>
    <t>STCD1</t>
  </si>
  <si>
    <t>주민등록번호</t>
  </si>
  <si>
    <t>resident registration number</t>
  </si>
  <si>
    <t>STCD2</t>
  </si>
  <si>
    <t xml:space="preserve">사업자등록번호 </t>
  </si>
  <si>
    <t>Company Registration Number</t>
  </si>
  <si>
    <t>STCD4</t>
  </si>
  <si>
    <t>Tax Number</t>
  </si>
  <si>
    <t>J_1KFTBUS</t>
  </si>
  <si>
    <t>업태</t>
  </si>
  <si>
    <t>Business</t>
  </si>
  <si>
    <t>J_1KFTIND</t>
  </si>
  <si>
    <t>업종</t>
  </si>
  <si>
    <t>Sectors</t>
  </si>
  <si>
    <t>BANKN</t>
  </si>
  <si>
    <t>은행계좌번호</t>
  </si>
  <si>
    <t>Bank account number</t>
  </si>
  <si>
    <t>FSDAT</t>
  </si>
  <si>
    <t xml:space="preserve">거래개시일 </t>
  </si>
  <si>
    <t>Trading date</t>
  </si>
  <si>
    <t>ESDAT</t>
  </si>
  <si>
    <t>거래종료일</t>
  </si>
  <si>
    <t>Termination date</t>
  </si>
  <si>
    <t>BZIRK</t>
  </si>
  <si>
    <t>영업지역</t>
  </si>
  <si>
    <t>Business area</t>
  </si>
  <si>
    <t>SalesRegion</t>
  </si>
  <si>
    <t>VKBUR</t>
  </si>
  <si>
    <t>영업팀</t>
  </si>
  <si>
    <t>Sales team</t>
  </si>
  <si>
    <t>SalesTeam</t>
  </si>
  <si>
    <t>영업팀코드</t>
  </si>
  <si>
    <t>Sales Team Code</t>
  </si>
  <si>
    <t>VKGRP</t>
  </si>
  <si>
    <t>영업그룹</t>
  </si>
  <si>
    <t>Business group</t>
  </si>
  <si>
    <t>SalesGroup</t>
  </si>
  <si>
    <t>KDGRP</t>
  </si>
  <si>
    <t>거래처그룹(Customer group)</t>
  </si>
  <si>
    <t>Customer Group</t>
  </si>
  <si>
    <t>BizType</t>
  </si>
  <si>
    <t>거래처 그룹</t>
  </si>
  <si>
    <t>KVGR1</t>
  </si>
  <si>
    <t>고객무상품그룹</t>
  </si>
  <si>
    <t>Customer Product Group</t>
  </si>
  <si>
    <t>KVGR2</t>
  </si>
  <si>
    <t>고객허용그룹</t>
  </si>
  <si>
    <t>Customer allowance group</t>
  </si>
  <si>
    <t>DISTB</t>
  </si>
  <si>
    <t>유통사(Distributer)</t>
  </si>
  <si>
    <t>Distributer</t>
  </si>
  <si>
    <t>MNTYP</t>
  </si>
  <si>
    <t>운영방식</t>
  </si>
  <si>
    <t>Operating</t>
  </si>
  <si>
    <t>BU(부문)</t>
  </si>
  <si>
    <t>BU (division)</t>
  </si>
  <si>
    <t>DIVSN</t>
  </si>
  <si>
    <t>Sales Division(사업부)</t>
  </si>
  <si>
    <t>Sales Division</t>
  </si>
  <si>
    <t>SalesDivision</t>
  </si>
  <si>
    <t>Sub-Sales Channel(경로)</t>
  </si>
  <si>
    <t>Sub-Sales Channel (path)</t>
  </si>
  <si>
    <t>하위영업경로코드</t>
  </si>
  <si>
    <t>Sub -sales route code</t>
  </si>
  <si>
    <t>LPRIO</t>
  </si>
  <si>
    <t>납품 우선순위</t>
  </si>
  <si>
    <t>Priority of delivery</t>
  </si>
  <si>
    <t>VWERK</t>
  </si>
  <si>
    <t>납품 플랜트</t>
  </si>
  <si>
    <t>Delivery plant</t>
  </si>
  <si>
    <t>DeliveryPlant</t>
  </si>
  <si>
    <t>SWERKS</t>
  </si>
  <si>
    <t>영업 플랜트</t>
  </si>
  <si>
    <t>Operating plant</t>
  </si>
  <si>
    <t>SalesPlant</t>
  </si>
  <si>
    <t>SLGORT</t>
  </si>
  <si>
    <t>영업 저장위치</t>
  </si>
  <si>
    <t>Sales storage location</t>
  </si>
  <si>
    <t>SalesLocation</t>
  </si>
  <si>
    <t>KATR1</t>
  </si>
  <si>
    <t>배송조건</t>
  </si>
  <si>
    <t>Shipping</t>
  </si>
  <si>
    <t>SHOPC</t>
  </si>
  <si>
    <t>매장컨셉</t>
  </si>
  <si>
    <t>Store concept</t>
  </si>
  <si>
    <t>MAINB</t>
  </si>
  <si>
    <t>메인 브랜드</t>
  </si>
  <si>
    <t>Main brand</t>
  </si>
  <si>
    <t>KUNWE</t>
  </si>
  <si>
    <t>납품처(Ship-to party)</t>
  </si>
  <si>
    <t>Ship-to Party</t>
  </si>
  <si>
    <t>KUNRE</t>
  </si>
  <si>
    <t>대표거래처(Bill-to party)</t>
  </si>
  <si>
    <t>Bill-to Party</t>
  </si>
  <si>
    <t>KUNRG</t>
  </si>
  <si>
    <t>지급처(Payer)</t>
  </si>
  <si>
    <t>Payer</t>
  </si>
  <si>
    <t>HKUNNR</t>
  </si>
  <si>
    <t>총괄거래처</t>
  </si>
  <si>
    <t>Overall business</t>
  </si>
  <si>
    <t>PERNR</t>
  </si>
  <si>
    <t>사원 번호</t>
  </si>
  <si>
    <t>Employee number</t>
  </si>
  <si>
    <t>SNAME</t>
  </si>
  <si>
    <t>사원이름</t>
  </si>
  <si>
    <t>Employee name</t>
  </si>
  <si>
    <t>BANKL</t>
  </si>
  <si>
    <t>은행키</t>
  </si>
  <si>
    <t>Bank</t>
  </si>
  <si>
    <t>TAXKD_DESC</t>
    <phoneticPr fontId="4" type="noConversion"/>
  </si>
  <si>
    <t>세금유형명</t>
    <phoneticPr fontId="4" type="noConversion"/>
  </si>
  <si>
    <t>Tax classification name</t>
    <phoneticPr fontId="4" type="noConversion"/>
  </si>
  <si>
    <t>추가-251022</t>
    <phoneticPr fontId="4" type="noConversion"/>
  </si>
  <si>
    <t>온/오프라인 구분임</t>
    <phoneticPr fontId="4" type="noConversion"/>
  </si>
  <si>
    <t>KTGRD_DESC</t>
    <phoneticPr fontId="4" type="noConversion"/>
  </si>
  <si>
    <t>계정지정그룹명</t>
    <phoneticPr fontId="4" type="noConversion"/>
  </si>
  <si>
    <t>AU000001</t>
    <phoneticPr fontId="4" type="noConversion"/>
  </si>
  <si>
    <t>기술적이름</t>
    <phoneticPr fontId="4" type="noConversion"/>
  </si>
  <si>
    <t>메저명</t>
    <phoneticPr fontId="4" type="noConversion"/>
  </si>
  <si>
    <t>추가데이터확인용 파일 존재</t>
    <phoneticPr fontId="4" type="noConversion"/>
  </si>
  <si>
    <t>SAP-기존</t>
    <phoneticPr fontId="4" type="noConversion"/>
  </si>
  <si>
    <t>BW-</t>
    <phoneticPr fontId="4" type="noConversion"/>
  </si>
  <si>
    <t>bw</t>
    <phoneticPr fontId="4" type="noConversion"/>
  </si>
  <si>
    <t>0cust_sales</t>
    <phoneticPr fontId="37" type="noConversion"/>
  </si>
  <si>
    <t>O</t>
    <phoneticPr fontId="37" type="noConversion"/>
  </si>
  <si>
    <t>거래처코드</t>
    <phoneticPr fontId="37" type="noConversion"/>
  </si>
  <si>
    <t>0salesorg</t>
    <phoneticPr fontId="37" type="noConversion"/>
  </si>
  <si>
    <t>영업조직</t>
    <phoneticPr fontId="37" type="noConversion"/>
  </si>
  <si>
    <t>0distr_chan</t>
    <phoneticPr fontId="37" type="noConversion"/>
  </si>
  <si>
    <t>유통경로</t>
    <phoneticPr fontId="37" type="noConversion"/>
  </si>
  <si>
    <t>ZCUSCT</t>
    <phoneticPr fontId="37" type="noConversion"/>
  </si>
  <si>
    <t>거래처형태</t>
  </si>
  <si>
    <t>ZCHAR_5</t>
    <phoneticPr fontId="37" type="noConversion"/>
  </si>
  <si>
    <t>GPS 목표채널</t>
  </si>
  <si>
    <t>0CUST_GRP1</t>
    <phoneticPr fontId="37" type="noConversion"/>
  </si>
  <si>
    <t>고객그룹1(N)</t>
  </si>
  <si>
    <t>0CUST_GRP2</t>
    <phoneticPr fontId="37" type="noConversion"/>
  </si>
  <si>
    <t>고객그룹2(N)</t>
  </si>
  <si>
    <t>0SALES_GRP</t>
    <phoneticPr fontId="37" type="noConversion"/>
  </si>
  <si>
    <t>영업그룹(N)</t>
  </si>
  <si>
    <t>ZAPGCHNL</t>
    <phoneticPr fontId="37" type="noConversion"/>
  </si>
  <si>
    <t>그룹거래처채널(N)</t>
  </si>
  <si>
    <t>ZCHAR_10A</t>
    <phoneticPr fontId="37" type="noConversion"/>
  </si>
  <si>
    <t>(그룹채널)Unit</t>
  </si>
  <si>
    <t>ZDISTB</t>
    <phoneticPr fontId="37" type="noConversion"/>
  </si>
  <si>
    <t>유통사(N)</t>
  </si>
  <si>
    <t>ZCHAR_10B</t>
    <phoneticPr fontId="37" type="noConversion"/>
  </si>
  <si>
    <t>(그룹채널)Division</t>
  </si>
  <si>
    <t>ZGRPAMT</t>
    <phoneticPr fontId="37" type="noConversion"/>
  </si>
  <si>
    <t>(그룹채널)그룹매출</t>
  </si>
  <si>
    <t>ZGRPPRO</t>
    <phoneticPr fontId="37" type="noConversion"/>
  </si>
  <si>
    <t>(그룹채널)그룹이익</t>
  </si>
  <si>
    <t>ZCRSHOPSV_ZDISTB</t>
    <phoneticPr fontId="37" type="noConversion"/>
  </si>
  <si>
    <r>
      <t>매장</t>
    </r>
    <r>
      <rPr>
        <sz val="10"/>
        <color theme="1"/>
        <rFont val="Calibri"/>
        <family val="2"/>
      </rPr>
      <t xml:space="preserve"> </t>
    </r>
    <r>
      <rPr>
        <sz val="10"/>
        <color theme="1"/>
        <rFont val="돋움"/>
        <family val="3"/>
        <charset val="129"/>
      </rPr>
      <t>유통사</t>
    </r>
    <r>
      <rPr>
        <sz val="10"/>
        <color theme="1"/>
        <rFont val="Calibri"/>
        <family val="2"/>
      </rPr>
      <t>(N)</t>
    </r>
    <phoneticPr fontId="37" type="noConversion"/>
  </si>
  <si>
    <t>KNA1</t>
    <phoneticPr fontId="4" type="noConversion"/>
  </si>
  <si>
    <t>KNA1 값</t>
    <phoneticPr fontId="4" type="noConversion"/>
  </si>
  <si>
    <t>KNB1</t>
    <phoneticPr fontId="4" type="noConversion"/>
  </si>
  <si>
    <t>KNB1 값</t>
    <phoneticPr fontId="4" type="noConversion"/>
  </si>
  <si>
    <t>KNVV</t>
    <phoneticPr fontId="4" type="noConversion"/>
  </si>
  <si>
    <t>KNVV값</t>
    <phoneticPr fontId="4" type="noConversion"/>
  </si>
  <si>
    <t>BI=0CUST_COMPC_ZSUBCH2</t>
    <phoneticPr fontId="37" type="noConversion"/>
  </si>
  <si>
    <t>하위채널</t>
    <phoneticPr fontId="4" type="noConversion"/>
  </si>
  <si>
    <t>CUSTOMER_PFC_FITYP</t>
    <phoneticPr fontId="4" type="noConversion"/>
  </si>
  <si>
    <t>펀매유형 예) 직매입 순액</t>
    <phoneticPr fontId="4" type="noConversion"/>
  </si>
  <si>
    <t>없음</t>
    <phoneticPr fontId="4" type="noConversion"/>
  </si>
  <si>
    <t>CUST_SALES_ZCHAR_2</t>
    <phoneticPr fontId="4" type="noConversion"/>
  </si>
  <si>
    <t>ON/OFF 구분</t>
    <phoneticPr fontId="4" type="noConversion"/>
  </si>
  <si>
    <t>sap</t>
    <phoneticPr fontId="4" type="noConversion"/>
  </si>
  <si>
    <t>그룹</t>
  </si>
  <si>
    <t>1000</t>
  </si>
  <si>
    <t>CoCd</t>
  </si>
  <si>
    <t>AU10</t>
  </si>
  <si>
    <t>경로</t>
  </si>
  <si>
    <t>10</t>
  </si>
  <si>
    <t>Dv</t>
  </si>
  <si>
    <t>00</t>
  </si>
  <si>
    <t>거래처</t>
  </si>
  <si>
    <t>AU000001</t>
  </si>
  <si>
    <t>CSts</t>
  </si>
  <si>
    <t>21</t>
  </si>
  <si>
    <t>OrBlk</t>
  </si>
  <si>
    <t>이름 1</t>
  </si>
  <si>
    <t>Sephora ANZ - Laneige</t>
  </si>
  <si>
    <t>영문이름</t>
  </si>
  <si>
    <t>Sephora</t>
  </si>
  <si>
    <t>이름 3</t>
  </si>
  <si>
    <t>손익 센터</t>
  </si>
  <si>
    <t>CAU000001</t>
  </si>
  <si>
    <t>담당자 이름</t>
  </si>
  <si>
    <t>영업노트1</t>
  </si>
  <si>
    <t>주민번호</t>
  </si>
  <si>
    <t>사업자번호</t>
  </si>
  <si>
    <t>세금번호</t>
  </si>
  <si>
    <t>37169030737</t>
  </si>
  <si>
    <t>최초판매일</t>
  </si>
  <si>
    <t>판매종료일</t>
  </si>
  <si>
    <t>SDst</t>
  </si>
  <si>
    <t>AU0000</t>
  </si>
  <si>
    <t>SOff.</t>
  </si>
  <si>
    <t>AUA1</t>
  </si>
  <si>
    <t>ZA1</t>
  </si>
  <si>
    <t>거래처형태(Customer group)</t>
  </si>
  <si>
    <t>고객그룹</t>
  </si>
  <si>
    <t>29</t>
  </si>
  <si>
    <t>FGGr</t>
  </si>
  <si>
    <t>Grp2</t>
  </si>
  <si>
    <t>AA2</t>
  </si>
  <si>
    <t>유통사</t>
  </si>
  <si>
    <t>AS01</t>
  </si>
  <si>
    <t>PL</t>
  </si>
  <si>
    <t>Z1</t>
  </si>
  <si>
    <t>순위</t>
  </si>
  <si>
    <t>0</t>
  </si>
  <si>
    <t>Plnt</t>
  </si>
  <si>
    <t>A1</t>
  </si>
  <si>
    <t>메인브랜드</t>
  </si>
  <si>
    <t>사원번호</t>
  </si>
  <si>
    <t>계정지겅그룹명</t>
    <phoneticPr fontId="4" type="noConversion"/>
  </si>
  <si>
    <t>Overview!A3</t>
  </si>
  <si>
    <t>매핑정의서 - 재고(계획용)
Inventory (For planning)</t>
  </si>
  <si>
    <t>2022.07.08</t>
  </si>
  <si>
    <t>5. 매핑정의</t>
  </si>
  <si>
    <t>Source - SAP</t>
  </si>
  <si>
    <t>Target - 싱글플랫폼</t>
  </si>
  <si>
    <t>ZSD_SEND_FILE_TO_O9
/interface/O9/send/SSD01&lt;DATE&gt;000000.csv(000000은 생성시간)</t>
  </si>
  <si>
    <t>Web Service Methods</t>
  </si>
  <si>
    <t>sftpaws-ane2.o9solutions.com(Port: 2222) o9 SFTP 서버 내 \Preprod\Inbound\SAP_Onhand_&lt;Timestamp&gt;_&lt;Count&gt;&lt;Seq&gt;.csv</t>
  </si>
  <si>
    <t>Table(Path)</t>
  </si>
  <si>
    <t>OrgID</t>
  </si>
  <si>
    <t>Organization ID</t>
  </si>
  <si>
    <t>CutOffDate</t>
  </si>
  <si>
    <t>Cut-Off Date</t>
  </si>
  <si>
    <t>Location</t>
  </si>
  <si>
    <t>Available Quantity</t>
  </si>
  <si>
    <t>STO In Quantity</t>
  </si>
  <si>
    <t>Reserve In Quantity</t>
  </si>
  <si>
    <t>Return Quantity</t>
  </si>
  <si>
    <t>Customer Quantity</t>
  </si>
  <si>
    <t>QM Quantity</t>
  </si>
  <si>
    <t>STO Out Quantity</t>
  </si>
  <si>
    <t>Reserve Out Quantity</t>
  </si>
  <si>
    <t>SO Out Quantity</t>
  </si>
  <si>
    <t>6. 변환규칙정의</t>
  </si>
  <si>
    <t>7. 기타정보</t>
  </si>
  <si>
    <t>Weekly2, WeeklyB2</t>
    <phoneticPr fontId="7" type="noConversion"/>
  </si>
  <si>
    <t>AP_CUST_OnHands</t>
  </si>
  <si>
    <t>매핑정의서 - 환율
Standard exchange rate</t>
    <phoneticPr fontId="4" type="noConversion"/>
  </si>
  <si>
    <t>???</t>
  </si>
  <si>
    <t>Sales Org</t>
  </si>
  <si>
    <t>FCURR</t>
  </si>
  <si>
    <t>소스 통화</t>
  </si>
  <si>
    <t>Source Currency</t>
  </si>
  <si>
    <t>FromCurrency</t>
  </si>
  <si>
    <t>소스통화</t>
  </si>
  <si>
    <t>TCURR</t>
  </si>
  <si>
    <t xml:space="preserve">대상통화 </t>
  </si>
  <si>
    <t>Target Currency</t>
  </si>
  <si>
    <t>ToCurrency</t>
  </si>
  <si>
    <t>타겟통화</t>
  </si>
  <si>
    <t>UKURS</t>
  </si>
  <si>
    <t>환율</t>
  </si>
  <si>
    <t>Exchange Rate</t>
  </si>
  <si>
    <t>ExchangeRate</t>
  </si>
  <si>
    <t>환율값</t>
  </si>
  <si>
    <t>매핑정의서 - 수출진행모니터링
Export Progress Monitoring</t>
    <phoneticPr fontId="4" type="noConversion"/>
  </si>
  <si>
    <t>REQ_STATUS</t>
  </si>
  <si>
    <t>요청상태</t>
  </si>
  <si>
    <t>Request status</t>
  </si>
  <si>
    <t>ReqStatus</t>
  </si>
  <si>
    <t>ZSHIPSTAT</t>
  </si>
  <si>
    <t>선적상태</t>
  </si>
  <si>
    <t>Shipment</t>
  </si>
  <si>
    <t>ShipStatus</t>
  </si>
  <si>
    <t>SONR</t>
  </si>
  <si>
    <t>판매 문서</t>
  </si>
  <si>
    <t>Sales document</t>
  </si>
  <si>
    <t>SONo</t>
  </si>
  <si>
    <t>SOPOS</t>
  </si>
  <si>
    <t>NUMC</t>
  </si>
  <si>
    <t>판매 문서 품목</t>
  </si>
  <si>
    <t>Sales document item</t>
  </si>
  <si>
    <t>SOLine</t>
  </si>
  <si>
    <t>DNNR</t>
  </si>
  <si>
    <t>납품</t>
  </si>
  <si>
    <t>Delivery</t>
  </si>
  <si>
    <t>DNNo</t>
  </si>
  <si>
    <t>DNPOS</t>
  </si>
  <si>
    <t>납품품목</t>
  </si>
  <si>
    <t>DNLine</t>
  </si>
  <si>
    <t>GRNR</t>
  </si>
  <si>
    <t>자재문서번호</t>
  </si>
  <si>
    <t>Material document number</t>
  </si>
  <si>
    <t>GRNo</t>
  </si>
  <si>
    <t>GRPOS</t>
  </si>
  <si>
    <t>자재 문서 항목</t>
  </si>
  <si>
    <t>Material document item</t>
  </si>
  <si>
    <t>GRLine</t>
  </si>
  <si>
    <t>SODAT</t>
  </si>
  <si>
    <t>SOCreationDate</t>
  </si>
  <si>
    <t>SOMNG</t>
  </si>
  <si>
    <t>SO 수량</t>
  </si>
  <si>
    <t>SO quantity</t>
  </si>
  <si>
    <t>SOQty</t>
  </si>
  <si>
    <t>DNDAT</t>
  </si>
  <si>
    <t>DNCreationDate</t>
  </si>
  <si>
    <t>DNMNG</t>
  </si>
  <si>
    <t>DN 수량</t>
  </si>
  <si>
    <t>DN quantity</t>
  </si>
  <si>
    <t>DNQty</t>
  </si>
  <si>
    <t>HQNR</t>
  </si>
  <si>
    <t>참조전표번호 (관련사항은 설명을 참조하십시오.)</t>
  </si>
  <si>
    <t>Reference document number (see the explanation for related matters.)</t>
  </si>
  <si>
    <t>HQNo</t>
  </si>
  <si>
    <t>GRDAT</t>
  </si>
  <si>
    <t xml:space="preserve">전표의 전기일 </t>
  </si>
  <si>
    <t>Electricity date of the document</t>
  </si>
  <si>
    <t>GRCreationDate</t>
  </si>
  <si>
    <t>GRMNG</t>
  </si>
  <si>
    <t>GR 수량</t>
  </si>
  <si>
    <t>GR quantity</t>
  </si>
  <si>
    <t>GRQty</t>
  </si>
  <si>
    <t>기본 단위</t>
  </si>
  <si>
    <t>DELIV_DATE</t>
  </si>
  <si>
    <t>현지입고 예정일</t>
  </si>
  <si>
    <t>Local Warehousing Estimated date</t>
  </si>
  <si>
    <t>ETD</t>
  </si>
  <si>
    <t>ETA</t>
  </si>
  <si>
    <t>ATD</t>
  </si>
  <si>
    <t>ATA</t>
  </si>
  <si>
    <t>SOPNR</t>
  </si>
  <si>
    <t>SOP번호</t>
  </si>
  <si>
    <t>SOP number</t>
  </si>
  <si>
    <t>SOPNo</t>
  </si>
  <si>
    <t>TransferFlag</t>
  </si>
  <si>
    <t>R_VKORG</t>
  </si>
  <si>
    <t>요청법인</t>
  </si>
  <si>
    <t>Request corporation</t>
  </si>
  <si>
    <t>ReqCompany</t>
  </si>
  <si>
    <t>MANTR</t>
  </si>
  <si>
    <t>To Site_cd</t>
    <phoneticPr fontId="4" type="noConversion"/>
  </si>
  <si>
    <t>sap에서 맵핑된 정보임</t>
    <phoneticPr fontId="4" type="noConversion"/>
  </si>
  <si>
    <t>TO_SITE_CD</t>
  </si>
  <si>
    <t>도착사이트코드</t>
  </si>
  <si>
    <t>추가-20251205  ERP팀 미팅후</t>
    <phoneticPr fontId="4" type="noConversion"/>
  </si>
  <si>
    <t>WERKS</t>
    <phoneticPr fontId="4" type="noConversion"/>
  </si>
  <si>
    <t>플랜트</t>
    <phoneticPr fontId="4" type="noConversion"/>
  </si>
  <si>
    <t>PLANT</t>
  </si>
  <si>
    <t>LGORT</t>
    <phoneticPr fontId="4" type="noConversion"/>
  </si>
  <si>
    <t>저장위치</t>
    <phoneticPr fontId="4" type="noConversion"/>
  </si>
  <si>
    <t>SLOC</t>
  </si>
  <si>
    <t>EBELN</t>
    <phoneticPr fontId="4" type="noConversion"/>
  </si>
  <si>
    <t>구매오더번호</t>
    <phoneticPr fontId="4" type="noConversion"/>
  </si>
  <si>
    <t>현지법인 po (so생성후 발행된것)</t>
  </si>
  <si>
    <t>PONO</t>
  </si>
  <si>
    <t>구매오더번호</t>
  </si>
  <si>
    <t>EBELP</t>
    <phoneticPr fontId="4" type="noConversion"/>
  </si>
  <si>
    <t>NUMC</t>
    <phoneticPr fontId="4" type="noConversion"/>
  </si>
  <si>
    <t>구매오더품목</t>
    <phoneticPr fontId="4" type="noConversion"/>
  </si>
  <si>
    <t>POITEM</t>
  </si>
  <si>
    <t>구매오더품목</t>
  </si>
  <si>
    <t>삭제. 품목코드 중복 기입(251210)</t>
  </si>
  <si>
    <t>매핑정의서 - 거래처 재고
Customer Inventory</t>
    <phoneticPr fontId="4" type="noConversion"/>
  </si>
  <si>
    <t>ShipTo -&gt; Sold To 변경 필요</t>
  </si>
  <si>
    <t>협업거래처</t>
  </si>
  <si>
    <t>Collaborative business</t>
  </si>
  <si>
    <t>STO Scheduled Receipt</t>
  </si>
  <si>
    <t>Reservation Scheduled Receipt</t>
  </si>
  <si>
    <t>Return Scheduled Receipt</t>
  </si>
  <si>
    <t>Customer consignment stock</t>
  </si>
  <si>
    <t>STO Release scheduled</t>
  </si>
  <si>
    <t>Reservation shipping scheduled</t>
  </si>
  <si>
    <t>SO Release scheduled</t>
  </si>
  <si>
    <t>매핑정의서 - 기타수요
Other demands (appointment)</t>
    <phoneticPr fontId="4" type="noConversion"/>
  </si>
  <si>
    <t>ZPGCODE</t>
  </si>
  <si>
    <t>PG -&gt; Sold To Party 변경 필요</t>
  </si>
  <si>
    <t>PG코드</t>
  </si>
  <si>
    <t>PG code</t>
  </si>
  <si>
    <t xml:space="preserve">0calweek </t>
  </si>
  <si>
    <t>Week -&gt; Day로 변경 필요</t>
  </si>
  <si>
    <t>발생주(주차로 Sum)</t>
  </si>
  <si>
    <t>Occupational stock (Sum by Week)</t>
  </si>
  <si>
    <t>0distr_chnl</t>
  </si>
  <si>
    <t>Distrchannel</t>
  </si>
  <si>
    <t>0base_uom</t>
  </si>
  <si>
    <t>B02 국내/해외 잡출수량</t>
  </si>
  <si>
    <t>0currency</t>
  </si>
  <si>
    <t>통화단위</t>
  </si>
  <si>
    <t>ZCM_002_CB02</t>
  </si>
  <si>
    <t>Qty</t>
  </si>
  <si>
    <t>잡출수량</t>
  </si>
  <si>
    <t>Quantity</t>
  </si>
  <si>
    <t>ZCM_002_CB04</t>
  </si>
  <si>
    <t>잡출 금액</t>
  </si>
  <si>
    <t>잡출금액</t>
  </si>
  <si>
    <t>Top`</t>
  </si>
  <si>
    <t>매핑정의서 - BOM</t>
    <phoneticPr fontId="4" type="noConversion"/>
  </si>
  <si>
    <t>상위자재코드</t>
  </si>
  <si>
    <t>Top material code</t>
  </si>
  <si>
    <t>STLAN</t>
  </si>
  <si>
    <t>BOM 용도(1:생산,Z:ODM)</t>
  </si>
  <si>
    <t>BOM use (1: Production, Z: ODM)</t>
  </si>
  <si>
    <t>Usage</t>
  </si>
  <si>
    <t>STLAL</t>
  </si>
  <si>
    <t>대체 BOM</t>
  </si>
  <si>
    <t>Alternative BOM</t>
  </si>
  <si>
    <t>AltBOM</t>
  </si>
  <si>
    <t>POSNR</t>
  </si>
  <si>
    <t>BOM 품목번호</t>
  </si>
  <si>
    <t>BOM item number</t>
  </si>
  <si>
    <t>Seq</t>
  </si>
  <si>
    <t>IDNRK</t>
  </si>
  <si>
    <t>하위자재코드</t>
  </si>
  <si>
    <t>Subcort</t>
  </si>
  <si>
    <t>STUFE</t>
  </si>
  <si>
    <t>레벨(다중 레벨 BOM 전개)</t>
  </si>
  <si>
    <t>Level (multiple level BOM development)</t>
  </si>
  <si>
    <t>Level</t>
  </si>
  <si>
    <t>MENGE</t>
  </si>
  <si>
    <t>구성부품수량</t>
  </si>
  <si>
    <t>Configuration parts quantity</t>
  </si>
  <si>
    <t>ConsumedPer</t>
  </si>
  <si>
    <t>구성부품단위</t>
  </si>
  <si>
    <t>Configuration parts unit</t>
  </si>
  <si>
    <t>DATUV</t>
  </si>
  <si>
    <t>효력시작일</t>
  </si>
  <si>
    <t>Effective Start Date</t>
  </si>
  <si>
    <t>DATUB</t>
  </si>
  <si>
    <t>효력종료일</t>
  </si>
  <si>
    <t>Effective end date</t>
  </si>
  <si>
    <t>매핑정의서 - 생산 오더
Production Order</t>
    <phoneticPr fontId="4" type="noConversion"/>
  </si>
  <si>
    <t>AUFNR</t>
  </si>
  <si>
    <t>생산오더번호</t>
  </si>
  <si>
    <t>Production order number</t>
  </si>
  <si>
    <t>OrderID</t>
  </si>
  <si>
    <t>오더 번호</t>
  </si>
  <si>
    <t>ARBPL</t>
  </si>
  <si>
    <t>작업장</t>
  </si>
  <si>
    <t>work place</t>
  </si>
  <si>
    <t>Line</t>
  </si>
  <si>
    <t>생산라인 --&gt; 작업장</t>
  </si>
  <si>
    <t>GAMNG</t>
  </si>
  <si>
    <t>총 오더수량</t>
  </si>
  <si>
    <t>Total order quantity</t>
  </si>
  <si>
    <t>PlanQty</t>
  </si>
  <si>
    <t>계획수량 --&gt; 총 오더수량</t>
  </si>
  <si>
    <t>GSTRS</t>
  </si>
  <si>
    <t>계획시작일</t>
  </si>
  <si>
    <t>Plan Start Date</t>
  </si>
  <si>
    <t>PlanStartDateTime</t>
  </si>
  <si>
    <t>계획 시작 시간</t>
  </si>
  <si>
    <t>GLTRS</t>
  </si>
  <si>
    <t>계획종료일</t>
  </si>
  <si>
    <t>Plan End Date</t>
  </si>
  <si>
    <t>PlanEndDateTime</t>
  </si>
  <si>
    <t>계획 종료 시간</t>
  </si>
  <si>
    <t>GSTRI</t>
  </si>
  <si>
    <t>실제 시작일</t>
  </si>
  <si>
    <t>Actual start date</t>
  </si>
  <si>
    <t>TxStartDateTime</t>
  </si>
  <si>
    <t>실적 시작 시간</t>
  </si>
  <si>
    <t>GLTRI</t>
  </si>
  <si>
    <t>실제 종료일</t>
  </si>
  <si>
    <t>Actual end date</t>
  </si>
  <si>
    <t>TxEndDateTime</t>
  </si>
  <si>
    <t>실적 종료 시간</t>
  </si>
  <si>
    <t>CNFFLAG</t>
  </si>
  <si>
    <t>X : 마감(CNF 됨)</t>
  </si>
  <si>
    <t>X: Finish (CNF)</t>
  </si>
  <si>
    <t>ClosedFlag</t>
  </si>
  <si>
    <t>마감여부</t>
  </si>
  <si>
    <t>WEMNG</t>
  </si>
  <si>
    <t>오더품목 입고수량</t>
  </si>
  <si>
    <t>Order item wearing quantity</t>
  </si>
  <si>
    <t>ProdQty</t>
  </si>
  <si>
    <t>생산 수량 --&gt; 생산수량</t>
  </si>
  <si>
    <t>AUART</t>
  </si>
  <si>
    <t>오더유형</t>
  </si>
  <si>
    <t>Order type</t>
  </si>
  <si>
    <t>OrderType</t>
  </si>
  <si>
    <t>오더 유형(PP01 : 표준오더, PP99 :재작업오더 등과 같은 유형값)</t>
  </si>
  <si>
    <t>D: Delete</t>
  </si>
  <si>
    <t>매핑정의서 - 구매 오더
Purchase Order</t>
  </si>
  <si>
    <t>EKORG</t>
  </si>
  <si>
    <t>구매조직</t>
  </si>
  <si>
    <t>Purchasing organization</t>
  </si>
  <si>
    <t>PurchaseOrg</t>
  </si>
  <si>
    <t>EBELN</t>
  </si>
  <si>
    <t>구매오더 번호</t>
  </si>
  <si>
    <t>Purchase order number</t>
  </si>
  <si>
    <t>EBELP</t>
  </si>
  <si>
    <t>구매오더 품목번호</t>
  </si>
  <si>
    <t>Purchase order item number</t>
  </si>
  <si>
    <t>OrderLineID</t>
  </si>
  <si>
    <t>LIFNR</t>
  </si>
  <si>
    <t>공급업체</t>
  </si>
  <si>
    <t>Supplier</t>
  </si>
  <si>
    <t>EINDT</t>
  </si>
  <si>
    <t>품목 납품일</t>
  </si>
  <si>
    <t>Item delivery date</t>
  </si>
  <si>
    <t>DeliveryDate</t>
  </si>
  <si>
    <t>구매오더 수량</t>
  </si>
  <si>
    <t>Purchase order quantity</t>
  </si>
  <si>
    <t>WECMG </t>
  </si>
  <si>
    <t>구매오더 입고수량</t>
  </si>
  <si>
    <t>Purchased order quantity</t>
  </si>
  <si>
    <t>ReceiveQty</t>
  </si>
  <si>
    <t>구매오더 단위</t>
  </si>
  <si>
    <t>Purchase order unit</t>
  </si>
  <si>
    <t>ELIKZ</t>
  </si>
  <si>
    <t>납품완료여부('X' : 납품완료)</t>
  </si>
  <si>
    <t>Whether to complete the delivery ('X': Delivery complete)</t>
  </si>
  <si>
    <t>EPSTP</t>
  </si>
  <si>
    <t>L : 외주오더 품목</t>
  </si>
  <si>
    <t>L: Outsourcing order item</t>
  </si>
  <si>
    <t>외주오더 품목( 값이 L이면 외주 품목)</t>
  </si>
  <si>
    <t>매핑정의서 - 구매정보(ODM 원부자재)</t>
  </si>
  <si>
    <t>Source Table : ZPP_IF_INFOREC_SEND_SP</t>
    <phoneticPr fontId="4" type="noConversion"/>
  </si>
  <si>
    <t>Item Code</t>
  </si>
  <si>
    <t>ESOKZ</t>
  </si>
  <si>
    <t>구매정보레코드 범주</t>
  </si>
  <si>
    <t>Purchase information record category</t>
  </si>
  <si>
    <t>Category</t>
  </si>
  <si>
    <t>APLFZ</t>
  </si>
  <si>
    <t>계획납품기간</t>
  </si>
  <si>
    <t>Planning period</t>
  </si>
  <si>
    <t>LT</t>
  </si>
  <si>
    <t>Purchase group</t>
  </si>
  <si>
    <t>ProcGroup</t>
  </si>
  <si>
    <t>효력 시작일</t>
  </si>
  <si>
    <t>Effective Start date</t>
  </si>
  <si>
    <t>DATAI</t>
  </si>
  <si>
    <t>효력 종료일</t>
  </si>
  <si>
    <t>Effective End Date</t>
  </si>
  <si>
    <t>NETPR</t>
  </si>
  <si>
    <t>단가(1.구매오더,2.정보레코드)</t>
  </si>
  <si>
    <t>Unit price (1. Purchase Order, 2. Information Record)</t>
  </si>
  <si>
    <t>Curreny</t>
  </si>
  <si>
    <t>매핑정의서 - 협력사 마스터</t>
    <phoneticPr fontId="4" type="noConversion"/>
  </si>
  <si>
    <t>Source Table : ZPP_IF_VENDOR_SEND_SP</t>
    <phoneticPr fontId="4" type="noConversion"/>
  </si>
  <si>
    <t>공급업체 코드</t>
  </si>
  <si>
    <t>Supplier code</t>
  </si>
  <si>
    <t>공급업체명</t>
  </si>
  <si>
    <t>Name of supplier</t>
  </si>
  <si>
    <t>SupplierDesc</t>
  </si>
  <si>
    <t>매핑정의서 - 가용화 입고 실적
Available Warehousing Performance</t>
    <phoneticPr fontId="4" type="noConversion"/>
  </si>
  <si>
    <t>MBLNR</t>
  </si>
  <si>
    <t>자재문서 번호</t>
  </si>
  <si>
    <t>DocumentID</t>
  </si>
  <si>
    <t>MJAHR</t>
  </si>
  <si>
    <t>자재문서 연도</t>
  </si>
  <si>
    <t>Materials document year</t>
  </si>
  <si>
    <t>DocumentYear</t>
  </si>
  <si>
    <t>ZEILE</t>
  </si>
  <si>
    <t>자재문서 항목번호</t>
  </si>
  <si>
    <t>Materials document item number</t>
  </si>
  <si>
    <t>DeocumentNo</t>
  </si>
  <si>
    <t>CPUDT_MKPF</t>
  </si>
  <si>
    <t>입력일자(시점재고 입고일시)</t>
  </si>
  <si>
    <t>Input date (date and time in stock)</t>
  </si>
  <si>
    <t>TransactionDate</t>
  </si>
  <si>
    <t>CPUTM_MKPF</t>
  </si>
  <si>
    <t>입력시간</t>
  </si>
  <si>
    <t>TransactionTime</t>
  </si>
  <si>
    <t>LOCGRP</t>
  </si>
  <si>
    <t>로케이션 그룹</t>
  </si>
  <si>
    <t>Location group</t>
  </si>
  <si>
    <t>LocationGroup</t>
  </si>
  <si>
    <t>BWART</t>
  </si>
  <si>
    <t>이동유형</t>
  </si>
  <si>
    <t>Mobility</t>
  </si>
  <si>
    <t>MovingType</t>
  </si>
  <si>
    <t>수량</t>
  </si>
  <si>
    <t>quantity</t>
  </si>
  <si>
    <t>플랜트???</t>
    <phoneticPr fontId="4" type="noConversion"/>
  </si>
  <si>
    <t>매핑정의서 - 협력사 원부자재 재고
Inventory of suppliers raw materials</t>
    <phoneticPr fontId="4" type="noConversion"/>
  </si>
  <si>
    <t>VD_CD</t>
  </si>
  <si>
    <t>업체코드</t>
  </si>
  <si>
    <t>FIN_PROD_CD</t>
  </si>
  <si>
    <t>7자재코드</t>
  </si>
  <si>
    <t>협력사코드</t>
  </si>
  <si>
    <t>FIN_STK_QTY</t>
  </si>
  <si>
    <t>30,5</t>
  </si>
  <si>
    <t>7자재재고수량</t>
  </si>
  <si>
    <t>재고수량</t>
  </si>
  <si>
    <t>Stock Quantity</t>
  </si>
  <si>
    <t>MOD_DT</t>
  </si>
  <si>
    <t>수정일시</t>
  </si>
  <si>
    <t>INV_DATE</t>
  </si>
  <si>
    <t>O9 시스템 전송 조건 'N'전송대상, 'S'전송완료, 'E'전송에러</t>
  </si>
  <si>
    <t>O9 전송 결과 메시지</t>
  </si>
  <si>
    <t>매핑정의서 - SOP 잔량 Status 정보
SOP remaining information</t>
    <phoneticPr fontId="4" type="noConversion"/>
  </si>
  <si>
    <t>Source Table : ZSC_PIR_O9_SAP_002</t>
    <phoneticPr fontId="4" type="noConversion"/>
  </si>
  <si>
    <t>SOP_NR</t>
  </si>
  <si>
    <t>SOP 번호</t>
  </si>
  <si>
    <t>REQ_TYPE</t>
  </si>
  <si>
    <t>요청유형</t>
  </si>
  <si>
    <t>Request type</t>
  </si>
  <si>
    <t>ReqType</t>
  </si>
  <si>
    <t>S_VKORG</t>
  </si>
  <si>
    <t>공급법인</t>
  </si>
  <si>
    <t>Supply Corporation</t>
  </si>
  <si>
    <t>FromCompany</t>
  </si>
  <si>
    <t>ToCompany</t>
  </si>
  <si>
    <t>TR_AGENT</t>
  </si>
  <si>
    <t>TR Agent</t>
  </si>
  <si>
    <t>Tr agent</t>
  </si>
  <si>
    <t>TRAgent</t>
  </si>
  <si>
    <t>REQ_QTY</t>
  </si>
  <si>
    <t>요청량</t>
  </si>
  <si>
    <t>Request Quantity</t>
  </si>
  <si>
    <t>ReqQty</t>
  </si>
  <si>
    <t>REM_QTY</t>
  </si>
  <si>
    <t>요청잔량</t>
  </si>
  <si>
    <t>Request Remaining Quantity</t>
  </si>
  <si>
    <t>RemainQty</t>
  </si>
  <si>
    <t>RTN_TYPE</t>
  </si>
  <si>
    <t>타입</t>
  </si>
  <si>
    <t>type</t>
  </si>
  <si>
    <t>To Site_cd</t>
  </si>
  <si>
    <r>
      <t xml:space="preserve">sap에서 맵핑된 정보임/
</t>
    </r>
    <r>
      <rPr>
        <sz val="10"/>
        <color theme="1"/>
        <rFont val="맑은 고딕"/>
        <family val="3"/>
        <charset val="129"/>
        <scheme val="minor"/>
      </rPr>
      <t>아웃바운드에 있음 (cp-101)</t>
    </r>
    <phoneticPr fontId="4" type="noConversion"/>
  </si>
  <si>
    <t>매핑정의서 - 반제품 재고
Semi-product packaging material</t>
    <phoneticPr fontId="4" type="noConversion"/>
  </si>
  <si>
    <t>Source Table : MD04</t>
    <phoneticPr fontId="4" type="noConversion"/>
  </si>
  <si>
    <t>가용수량</t>
  </si>
  <si>
    <t>Water quantity</t>
  </si>
  <si>
    <t>반제품 재고 수량</t>
  </si>
  <si>
    <t>품질 검사 재고</t>
  </si>
  <si>
    <t>Quality inspection inventory</t>
  </si>
  <si>
    <t>LBLAB</t>
  </si>
  <si>
    <t>공급업체 위탁수량</t>
  </si>
  <si>
    <t>Supplier consignment quantity</t>
  </si>
  <si>
    <t>VendorQty</t>
  </si>
  <si>
    <t>단위</t>
    <phoneticPr fontId="4" type="noConversion"/>
  </si>
  <si>
    <t>SELDAT</t>
  </si>
  <si>
    <t>일자(조회일)</t>
  </si>
  <si>
    <t>Date (inquiry date)</t>
  </si>
  <si>
    <t>매핑정의서 - Role 권한 승인 정보
Role approval information</t>
    <phoneticPr fontId="4" type="noConversion"/>
  </si>
  <si>
    <t>Source Table : EX_IF_ROLE</t>
    <phoneticPr fontId="4" type="noConversion"/>
  </si>
  <si>
    <t>SYS_CODE</t>
  </si>
  <si>
    <t xml:space="preserve">64 </t>
  </si>
  <si>
    <t>시스템코드</t>
  </si>
  <si>
    <t>System code</t>
  </si>
  <si>
    <t xml:space="preserve">20 </t>
  </si>
  <si>
    <t>로그인 아이디</t>
  </si>
  <si>
    <t>Login ID</t>
  </si>
  <si>
    <t>UserID</t>
  </si>
  <si>
    <t>사번</t>
  </si>
  <si>
    <t>Employee Number</t>
  </si>
  <si>
    <t>ROLE_CODE</t>
  </si>
  <si>
    <t xml:space="preserve">30 </t>
  </si>
  <si>
    <t>역할 코드정보</t>
  </si>
  <si>
    <t>Role Code Information</t>
  </si>
  <si>
    <t>UserRole</t>
  </si>
  <si>
    <t>Role</t>
  </si>
  <si>
    <t>UpdateDate</t>
  </si>
  <si>
    <t>REG_DT</t>
  </si>
  <si>
    <t>등록일</t>
  </si>
  <si>
    <t>Registration date</t>
  </si>
  <si>
    <t>CreateDate</t>
  </si>
  <si>
    <t>CUD(EAI에서 셋팅)</t>
    <phoneticPr fontId="4" type="noConversion"/>
  </si>
  <si>
    <t>매핑정의서 - 계정 승인 정보
Account approval information</t>
    <phoneticPr fontId="4" type="noConversion"/>
  </si>
  <si>
    <t>Source Table : EX_IF_USER, EX_IF_RES_USER</t>
    <phoneticPr fontId="4" type="noConversion"/>
  </si>
  <si>
    <t>이름</t>
  </si>
  <si>
    <t>name</t>
  </si>
  <si>
    <t>UserName</t>
  </si>
  <si>
    <t>EMAIL</t>
  </si>
  <si>
    <t>Email</t>
  </si>
  <si>
    <t>UserEmail</t>
  </si>
  <si>
    <t>DEL_DT</t>
  </si>
  <si>
    <t>삭제일</t>
  </si>
  <si>
    <t>Deletion date</t>
  </si>
  <si>
    <t>DeleteDate</t>
  </si>
  <si>
    <t>Modified date and time</t>
  </si>
  <si>
    <t>CUD(상세 설명 하단 참조)</t>
  </si>
  <si>
    <t>CUD (see the bottom description below)</t>
  </si>
  <si>
    <t>1) 싱글플랫폼에 처음으로 권한이 등록되는 신규 유저의 경우에는 CUD 필드값을 "C"로 하여 전송
2) 기존에 싱글플랫폼에 권한 등록된 유저에게 권한이 추가되는 경우에는 추가되는 권한명을 Role 필드에, CUD 필드값은 "U"로 하여 전송
3) 기존에 싱글플랫폼에 권한 등록된 유저의 권한이 제거되는 경우에는 제거되는 권한명을 Role 필드에, CUD 필드값은 "D"로 하여 전송
4) 부서가 변경되어 기본 권한이 부여되는 유저의 경우 기본 권한명을 Role 필드에, CUD 필드값은 "U"로 하여 전송
1) For new users whose permissions are registered on a single platform for the first time, send the CUD field value to "C"
2) If permissions are added to a user who has previously registered permissions on a single platform, send the added permission name to the Role field and the CUD field value to "U"
3) If the permission of a user who has previously registered permissions on a single platform is removed, send the permission name to the Role field and the CUD field value to "D"
4) Send default permission name to Role field and CUD field value to "U" for users who are given default permissions due to department changes</t>
    <phoneticPr fontId="4" type="noConversion"/>
  </si>
  <si>
    <t>매핑정의서 - CP 코드 마스터
CP code master</t>
    <phoneticPr fontId="4" type="noConversion"/>
  </si>
  <si>
    <t>Source Table : ZSD_SEND_TEXT_01</t>
    <phoneticPr fontId="4" type="noConversion"/>
  </si>
  <si>
    <t>Target Table : ALIFCI_CP_CD_MSTR</t>
  </si>
  <si>
    <t>CODE</t>
  </si>
  <si>
    <t>Code</t>
  </si>
  <si>
    <t>CODENM</t>
  </si>
  <si>
    <t>Code Description</t>
  </si>
  <si>
    <t>CodeDesc</t>
  </si>
  <si>
    <t>CODEKEY</t>
  </si>
  <si>
    <t xml:space="preserve">코드키 </t>
  </si>
  <si>
    <t>Code key</t>
  </si>
  <si>
    <t>CodeKey</t>
  </si>
  <si>
    <t>LANGU</t>
  </si>
  <si>
    <t>언어</t>
  </si>
  <si>
    <t>language</t>
  </si>
  <si>
    <t>Lang</t>
  </si>
  <si>
    <t>CODEKEY_DESC</t>
  </si>
  <si>
    <t xml:space="preserve">코드키내역 </t>
  </si>
  <si>
    <t>Code Keynae Station</t>
  </si>
  <si>
    <t>CodeKeyDesc</t>
  </si>
  <si>
    <t>Transflag</t>
  </si>
  <si>
    <t>ID#AAAAwkmaw3M</t>
  </si>
  <si>
    <t>AC800097    (2023-05-11 05:12:59)</t>
  </si>
  <si>
    <t>A001 회사코드</t>
  </si>
  <si>
    <t>A002 국가코드</t>
  </si>
  <si>
    <t>A003 영업조직코드</t>
  </si>
  <si>
    <t>A004 BU코드</t>
  </si>
  <si>
    <t>A005 하위영업경로코드</t>
  </si>
  <si>
    <t>A006 PG그룹코드</t>
  </si>
  <si>
    <t>A007 PG유형코드로 정의하고 코드키를 보내드릴 것입니다. SAP기준으로 맵핑 부탁드립니다.</t>
  </si>
  <si>
    <t xml:space="preserve">** 2025-11-25 </t>
    <phoneticPr fontId="4" type="noConversion"/>
  </si>
  <si>
    <t>A001</t>
  </si>
  <si>
    <t>A002</t>
  </si>
  <si>
    <t>국가코드</t>
  </si>
  <si>
    <t>A003</t>
  </si>
  <si>
    <t>영업조직코드</t>
  </si>
  <si>
    <t>A004</t>
  </si>
  <si>
    <t>BU코드</t>
  </si>
  <si>
    <t>A005</t>
  </si>
  <si>
    <t>A006</t>
  </si>
  <si>
    <t>PG그룹코드</t>
  </si>
  <si>
    <t>A007</t>
  </si>
  <si>
    <t>PG유형코드</t>
  </si>
  <si>
    <t>A008</t>
  </si>
  <si>
    <t xml:space="preserve">브랜드그룹 </t>
  </si>
  <si>
    <t>A009</t>
  </si>
  <si>
    <t>A010</t>
  </si>
  <si>
    <t>A011</t>
  </si>
  <si>
    <t>세트구분</t>
  </si>
  <si>
    <t>A012</t>
  </si>
  <si>
    <t>A013</t>
  </si>
  <si>
    <t>제품계층구조(레벨)</t>
  </si>
  <si>
    <t>A014</t>
  </si>
  <si>
    <t>A015</t>
  </si>
  <si>
    <t xml:space="preserve">영업지역 </t>
  </si>
  <si>
    <t>A016</t>
  </si>
  <si>
    <t>A017</t>
  </si>
  <si>
    <t>A018</t>
  </si>
  <si>
    <t xml:space="preserve">거래처그룹 </t>
  </si>
  <si>
    <t>A019</t>
  </si>
  <si>
    <t>A020</t>
  </si>
  <si>
    <t>A021</t>
  </si>
  <si>
    <t>A022</t>
  </si>
  <si>
    <t>A023</t>
  </si>
  <si>
    <t>계정결정그룹</t>
  </si>
  <si>
    <t>A024</t>
    <phoneticPr fontId="7" type="noConversion"/>
  </si>
  <si>
    <t>고객유형</t>
    <phoneticPr fontId="7" type="noConversion"/>
  </si>
  <si>
    <t>B001</t>
  </si>
  <si>
    <t xml:space="preserve">로케이션그룹명 </t>
  </si>
  <si>
    <t>B002</t>
  </si>
  <si>
    <t>B003</t>
  </si>
  <si>
    <t>B004</t>
  </si>
  <si>
    <t xml:space="preserve">구매그룹명 </t>
  </si>
  <si>
    <t>B005</t>
  </si>
  <si>
    <t xml:space="preserve">상품개발담당자 </t>
  </si>
  <si>
    <t>B006</t>
  </si>
  <si>
    <t xml:space="preserve">브랜드코드 </t>
  </si>
  <si>
    <t>B007</t>
  </si>
  <si>
    <t>B008</t>
  </si>
  <si>
    <t>B009</t>
  </si>
  <si>
    <t>신제품여부</t>
  </si>
  <si>
    <t>B010</t>
  </si>
  <si>
    <t>B011</t>
  </si>
  <si>
    <t xml:space="preserve">대표상품 </t>
  </si>
  <si>
    <t>B012</t>
  </si>
  <si>
    <t>제품의주기능</t>
  </si>
  <si>
    <t>B013</t>
  </si>
  <si>
    <t>제품카테고리</t>
  </si>
  <si>
    <t>Top</t>
  </si>
  <si>
    <t>매핑정의서 - 공장달력 인터페이스
Plant Calendar Interface</t>
    <phoneticPr fontId="4" type="noConversion"/>
  </si>
  <si>
    <t>Source Table : ZME_MES_FACTORY_CAL</t>
    <phoneticPr fontId="4" type="noConversion"/>
  </si>
  <si>
    <t>IDENT</t>
  </si>
  <si>
    <t>공장 달력</t>
  </si>
  <si>
    <t>Plant Calendar</t>
  </si>
  <si>
    <t>CalendarID</t>
  </si>
  <si>
    <t>공장 달력 ID</t>
  </si>
  <si>
    <t>JAHR</t>
  </si>
  <si>
    <t xml:space="preserve">저장연도 </t>
  </si>
  <si>
    <t>Zetal</t>
  </si>
  <si>
    <t>Year</t>
  </si>
  <si>
    <t>연도</t>
  </si>
  <si>
    <t xml:space="preserve">플랜트 </t>
  </si>
  <si>
    <t>MON01</t>
  </si>
  <si>
    <t>달력: 일 수(월)</t>
  </si>
  <si>
    <t>Calendar: Daily (Mon)</t>
  </si>
  <si>
    <t>M1</t>
  </si>
  <si>
    <t>Month1</t>
  </si>
  <si>
    <t>MON02</t>
  </si>
  <si>
    <t>M2</t>
  </si>
  <si>
    <t>Month2</t>
  </si>
  <si>
    <t>MON03</t>
  </si>
  <si>
    <t>M3</t>
  </si>
  <si>
    <t>Month3</t>
  </si>
  <si>
    <t>MON04</t>
  </si>
  <si>
    <t>M4</t>
  </si>
  <si>
    <t>Month4</t>
  </si>
  <si>
    <t>MON05</t>
  </si>
  <si>
    <t>M5</t>
  </si>
  <si>
    <t>Month5</t>
  </si>
  <si>
    <t>MON06</t>
  </si>
  <si>
    <t>M6</t>
  </si>
  <si>
    <t>Month6</t>
  </si>
  <si>
    <t>MON07</t>
  </si>
  <si>
    <t>M7</t>
  </si>
  <si>
    <t>Month7</t>
  </si>
  <si>
    <t>MON08</t>
  </si>
  <si>
    <t>M8</t>
  </si>
  <si>
    <t>Month8</t>
  </si>
  <si>
    <t>MON09</t>
  </si>
  <si>
    <t>M9</t>
  </si>
  <si>
    <t>Month9</t>
  </si>
  <si>
    <t>MON10</t>
  </si>
  <si>
    <t>M10</t>
  </si>
  <si>
    <t>Month10</t>
  </si>
  <si>
    <t>MON11</t>
  </si>
  <si>
    <t>M11</t>
  </si>
  <si>
    <t>Month11</t>
  </si>
  <si>
    <t>MON12</t>
  </si>
  <si>
    <t>M12</t>
  </si>
  <si>
    <t>Month12</t>
  </si>
  <si>
    <t>BASIS</t>
  </si>
  <si>
    <t>공장일 번호매기기 시작</t>
  </si>
  <si>
    <t>Starting a factory number</t>
  </si>
  <si>
    <t>Xnumber</t>
  </si>
  <si>
    <t>FENUM</t>
  </si>
  <si>
    <t>일 수(연)</t>
  </si>
  <si>
    <t>Daily(Year)</t>
  </si>
  <si>
    <t>HolidayCount</t>
  </si>
  <si>
    <t>WENUM</t>
  </si>
  <si>
    <t xml:space="preserve">연간 근무일 수 </t>
  </si>
  <si>
    <t>The number of annual work</t>
  </si>
  <si>
    <t>WorkingDayCount</t>
  </si>
  <si>
    <t>연간 근무일 수</t>
  </si>
  <si>
    <t xml:space="preserve">매핑정의서 - 유통사 판매 재고
</t>
    <phoneticPr fontId="4" type="noConversion"/>
  </si>
  <si>
    <t>CDP</t>
    <phoneticPr fontId="4" type="noConversion"/>
  </si>
  <si>
    <t>Source Table : cdp.sf_cdpdw.F_DSTR_INVN_HIST</t>
    <phoneticPr fontId="4" type="noConversion"/>
  </si>
  <si>
    <t>STND_YMD</t>
  </si>
  <si>
    <t>기준년월일자</t>
    <phoneticPr fontId="37" type="noConversion"/>
  </si>
  <si>
    <t>NVARCHAR2</t>
  </si>
  <si>
    <t>기준년월일자</t>
  </si>
  <si>
    <t>CNTR_CD</t>
  </si>
  <si>
    <t>국가코드</t>
    <phoneticPr fontId="37" type="noConversion"/>
  </si>
  <si>
    <t>Country Code.</t>
    <phoneticPr fontId="37" type="noConversion"/>
  </si>
  <si>
    <t>Country Code.</t>
  </si>
  <si>
    <t>CNTR_GRP_CD</t>
  </si>
  <si>
    <t>국가그룹코드</t>
    <phoneticPr fontId="37" type="noConversion"/>
  </si>
  <si>
    <t>Country Group Code</t>
    <phoneticPr fontId="37" type="noConversion"/>
  </si>
  <si>
    <t>국가그룹코드</t>
  </si>
  <si>
    <t>Country Group Code</t>
  </si>
  <si>
    <t>CLCT_MTHD_CD</t>
  </si>
  <si>
    <t>수집방법코드</t>
    <phoneticPr fontId="37" type="noConversion"/>
  </si>
  <si>
    <t>수집방법코드</t>
  </si>
  <si>
    <t>DSTR_CD</t>
  </si>
  <si>
    <t>유통사코드</t>
    <phoneticPr fontId="37" type="noConversion"/>
  </si>
  <si>
    <t>Distribution Code.</t>
    <phoneticPr fontId="37" type="noConversion"/>
  </si>
  <si>
    <t>유통사코드</t>
  </si>
  <si>
    <t>Distribution Code.</t>
  </si>
  <si>
    <t>SLS_ORG_CD</t>
  </si>
  <si>
    <t>영업조직코드</t>
    <phoneticPr fontId="37" type="noConversion"/>
  </si>
  <si>
    <t>PRTN_Q_CD</t>
  </si>
  <si>
    <t>거래처Q코드</t>
    <phoneticPr fontId="37" type="noConversion"/>
  </si>
  <si>
    <t>거래처Q코드</t>
  </si>
  <si>
    <t>PRTN_ID</t>
    <phoneticPr fontId="4" type="noConversion"/>
  </si>
  <si>
    <t>Partner Code</t>
    <phoneticPr fontId="37" type="noConversion"/>
  </si>
  <si>
    <t>PRTN_ID</t>
  </si>
  <si>
    <t>Partner Code</t>
  </si>
  <si>
    <t>DSTR_SHOP_CD</t>
  </si>
  <si>
    <t>유통사매장코드</t>
    <phoneticPr fontId="37" type="noConversion"/>
  </si>
  <si>
    <t>유통사매장코드</t>
  </si>
  <si>
    <t>DSTR_SHOP_NM</t>
  </si>
  <si>
    <t>유통사매장명</t>
    <phoneticPr fontId="37" type="noConversion"/>
  </si>
  <si>
    <t>유통사매장명</t>
  </si>
  <si>
    <t>브랜드코드</t>
    <phoneticPr fontId="37" type="noConversion"/>
  </si>
  <si>
    <t>DSTR_SKU_ID</t>
  </si>
  <si>
    <t>유통사상품코드</t>
    <phoneticPr fontId="37" type="noConversion"/>
  </si>
  <si>
    <t>유통사상품코드</t>
  </si>
  <si>
    <t>DSTR_SKU_NM</t>
  </si>
  <si>
    <t>유통사상품명</t>
    <phoneticPr fontId="37" type="noConversion"/>
  </si>
  <si>
    <t>유통사상품명</t>
  </si>
  <si>
    <t>상품바코드코드</t>
    <phoneticPr fontId="37" type="noConversion"/>
  </si>
  <si>
    <t>상품코드</t>
    <phoneticPr fontId="37" type="noConversion"/>
  </si>
  <si>
    <t>CURR_CD</t>
  </si>
  <si>
    <t>통화코드</t>
    <phoneticPr fontId="37" type="noConversion"/>
  </si>
  <si>
    <t>통화코드</t>
  </si>
  <si>
    <t>INVN_QTY</t>
  </si>
  <si>
    <t>재고수량</t>
    <phoneticPr fontId="37" type="noConversion"/>
  </si>
  <si>
    <t>WRHS_QTY</t>
  </si>
  <si>
    <t>입고수량</t>
    <phoneticPr fontId="37" type="noConversion"/>
  </si>
  <si>
    <t>주문수량</t>
    <phoneticPr fontId="37" type="noConversion"/>
  </si>
  <si>
    <t>입고수량</t>
  </si>
  <si>
    <t>주문수량</t>
  </si>
  <si>
    <t>RLS_QTY</t>
  </si>
  <si>
    <t>출고수량</t>
    <phoneticPr fontId="37" type="noConversion"/>
  </si>
  <si>
    <t>출고수량</t>
  </si>
  <si>
    <t>PRCH_PRPR</t>
  </si>
  <si>
    <t>매입원가</t>
    <phoneticPr fontId="37" type="noConversion"/>
  </si>
  <si>
    <t>매입원가</t>
  </si>
  <si>
    <t>ORN_INSD_UTPR_AMT</t>
  </si>
  <si>
    <t>발생통화내부단가금액</t>
    <phoneticPr fontId="37" type="noConversion"/>
  </si>
  <si>
    <t>발생통화내부단가금액</t>
  </si>
  <si>
    <t>INSD_UTPR_AMT</t>
  </si>
  <si>
    <t>내부단가금액</t>
    <phoneticPr fontId="37" type="noConversion"/>
  </si>
  <si>
    <t>내부단가금액</t>
  </si>
  <si>
    <t>ETL_PROC_DTTM</t>
  </si>
  <si>
    <t>ETL처리일시</t>
    <phoneticPr fontId="37" type="noConversion"/>
  </si>
  <si>
    <t>ETL Processing Date.'</t>
    <phoneticPr fontId="37" type="noConversion"/>
  </si>
  <si>
    <t>ETL처리일시</t>
  </si>
  <si>
    <t>ETL Processing Date.'</t>
  </si>
  <si>
    <t xml:space="preserve">매핑정의서 - 유통사 판매 재고(월집계)
</t>
    <phoneticPr fontId="4" type="noConversion"/>
  </si>
  <si>
    <t>Source Table : cdp.sf_cdpdw.F_DSTR_INVN_M_HIST</t>
    <phoneticPr fontId="4" type="noConversion"/>
  </si>
  <si>
    <t xml:space="preserve">STND_YM DATE </t>
    <phoneticPr fontId="37" type="noConversion"/>
  </si>
  <si>
    <t>기준년월</t>
    <phoneticPr fontId="37" type="noConversion"/>
  </si>
  <si>
    <t xml:space="preserve">STND_YM DATE </t>
  </si>
  <si>
    <t>기준년월</t>
  </si>
  <si>
    <t>CNTR_CD</t>
    <phoneticPr fontId="37" type="noConversion"/>
  </si>
  <si>
    <t>CNTR_GRP_CD</t>
    <phoneticPr fontId="37" type="noConversion"/>
  </si>
  <si>
    <t>CLCT_MTHD_CD</t>
    <phoneticPr fontId="37" type="noConversion"/>
  </si>
  <si>
    <t>DSTR_CD</t>
    <phoneticPr fontId="37" type="noConversion"/>
  </si>
  <si>
    <t>SLS_ORG_CD</t>
    <phoneticPr fontId="37" type="noConversion"/>
  </si>
  <si>
    <t>PRD_CD</t>
    <phoneticPr fontId="37" type="noConversion"/>
  </si>
  <si>
    <t xml:space="preserve">CURR_CD </t>
    <phoneticPr fontId="37" type="noConversion"/>
  </si>
  <si>
    <t>INVN_ST_CD</t>
    <phoneticPr fontId="37" type="noConversion"/>
  </si>
  <si>
    <t>재고상태코드</t>
    <phoneticPr fontId="37" type="noConversion"/>
  </si>
  <si>
    <t>INVN_QTY</t>
    <phoneticPr fontId="37" type="noConversion"/>
  </si>
  <si>
    <t>ORN_INVN_AMT</t>
    <phoneticPr fontId="37" type="noConversion"/>
  </si>
  <si>
    <t>발생통화재고금액</t>
    <phoneticPr fontId="37" type="noConversion"/>
  </si>
  <si>
    <t>INVN_AMT</t>
    <phoneticPr fontId="37" type="noConversion"/>
  </si>
  <si>
    <t>재고금액</t>
    <phoneticPr fontId="37" type="noConversion"/>
  </si>
  <si>
    <t>WRHS_QTY</t>
    <phoneticPr fontId="37" type="noConversion"/>
  </si>
  <si>
    <t>RLS_QTY</t>
    <phoneticPr fontId="37" type="noConversion"/>
  </si>
  <si>
    <t>ORN_RLS_AMT</t>
    <phoneticPr fontId="37" type="noConversion"/>
  </si>
  <si>
    <t>발생통화_출고금액</t>
    <phoneticPr fontId="37" type="noConversion"/>
  </si>
  <si>
    <t>RLS_AMT</t>
    <phoneticPr fontId="37" type="noConversion"/>
  </si>
  <si>
    <t>출고금액</t>
    <phoneticPr fontId="37" type="noConversion"/>
  </si>
  <si>
    <t>ORN_ACCM_INVN_AMT</t>
    <phoneticPr fontId="37" type="noConversion"/>
  </si>
  <si>
    <t>발생통화누적재고금액</t>
    <phoneticPr fontId="37" type="noConversion"/>
  </si>
  <si>
    <t>ORN_ACCM_RLS_AMT</t>
    <phoneticPr fontId="37" type="noConversion"/>
  </si>
  <si>
    <t>발생통화누적출고금액</t>
    <phoneticPr fontId="37" type="noConversion"/>
  </si>
  <si>
    <t>ORN_DSMN_BF_ACNT_SAL_AMT</t>
    <phoneticPr fontId="37" type="noConversion"/>
  </si>
  <si>
    <t>발생통화해체전순매출금액</t>
    <phoneticPr fontId="37" type="noConversion"/>
  </si>
  <si>
    <t>DSMN_BF_ACNT_SAL_AMT</t>
    <phoneticPr fontId="37" type="noConversion"/>
  </si>
  <si>
    <t>해체전순매출금액</t>
    <phoneticPr fontId="37" type="noConversion"/>
  </si>
  <si>
    <t>DSMN_BF_ACNT_SAL_QTY</t>
    <phoneticPr fontId="37" type="noConversion"/>
  </si>
  <si>
    <t>해체전순매출수량</t>
    <phoneticPr fontId="37" type="noConversion"/>
  </si>
  <si>
    <t>NORM_DSMN_BF_ACNT_SAL_QTY</t>
    <phoneticPr fontId="37" type="noConversion"/>
  </si>
  <si>
    <t>정상해체전순매출수량</t>
    <phoneticPr fontId="37" type="noConversion"/>
  </si>
  <si>
    <t>ORN_INSD_UTPR_AMT</t>
    <phoneticPr fontId="37" type="noConversion"/>
  </si>
  <si>
    <t>ETL_PROC_DTTM TIMESTAMP</t>
    <phoneticPr fontId="37" type="noConversion"/>
  </si>
  <si>
    <t xml:space="preserve">매핑정의서 - 유통사 오더수량(발수)
</t>
    <phoneticPr fontId="4" type="noConversion"/>
  </si>
  <si>
    <t xml:space="preserve">Source Table : </t>
    <phoneticPr fontId="4" type="noConversion"/>
  </si>
  <si>
    <t xml:space="preserve">매핑정의서 - 재고 Aging 상태 
</t>
    <phoneticPr fontId="4" type="noConversion"/>
  </si>
  <si>
    <t>CDP.SF_CDPDW.TEMP_AP3505195_F_GWMS_QW_HIST</t>
    <phoneticPr fontId="4" type="noConversion"/>
  </si>
  <si>
    <t>Source Table : SF_CDPDW.TEMP_AP3505195_F_GWMS_QW_HIST(임시)</t>
    <phoneticPr fontId="4" type="noConversion"/>
  </si>
  <si>
    <t>VALUE</t>
  </si>
  <si>
    <t>VALUE_VAL</t>
  </si>
  <si>
    <t>PARTITIONKEY</t>
  </si>
  <si>
    <t>국가</t>
    <phoneticPr fontId="4" type="noConversion"/>
  </si>
  <si>
    <t>PROVIDER_NAME</t>
  </si>
  <si>
    <t>3PL Provider Name</t>
  </si>
  <si>
    <t>CLIENT</t>
  </si>
  <si>
    <t>화주</t>
    <phoneticPr fontId="4" type="noConversion"/>
  </si>
  <si>
    <t>화주</t>
  </si>
  <si>
    <t>BRAND_NAME</t>
  </si>
  <si>
    <t>브랜드명</t>
    <phoneticPr fontId="4" type="noConversion"/>
  </si>
  <si>
    <t>브랜드명</t>
  </si>
  <si>
    <t>SKU</t>
  </si>
  <si>
    <t>제품코드</t>
    <phoneticPr fontId="4" type="noConversion"/>
  </si>
  <si>
    <t>PRODUCT_NAME</t>
  </si>
  <si>
    <t>제품명(현지)</t>
    <phoneticPr fontId="4" type="noConversion"/>
  </si>
  <si>
    <t>제품명(현지)</t>
  </si>
  <si>
    <t>STORAGE_BIN</t>
  </si>
  <si>
    <t>저장빈</t>
    <phoneticPr fontId="4" type="noConversion"/>
  </si>
  <si>
    <t>저장빈</t>
  </si>
  <si>
    <t>QTY</t>
  </si>
  <si>
    <t>가용수량</t>
    <phoneticPr fontId="4" type="noConversion"/>
  </si>
  <si>
    <t>PRODUCT_TYPE</t>
  </si>
  <si>
    <t>본판구분</t>
  </si>
  <si>
    <t>LOT_NO</t>
  </si>
  <si>
    <t>롯트넘버</t>
    <phoneticPr fontId="4" type="noConversion"/>
  </si>
  <si>
    <t>롯트넘버</t>
  </si>
  <si>
    <t>EXPIRATION_DATE</t>
  </si>
  <si>
    <t>사용기한</t>
    <phoneticPr fontId="4" type="noConversion"/>
  </si>
  <si>
    <t>사용기한</t>
  </si>
  <si>
    <t>INBOUND_DATE</t>
  </si>
  <si>
    <t>입고일자</t>
  </si>
  <si>
    <t>LAST_OUTBOUND_DATE</t>
  </si>
  <si>
    <t>최종출고일</t>
  </si>
  <si>
    <t>STOCK_STATUS</t>
  </si>
  <si>
    <t>재고상태</t>
  </si>
  <si>
    <t>QUALITY_STATUS</t>
  </si>
  <si>
    <t>BASE_UNIT</t>
  </si>
  <si>
    <t>주문단위</t>
  </si>
  <si>
    <t>DAY_KEY</t>
  </si>
  <si>
    <t>IDX</t>
  </si>
  <si>
    <t>ZONE</t>
  </si>
  <si>
    <t>STORAGE_TYPE</t>
  </si>
  <si>
    <t>로케이션종류</t>
  </si>
  <si>
    <t>팔레트-쉘프-평치등</t>
    <phoneticPr fontId="4" type="noConversion"/>
  </si>
  <si>
    <t>팔레트-쉘프-평치등</t>
  </si>
  <si>
    <t>MANUFACTURING_DATE</t>
  </si>
  <si>
    <t>제조일자</t>
  </si>
  <si>
    <t>BOXES_PER_PALLET</t>
  </si>
  <si>
    <t>팔레트 입수</t>
  </si>
  <si>
    <t>UNITS_PER_BOX</t>
  </si>
  <si>
    <t>박스 입수</t>
  </si>
  <si>
    <t>UNITS_PER_INNER_BOX</t>
  </si>
  <si>
    <t>ta 입수</t>
  </si>
  <si>
    <t>FILE_NAME</t>
  </si>
  <si>
    <t>CREATED_AT</t>
  </si>
  <si>
    <t>BRND_NM</t>
  </si>
  <si>
    <t>제품명(KO)</t>
    <phoneticPr fontId="4" type="noConversion"/>
  </si>
  <si>
    <t>제품명(KO)</t>
  </si>
  <si>
    <t>대표상품코드</t>
    <phoneticPr fontId="4" type="noConversion"/>
  </si>
  <si>
    <t>대표상품명</t>
    <phoneticPr fontId="4" type="noConversion"/>
  </si>
  <si>
    <t>통화</t>
    <phoneticPr fontId="4" type="noConversion"/>
  </si>
  <si>
    <t xml:space="preserve">매핑정의서 - 엔진상품 리스트
</t>
    <phoneticPr fontId="4" type="noConversion"/>
  </si>
  <si>
    <t>Source Table : cdp.sf_cdpdw.D_USER_DFN_PRD_GRP_MSTR</t>
    <phoneticPr fontId="4" type="noConversion"/>
  </si>
  <si>
    <t>BU_NM</t>
    <phoneticPr fontId="37" type="noConversion"/>
  </si>
  <si>
    <t>부문명</t>
    <phoneticPr fontId="37" type="noConversion"/>
  </si>
  <si>
    <t>BU_NM</t>
  </si>
  <si>
    <t>부문명</t>
  </si>
  <si>
    <t>SLS_TEAM_NM</t>
    <phoneticPr fontId="37" type="noConversion"/>
  </si>
  <si>
    <t>팀명</t>
    <phoneticPr fontId="37" type="noConversion"/>
  </si>
  <si>
    <t>SLS_TEAM_NM</t>
  </si>
  <si>
    <t>팀명</t>
  </si>
  <si>
    <t>PRD_GRP_0</t>
    <phoneticPr fontId="37" type="noConversion"/>
  </si>
  <si>
    <t>상품그룹0</t>
    <phoneticPr fontId="37" type="noConversion"/>
  </si>
  <si>
    <t>PRD_GRP_0</t>
  </si>
  <si>
    <t>상품그룹0</t>
  </si>
  <si>
    <t>PRD_GRP_1</t>
    <phoneticPr fontId="37" type="noConversion"/>
  </si>
  <si>
    <t>상품그룹1</t>
    <phoneticPr fontId="37" type="noConversion"/>
  </si>
  <si>
    <t>PRD_GRP_1</t>
  </si>
  <si>
    <t>상품그룹1</t>
  </si>
  <si>
    <t>PRD_GRP_2</t>
    <phoneticPr fontId="37" type="noConversion"/>
  </si>
  <si>
    <t>상품그룹2</t>
    <phoneticPr fontId="37" type="noConversion"/>
  </si>
  <si>
    <t>PRD_GRP_2</t>
  </si>
  <si>
    <t>상품그룹2</t>
  </si>
  <si>
    <t>PRD_GRP_3</t>
    <phoneticPr fontId="37" type="noConversion"/>
  </si>
  <si>
    <t>상품그룹3</t>
    <phoneticPr fontId="37" type="noConversion"/>
  </si>
  <si>
    <t>PRD_GRP_3</t>
  </si>
  <si>
    <t>상품그룹3</t>
  </si>
  <si>
    <t>PRD_GRP_4</t>
    <phoneticPr fontId="37" type="noConversion"/>
  </si>
  <si>
    <t>상품그룹4</t>
    <phoneticPr fontId="37" type="noConversion"/>
  </si>
  <si>
    <t>PRD_GRP_4</t>
  </si>
  <si>
    <t>상품그룹4</t>
  </si>
  <si>
    <t>PRD_GRP_5</t>
    <phoneticPr fontId="37" type="noConversion"/>
  </si>
  <si>
    <t>상품그룹5</t>
    <phoneticPr fontId="37" type="noConversion"/>
  </si>
  <si>
    <t>PRD_GRP_5</t>
  </si>
  <si>
    <t>상품그룹5</t>
  </si>
  <si>
    <t>PRD_GRP_6</t>
    <phoneticPr fontId="37" type="noConversion"/>
  </si>
  <si>
    <t>상품그룹6</t>
    <phoneticPr fontId="37" type="noConversion"/>
  </si>
  <si>
    <t>PRD_GRP_6</t>
  </si>
  <si>
    <t>상품그룹6</t>
  </si>
  <si>
    <t>PRD_GRP_7</t>
    <phoneticPr fontId="37" type="noConversion"/>
  </si>
  <si>
    <t>상품그룹7</t>
    <phoneticPr fontId="37" type="noConversion"/>
  </si>
  <si>
    <t>PRD_GRP_7</t>
  </si>
  <si>
    <t>상품그룹7</t>
  </si>
  <si>
    <t>PRD_GRP_8</t>
    <phoneticPr fontId="37" type="noConversion"/>
  </si>
  <si>
    <t>상품그룹8</t>
    <phoneticPr fontId="37" type="noConversion"/>
  </si>
  <si>
    <t>PRD_GRP_8</t>
  </si>
  <si>
    <t>상품그룹8</t>
  </si>
  <si>
    <t>PRD_GRP_9</t>
    <phoneticPr fontId="37" type="noConversion"/>
  </si>
  <si>
    <t>상품그룹9</t>
    <phoneticPr fontId="37" type="noConversion"/>
  </si>
  <si>
    <t>PRD_GRP_9</t>
  </si>
  <si>
    <t>상품그룹9</t>
  </si>
  <si>
    <t>ETL_PROC_DTTM TIMESTAMP</t>
  </si>
  <si>
    <t>매핑정의서 -DP-42-1.자재정보추가_BW</t>
    <phoneticPr fontId="4" type="noConversion"/>
  </si>
  <si>
    <t>0MATERIAL</t>
    <phoneticPr fontId="37" type="noConversion"/>
  </si>
  <si>
    <t>ITEM</t>
  </si>
  <si>
    <t>O</t>
  </si>
  <si>
    <t>ZDBSBIG</t>
    <phoneticPr fontId="37" type="noConversion"/>
  </si>
  <si>
    <t>DBS 제품대유형</t>
  </si>
  <si>
    <t>ZDBSBIG</t>
  </si>
  <si>
    <t>ZDBSMID</t>
    <phoneticPr fontId="37" type="noConversion"/>
  </si>
  <si>
    <t>DBS 제품중유형</t>
  </si>
  <si>
    <t>ZDBSMID</t>
  </si>
  <si>
    <t>ZDBSSML</t>
    <phoneticPr fontId="37" type="noConversion"/>
  </si>
  <si>
    <t>DBS 제품소유형</t>
  </si>
  <si>
    <t>ZDBSSML</t>
  </si>
  <si>
    <t>ZDBSBRLNB</t>
  </si>
  <si>
    <r>
      <t xml:space="preserve">DBS </t>
    </r>
    <r>
      <rPr>
        <sz val="10"/>
        <color theme="1"/>
        <rFont val="돋움"/>
        <family val="3"/>
        <charset val="129"/>
      </rPr>
      <t>브랜드라인</t>
    </r>
    <r>
      <rPr>
        <sz val="10"/>
        <color theme="1"/>
        <rFont val="Calibri"/>
        <family val="2"/>
      </rPr>
      <t>1</t>
    </r>
    <phoneticPr fontId="37" type="noConversion"/>
  </si>
  <si>
    <t>DBS 브랜드라인1</t>
  </si>
  <si>
    <t>ZDBSBRLNC</t>
  </si>
  <si>
    <t>DBS 브랜드라인2</t>
  </si>
  <si>
    <t>ZMAGRV</t>
    <phoneticPr fontId="37" type="noConversion"/>
  </si>
  <si>
    <t>포장재그룹</t>
  </si>
  <si>
    <t>ZMAGRV</t>
  </si>
  <si>
    <t>ZPGENDCUS</t>
    <phoneticPr fontId="37" type="noConversion"/>
  </si>
  <si>
    <t>포장재 계층구조</t>
  </si>
  <si>
    <t>ZPGENDCUS</t>
  </si>
  <si>
    <t>ZPRO_HLV1</t>
  </si>
  <si>
    <r>
      <rPr>
        <sz val="10"/>
        <color theme="1"/>
        <rFont val="돋움"/>
        <family val="3"/>
        <charset val="129"/>
      </rPr>
      <t>제품유형</t>
    </r>
    <r>
      <rPr>
        <sz val="10"/>
        <color theme="1"/>
        <rFont val="Calibri"/>
        <family val="2"/>
      </rPr>
      <t xml:space="preserve"> 1</t>
    </r>
    <r>
      <rPr>
        <sz val="10"/>
        <color theme="1"/>
        <rFont val="돋움"/>
        <family val="3"/>
        <charset val="129"/>
      </rPr>
      <t>레벨</t>
    </r>
    <phoneticPr fontId="37" type="noConversion"/>
  </si>
  <si>
    <t>제품유형 1레벨</t>
  </si>
  <si>
    <t>ZPRO_HLV2</t>
  </si>
  <si>
    <t>제품유형 2레벨</t>
  </si>
  <si>
    <t>ZPRO_HLV3</t>
  </si>
  <si>
    <t>제품유형 3레벨</t>
  </si>
  <si>
    <t>ZRPFUT</t>
    <phoneticPr fontId="37" type="noConversion"/>
  </si>
  <si>
    <t>대표기능</t>
    <phoneticPr fontId="37" type="noConversion"/>
  </si>
  <si>
    <t>ZRPFUT</t>
  </si>
  <si>
    <t>대표기능</t>
  </si>
  <si>
    <t>ZSDCOLOR</t>
    <phoneticPr fontId="37" type="noConversion"/>
  </si>
  <si>
    <t>색상</t>
  </si>
  <si>
    <t>ZSDCOLOR</t>
  </si>
  <si>
    <t>ZSHINSUNL</t>
    <phoneticPr fontId="37" type="noConversion"/>
  </si>
  <si>
    <t>그룹브랜드 구분</t>
  </si>
  <si>
    <t>ZSHINSUNL</t>
  </si>
  <si>
    <t>ZVHART</t>
    <phoneticPr fontId="37" type="noConversion"/>
  </si>
  <si>
    <t>포장재유형</t>
  </si>
  <si>
    <t>ZVHART</t>
  </si>
  <si>
    <t>ZZCONPD</t>
    <phoneticPr fontId="37" type="noConversion"/>
  </si>
  <si>
    <t>피부타입1</t>
  </si>
  <si>
    <t>ZZCONPD</t>
  </si>
  <si>
    <t>ZNPJT5</t>
    <phoneticPr fontId="37" type="noConversion"/>
  </si>
  <si>
    <t>허가유형</t>
  </si>
  <si>
    <t>ZNPJT5</t>
  </si>
  <si>
    <t>ZBLAMOS</t>
    <phoneticPr fontId="37" type="noConversion"/>
  </si>
  <si>
    <t>브랜드라인(아모스)</t>
  </si>
  <si>
    <t>ZBLAMOS</t>
  </si>
  <si>
    <t>매핑정의서 -DP-42-2.자재정보추가_BW</t>
    <phoneticPr fontId="4" type="noConversion"/>
  </si>
  <si>
    <t>0MAT_SALES</t>
    <phoneticPr fontId="37" type="noConversion"/>
  </si>
  <si>
    <t>SALESORG</t>
  </si>
  <si>
    <t>DIST_CHANN</t>
  </si>
  <si>
    <t>ZFRDAT</t>
    <phoneticPr fontId="37" type="noConversion"/>
  </si>
  <si>
    <t>DATS</t>
    <phoneticPr fontId="37" type="noConversion"/>
  </si>
  <si>
    <t>최초입고일</t>
  </si>
  <si>
    <t>ZFRDAT</t>
  </si>
  <si>
    <t>ZLRDAT</t>
    <phoneticPr fontId="37" type="noConversion"/>
  </si>
  <si>
    <t>최종입고일</t>
  </si>
  <si>
    <t>ZLRDAT</t>
  </si>
  <si>
    <t>ZSKURG</t>
    <phoneticPr fontId="37" type="noConversion"/>
  </si>
  <si>
    <t>제품매출등급</t>
  </si>
  <si>
    <t>ZSKURG</t>
  </si>
  <si>
    <t>ZSLMV</t>
    <phoneticPr fontId="37" type="noConversion"/>
  </si>
  <si>
    <t>부동재고 구분자-현시점(N)</t>
  </si>
  <si>
    <t>ZSLMV</t>
  </si>
  <si>
    <t>ZSLOWFALG</t>
    <phoneticPr fontId="37" type="noConversion"/>
  </si>
  <si>
    <t>부진진고 구분자-현시점(N)</t>
  </si>
  <si>
    <t>ZSLOWFALG</t>
  </si>
  <si>
    <t>매핑정의서 -DP-42-3.자재정보추가_BW</t>
    <phoneticPr fontId="4" type="noConversion"/>
  </si>
  <si>
    <t>ZMATMMSALE</t>
  </si>
  <si>
    <t>0calmonth</t>
    <phoneticPr fontId="37" type="noConversion"/>
  </si>
  <si>
    <t>NUMC</t>
    <phoneticPr fontId="37" type="noConversion"/>
  </si>
  <si>
    <r>
      <rPr>
        <sz val="10"/>
        <color theme="1"/>
        <rFont val="돋움"/>
        <family val="3"/>
        <charset val="129"/>
      </rPr>
      <t>달력년도</t>
    </r>
    <r>
      <rPr>
        <sz val="10"/>
        <color theme="1"/>
        <rFont val="Calibri"/>
        <family val="2"/>
      </rPr>
      <t>/</t>
    </r>
    <r>
      <rPr>
        <sz val="10"/>
        <color theme="1"/>
        <rFont val="돋움"/>
        <family val="3"/>
        <charset val="129"/>
      </rPr>
      <t>월</t>
    </r>
    <phoneticPr fontId="37" type="noConversion"/>
  </si>
  <si>
    <r>
      <t>달력년도</t>
    </r>
    <r>
      <rPr>
        <sz val="10"/>
        <color rgb="FF000000"/>
        <rFont val="Calibri"/>
        <family val="2"/>
      </rPr>
      <t>/</t>
    </r>
    <r>
      <rPr>
        <sz val="10"/>
        <color rgb="FF000000"/>
        <rFont val="돋움"/>
        <family val="3"/>
        <charset val="129"/>
      </rPr>
      <t>월</t>
    </r>
  </si>
  <si>
    <r>
      <t>ZSLMV</t>
    </r>
    <r>
      <rPr>
        <sz val="11"/>
        <color theme="1"/>
        <rFont val="돋움"/>
        <family val="3"/>
        <charset val="129"/>
      </rPr>
      <t/>
    </r>
    <phoneticPr fontId="37" type="noConversion"/>
  </si>
  <si>
    <r>
      <rPr>
        <sz val="10"/>
        <color theme="1"/>
        <rFont val="돋움"/>
        <family val="3"/>
        <charset val="129"/>
      </rPr>
      <t>부동재고</t>
    </r>
    <r>
      <rPr>
        <sz val="10"/>
        <color theme="1"/>
        <rFont val="Calibri"/>
        <family val="2"/>
      </rPr>
      <t xml:space="preserve"> </t>
    </r>
    <r>
      <rPr>
        <sz val="10"/>
        <color theme="1"/>
        <rFont val="돋움"/>
        <family val="3"/>
        <charset val="129"/>
      </rPr>
      <t>구분자</t>
    </r>
    <r>
      <rPr>
        <sz val="10"/>
        <color theme="1"/>
        <rFont val="Calibri"/>
        <family val="2"/>
      </rPr>
      <t>-</t>
    </r>
    <r>
      <rPr>
        <sz val="10"/>
        <color theme="1"/>
        <rFont val="돋움"/>
        <family val="3"/>
        <charset val="129"/>
      </rPr>
      <t>월말이력기준</t>
    </r>
    <r>
      <rPr>
        <sz val="10"/>
        <color theme="1"/>
        <rFont val="Calibri"/>
        <family val="2"/>
      </rPr>
      <t>(N)</t>
    </r>
    <phoneticPr fontId="37" type="noConversion"/>
  </si>
  <si>
    <r>
      <t>부동재고</t>
    </r>
    <r>
      <rPr>
        <sz val="10"/>
        <color rgb="FF000000"/>
        <rFont val="Calibri"/>
        <family val="2"/>
      </rPr>
      <t xml:space="preserve"> </t>
    </r>
    <r>
      <rPr>
        <sz val="10"/>
        <color rgb="FF000000"/>
        <rFont val="돋움"/>
        <family val="3"/>
        <charset val="129"/>
      </rPr>
      <t>구분자</t>
    </r>
    <r>
      <rPr>
        <sz val="10"/>
        <color rgb="FF000000"/>
        <rFont val="Calibri"/>
        <family val="2"/>
      </rPr>
      <t>-</t>
    </r>
    <r>
      <rPr>
        <sz val="10"/>
        <color rgb="FF000000"/>
        <rFont val="돋움"/>
        <family val="3"/>
        <charset val="129"/>
      </rPr>
      <t>월말이력기준</t>
    </r>
    <r>
      <rPr>
        <sz val="10"/>
        <color rgb="FF000000"/>
        <rFont val="Calibri"/>
        <family val="2"/>
      </rPr>
      <t>(N)</t>
    </r>
  </si>
  <si>
    <r>
      <rPr>
        <sz val="10"/>
        <color theme="1"/>
        <rFont val="돋움"/>
        <family val="3"/>
        <charset val="129"/>
      </rPr>
      <t>부진재고</t>
    </r>
    <r>
      <rPr>
        <sz val="10"/>
        <color theme="1"/>
        <rFont val="Calibri"/>
        <family val="2"/>
      </rPr>
      <t xml:space="preserve"> </t>
    </r>
    <r>
      <rPr>
        <sz val="10"/>
        <color theme="1"/>
        <rFont val="돋움"/>
        <family val="3"/>
        <charset val="129"/>
      </rPr>
      <t>구분자</t>
    </r>
    <r>
      <rPr>
        <sz val="10"/>
        <color theme="1"/>
        <rFont val="Calibri"/>
        <family val="2"/>
      </rPr>
      <t>-</t>
    </r>
    <r>
      <rPr>
        <sz val="10"/>
        <color theme="1"/>
        <rFont val="돋움"/>
        <family val="3"/>
        <charset val="129"/>
      </rPr>
      <t>월말이력기준</t>
    </r>
    <phoneticPr fontId="37" type="noConversion"/>
  </si>
  <si>
    <r>
      <t>부진재고</t>
    </r>
    <r>
      <rPr>
        <sz val="10"/>
        <color rgb="FF000000"/>
        <rFont val="Calibri"/>
        <family val="2"/>
      </rPr>
      <t xml:space="preserve"> </t>
    </r>
    <r>
      <rPr>
        <sz val="10"/>
        <color rgb="FF000000"/>
        <rFont val="돋움"/>
        <family val="3"/>
        <charset val="129"/>
      </rPr>
      <t>구분자</t>
    </r>
    <r>
      <rPr>
        <sz val="10"/>
        <color rgb="FF000000"/>
        <rFont val="Calibri"/>
        <family val="2"/>
      </rPr>
      <t>-</t>
    </r>
    <r>
      <rPr>
        <sz val="10"/>
        <color rgb="FF000000"/>
        <rFont val="돋움"/>
        <family val="3"/>
        <charset val="129"/>
      </rPr>
      <t>월말이력기준</t>
    </r>
  </si>
  <si>
    <t>ZGUBUNCD</t>
    <phoneticPr fontId="37" type="noConversion"/>
  </si>
  <si>
    <t>국내/해외 구분 코드(N)</t>
  </si>
  <si>
    <t>ZGUBUNCD</t>
  </si>
  <si>
    <t>0MATL_GRP_2</t>
    <phoneticPr fontId="37" type="noConversion"/>
  </si>
  <si>
    <t>주말시점 자재등급(N)</t>
  </si>
  <si>
    <t>MATL_GRP2_WKEND</t>
  </si>
  <si>
    <t>`</t>
    <phoneticPr fontId="4" type="noConversion"/>
  </si>
  <si>
    <t>ZSKU_MGB</t>
  </si>
  <si>
    <t>SKU 관리구분 (A,B,C)</t>
    <phoneticPr fontId="4" type="noConversion"/>
  </si>
  <si>
    <t>ZCO_801 쿼리</t>
  </si>
  <si>
    <t>12/5일 추가 (KEY 동일로 추가 가능)</t>
    <phoneticPr fontId="4" type="noConversion"/>
  </si>
  <si>
    <t>매핑정의서 -DP-43-1.거래처정보추가_BW</t>
    <phoneticPr fontId="4" type="noConversion"/>
  </si>
  <si>
    <t>CUST_CD</t>
  </si>
  <si>
    <t>CUST_TYPE</t>
  </si>
  <si>
    <t>GPS_CHANN</t>
  </si>
  <si>
    <t>CUST_GRP1</t>
  </si>
  <si>
    <t>CUST_GRP2</t>
  </si>
  <si>
    <t>SALES_GRP</t>
  </si>
  <si>
    <t>ZAPGCHNL</t>
  </si>
  <si>
    <t>ZCHAR_10A</t>
  </si>
  <si>
    <t>ZDISTB</t>
  </si>
  <si>
    <t>ZCHAR_10B</t>
  </si>
  <si>
    <t>ZGRPAMT</t>
  </si>
  <si>
    <t>ZGRPPRO</t>
  </si>
  <si>
    <t>ZCRSHOPSV_ZDISTB</t>
  </si>
  <si>
    <r>
      <t>매장</t>
    </r>
    <r>
      <rPr>
        <sz val="10"/>
        <color rgb="FF000000"/>
        <rFont val="Calibri"/>
        <family val="2"/>
      </rPr>
      <t xml:space="preserve"> </t>
    </r>
    <r>
      <rPr>
        <sz val="10"/>
        <color rgb="FF000000"/>
        <rFont val="돋움"/>
        <family val="3"/>
        <charset val="129"/>
      </rPr>
      <t>유통사</t>
    </r>
    <r>
      <rPr>
        <sz val="10"/>
        <color rgb="FF000000"/>
        <rFont val="Calibri"/>
        <family val="2"/>
      </rPr>
      <t>(N)</t>
    </r>
  </si>
  <si>
    <t>ZSTCDT</t>
  </si>
  <si>
    <t>고객유형(N)</t>
  </si>
  <si>
    <t>43-4로부터 이동</t>
  </si>
  <si>
    <t>0CUST_SALES_ZCHAR_2</t>
  </si>
  <si>
    <t>On/Off 구분</t>
  </si>
  <si>
    <t>ON_OFF_TYPE</t>
  </si>
  <si>
    <t>0CUST_SALES_ZCHAR_5A</t>
  </si>
  <si>
    <t>사업구분(N)</t>
  </si>
  <si>
    <t>BIZ_TYPE</t>
  </si>
  <si>
    <t>0COMP_CODE</t>
  </si>
  <si>
    <t>43-5로부터 이동</t>
  </si>
  <si>
    <t>COMPANY</t>
  </si>
  <si>
    <t>ZGCHAN</t>
  </si>
  <si>
    <t>국가별채널(N)</t>
  </si>
  <si>
    <t>ZSUBCH2</t>
  </si>
  <si>
    <t>하위채널(N)</t>
  </si>
  <si>
    <t>매핑정의서 -DP-43-2.거래처정보추가_BW</t>
    <phoneticPr fontId="4" type="noConversion"/>
  </si>
  <si>
    <t>CHAR</t>
    <phoneticPr fontId="37" type="noConversion"/>
  </si>
  <si>
    <t>회사코드</t>
    <phoneticPr fontId="37" type="noConversion"/>
  </si>
  <si>
    <t>0COMPANY</t>
    <phoneticPr fontId="37" type="noConversion"/>
  </si>
  <si>
    <t>RHQ(N)</t>
  </si>
  <si>
    <t>RHQ</t>
  </si>
  <si>
    <t>ZSALORGM</t>
  </si>
  <si>
    <t>43-3으로부터 이동</t>
  </si>
  <si>
    <t>ZCOMPMAIN</t>
  </si>
  <si>
    <t>HQ회사코드</t>
  </si>
  <si>
    <t>HQ_COMPANY</t>
  </si>
  <si>
    <t>매핑정의서 -DP-43-3.거래처정보추가_BW</t>
    <phoneticPr fontId="4" type="noConversion"/>
  </si>
  <si>
    <t>ZSALORGM</t>
    <phoneticPr fontId="37" type="noConversion"/>
  </si>
  <si>
    <t>매핑정의서 -DP-43-4.거래처정보추가_BW</t>
    <phoneticPr fontId="4" type="noConversion"/>
  </si>
  <si>
    <t>0CUSTOMER</t>
    <phoneticPr fontId="37" type="noConversion"/>
  </si>
  <si>
    <t>거래처</t>
    <phoneticPr fontId="37" type="noConversion"/>
  </si>
  <si>
    <t>ZSTCDT</t>
    <phoneticPr fontId="37" type="noConversion"/>
  </si>
  <si>
    <t>0CUST_SALES_ZCHAR_2</t>
    <phoneticPr fontId="37" type="noConversion"/>
  </si>
  <si>
    <t>On/Off 구분</t>
    <phoneticPr fontId="4" type="noConversion"/>
  </si>
  <si>
    <t>추가 2025-10-22</t>
    <phoneticPr fontId="4" type="noConversion"/>
  </si>
  <si>
    <t>0CUST_SALES_ZCHAR_5A</t>
    <phoneticPr fontId="37" type="noConversion"/>
  </si>
  <si>
    <t>사업구분(N)</t>
    <phoneticPr fontId="4" type="noConversion"/>
  </si>
  <si>
    <t>매핑정의서 -DP-43-5.거래처정보추가_BW</t>
    <phoneticPr fontId="4" type="noConversion"/>
  </si>
  <si>
    <t>0CUST_COMPC</t>
    <phoneticPr fontId="37" type="noConversion"/>
  </si>
  <si>
    <t>0COMP_CODE</t>
    <phoneticPr fontId="37" type="noConversion"/>
  </si>
  <si>
    <t>매핑정의서 -DP-44.마감계획_BW</t>
    <phoneticPr fontId="4" type="noConversion"/>
  </si>
  <si>
    <t>Source Table : DCO_534</t>
    <phoneticPr fontId="4" type="noConversion"/>
  </si>
  <si>
    <r>
      <t>영업</t>
    </r>
    <r>
      <rPr>
        <sz val="10"/>
        <color theme="1"/>
        <rFont val="Calibri"/>
        <family val="2"/>
      </rPr>
      <t xml:space="preserve"> </t>
    </r>
    <r>
      <rPr>
        <sz val="10"/>
        <color theme="1"/>
        <rFont val="돋움"/>
        <family val="3"/>
        <charset val="129"/>
      </rPr>
      <t>조직</t>
    </r>
  </si>
  <si>
    <r>
      <t>영업</t>
    </r>
    <r>
      <rPr>
        <sz val="10"/>
        <color rgb="FF000000"/>
        <rFont val="Calibri"/>
        <family val="2"/>
      </rPr>
      <t xml:space="preserve"> </t>
    </r>
    <r>
      <rPr>
        <sz val="10"/>
        <color rgb="FF000000"/>
        <rFont val="돋움"/>
        <family val="3"/>
        <charset val="129"/>
      </rPr>
      <t>조직</t>
    </r>
  </si>
  <si>
    <t>COMP_CODE</t>
  </si>
  <si>
    <t>회사 코드</t>
  </si>
  <si>
    <t>CALMONTH</t>
  </si>
  <si>
    <r>
      <t>달력</t>
    </r>
    <r>
      <rPr>
        <sz val="10"/>
        <color theme="1"/>
        <rFont val="Calibri"/>
        <family val="2"/>
      </rPr>
      <t xml:space="preserve"> </t>
    </r>
    <r>
      <rPr>
        <sz val="10"/>
        <color theme="1"/>
        <rFont val="돋움"/>
        <family val="3"/>
        <charset val="129"/>
      </rPr>
      <t>연도</t>
    </r>
    <r>
      <rPr>
        <sz val="10"/>
        <color theme="1"/>
        <rFont val="Calibri"/>
        <family val="2"/>
      </rPr>
      <t>/</t>
    </r>
    <r>
      <rPr>
        <sz val="10"/>
        <color theme="1"/>
        <rFont val="돋움"/>
        <family val="3"/>
        <charset val="129"/>
      </rPr>
      <t>월</t>
    </r>
    <r>
      <rPr>
        <sz val="10"/>
        <color theme="1"/>
        <rFont val="Calibri"/>
        <family val="2"/>
      </rPr>
      <t xml:space="preserve"> </t>
    </r>
    <phoneticPr fontId="4" type="noConversion"/>
  </si>
  <si>
    <r>
      <t>달력</t>
    </r>
    <r>
      <rPr>
        <sz val="10"/>
        <color rgb="FF000000"/>
        <rFont val="Calibri"/>
        <family val="2"/>
      </rPr>
      <t xml:space="preserve"> </t>
    </r>
    <r>
      <rPr>
        <sz val="10"/>
        <color rgb="FF000000"/>
        <rFont val="돋움"/>
        <family val="3"/>
        <charset val="129"/>
      </rPr>
      <t>연도</t>
    </r>
    <r>
      <rPr>
        <sz val="10"/>
        <color rgb="FF000000"/>
        <rFont val="Calibri"/>
        <family val="2"/>
      </rPr>
      <t>/</t>
    </r>
    <r>
      <rPr>
        <sz val="10"/>
        <color rgb="FF000000"/>
        <rFont val="돋움"/>
        <family val="3"/>
        <charset val="129"/>
      </rPr>
      <t>월</t>
    </r>
    <r>
      <rPr>
        <sz val="10"/>
        <color rgb="FF000000"/>
        <rFont val="Calibri"/>
        <family val="2"/>
      </rPr>
      <t xml:space="preserve"> </t>
    </r>
  </si>
  <si>
    <t>ZESTMN</t>
    <phoneticPr fontId="4" type="noConversion"/>
  </si>
  <si>
    <r>
      <t>추정월</t>
    </r>
    <r>
      <rPr>
        <sz val="10"/>
        <color theme="1"/>
        <rFont val="Calibri"/>
        <family val="2"/>
      </rPr>
      <t xml:space="preserve"> </t>
    </r>
  </si>
  <si>
    <t>ESTI_MONTH</t>
  </si>
  <si>
    <r>
      <t>추정월</t>
    </r>
    <r>
      <rPr>
        <sz val="10"/>
        <color rgb="FF000000"/>
        <rFont val="Calibri"/>
        <family val="2"/>
      </rPr>
      <t xml:space="preserve"> </t>
    </r>
  </si>
  <si>
    <t>ZRVERSION</t>
    <phoneticPr fontId="4" type="noConversion"/>
  </si>
  <si>
    <r>
      <t>롤링</t>
    </r>
    <r>
      <rPr>
        <sz val="10"/>
        <color theme="1"/>
        <rFont val="Calibri"/>
        <family val="2"/>
      </rPr>
      <t xml:space="preserve"> </t>
    </r>
    <r>
      <rPr>
        <sz val="10"/>
        <color theme="1"/>
        <rFont val="돋움"/>
        <family val="3"/>
        <charset val="129"/>
      </rPr>
      <t>버전</t>
    </r>
  </si>
  <si>
    <t>ROLL_VER</t>
  </si>
  <si>
    <r>
      <t>롤링</t>
    </r>
    <r>
      <rPr>
        <sz val="10"/>
        <color rgb="FF000000"/>
        <rFont val="Calibri"/>
        <family val="2"/>
      </rPr>
      <t xml:space="preserve"> </t>
    </r>
    <r>
      <rPr>
        <sz val="10"/>
        <color rgb="FF000000"/>
        <rFont val="돋움"/>
        <family val="3"/>
        <charset val="129"/>
      </rPr>
      <t>버전</t>
    </r>
  </si>
  <si>
    <t>0material</t>
    <phoneticPr fontId="4" type="noConversion"/>
  </si>
  <si>
    <t>자재</t>
    <phoneticPr fontId="4" type="noConversion"/>
  </si>
  <si>
    <t>설명=브랜드그룹임</t>
    <phoneticPr fontId="4" type="noConversion"/>
  </si>
  <si>
    <t>BRAND_GRP</t>
  </si>
  <si>
    <t>브랜드 그룹</t>
  </si>
  <si>
    <t>0customer</t>
    <phoneticPr fontId="4" type="noConversion"/>
  </si>
  <si>
    <t>거래처</t>
    <phoneticPr fontId="4" type="noConversion"/>
  </si>
  <si>
    <t>대표거래처</t>
    <phoneticPr fontId="4" type="noConversion"/>
  </si>
  <si>
    <t>HEAD_CUST</t>
  </si>
  <si>
    <t>대표거래처</t>
  </si>
  <si>
    <t>ZINPTY</t>
    <phoneticPr fontId="4" type="noConversion"/>
  </si>
  <si>
    <t>입력유형</t>
  </si>
  <si>
    <t>S=매출담당자가입력한값, 
#=재무담당자가입력한값
S로 필터된상태로 들어옴</t>
    <phoneticPr fontId="4" type="noConversion"/>
  </si>
  <si>
    <t>INPUT_TYPE</t>
  </si>
  <si>
    <t>0currency</t>
    <phoneticPr fontId="4" type="noConversion"/>
  </si>
  <si>
    <t>CUKY</t>
    <phoneticPr fontId="37" type="noConversion"/>
  </si>
  <si>
    <t xml:space="preserve"> CURR</t>
  </si>
  <si>
    <t>ZR_AVVD02</t>
    <phoneticPr fontId="4" type="noConversion"/>
  </si>
  <si>
    <t>DEC</t>
    <phoneticPr fontId="37" type="noConversion"/>
  </si>
  <si>
    <t>17,2</t>
    <phoneticPr fontId="37" type="noConversion"/>
  </si>
  <si>
    <t>D02.경로기준가(롤링)</t>
  </si>
  <si>
    <t>설명=예상매출금액임</t>
    <phoneticPr fontId="4" type="noConversion"/>
  </si>
  <si>
    <t>PATH_BASE_PRICE</t>
  </si>
  <si>
    <t>ZCO_608_C201</t>
    <phoneticPr fontId="4" type="noConversion"/>
  </si>
  <si>
    <t>매출목표</t>
    <phoneticPr fontId="4" type="noConversion"/>
  </si>
  <si>
    <t>ZCO_608_C202</t>
    <phoneticPr fontId="4" type="noConversion"/>
  </si>
  <si>
    <t>관리비목표(이익목표)</t>
    <phoneticPr fontId="4" type="noConversion"/>
  </si>
  <si>
    <t>ZCO_608_C302</t>
    <phoneticPr fontId="4" type="noConversion"/>
  </si>
  <si>
    <t>예상매출</t>
    <phoneticPr fontId="4" type="noConversion"/>
  </si>
  <si>
    <t>ZCO_608_C303</t>
    <phoneticPr fontId="4" type="noConversion"/>
  </si>
  <si>
    <t>예상이익</t>
    <phoneticPr fontId="4" type="noConversion"/>
  </si>
  <si>
    <t>0CUST_SALES_ZCHAR_5</t>
    <phoneticPr fontId="4" type="noConversion"/>
  </si>
  <si>
    <t>GPS목표채널</t>
    <phoneticPr fontId="4" type="noConversion"/>
  </si>
  <si>
    <t>GPS목표채널명</t>
    <phoneticPr fontId="4" type="noConversion"/>
  </si>
  <si>
    <t>0CUST_COMPC_ZGHAN</t>
    <phoneticPr fontId="4" type="noConversion"/>
  </si>
  <si>
    <t>롤링 국가별채널(N)</t>
    <phoneticPr fontId="4" type="noConversion"/>
  </si>
  <si>
    <t>롤링 국가별채널명</t>
    <phoneticPr fontId="4" type="noConversion"/>
  </si>
  <si>
    <t>0CUST_COMPC_ZSUBCH2</t>
    <phoneticPr fontId="4" type="noConversion"/>
  </si>
  <si>
    <t>롤링 하위별채널(N)</t>
    <phoneticPr fontId="4" type="noConversion"/>
  </si>
  <si>
    <t>롤링 하위별채널명</t>
    <phoneticPr fontId="4" type="noConversion"/>
  </si>
  <si>
    <t>0CUST_SALES_ZCHAR_5A</t>
    <phoneticPr fontId="4" type="noConversion"/>
  </si>
  <si>
    <t>(그룹채널)사업구분</t>
    <phoneticPr fontId="4" type="noConversion"/>
  </si>
  <si>
    <t>(그룹채널)사업구분명</t>
    <phoneticPr fontId="4" type="noConversion"/>
  </si>
  <si>
    <t>0CUSTOMER</t>
    <phoneticPr fontId="4" type="noConversion"/>
  </si>
  <si>
    <t>거래처명</t>
    <phoneticPr fontId="4" type="noConversion"/>
  </si>
  <si>
    <t>매핑정의서 -DP-46.판매실적_거래처&amp;SKU</t>
    <phoneticPr fontId="4" type="noConversion"/>
  </si>
  <si>
    <r>
      <t xml:space="preserve">Source Table : </t>
    </r>
    <r>
      <rPr>
        <b/>
        <sz val="10"/>
        <color rgb="FFFF0000"/>
        <rFont val="맑은 고딕"/>
        <family val="3"/>
        <charset val="129"/>
        <scheme val="minor"/>
      </rPr>
      <t>M_ZSD_001_Q0030, M_ZSD_001_Q0031</t>
    </r>
    <phoneticPr fontId="4" type="noConversion"/>
  </si>
  <si>
    <t>0caLday</t>
    <phoneticPr fontId="37" type="noConversion"/>
  </si>
  <si>
    <t>달력일</t>
    <phoneticPr fontId="37" type="noConversion"/>
  </si>
  <si>
    <t>SALE_DATE</t>
  </si>
  <si>
    <t>달력일</t>
  </si>
  <si>
    <t>0customer</t>
    <phoneticPr fontId="37" type="noConversion"/>
  </si>
  <si>
    <t>0base_uom</t>
    <phoneticPr fontId="37" type="noConversion"/>
  </si>
  <si>
    <t>0distr_chan</t>
  </si>
  <si>
    <t>ZSD_001_C028</t>
    <phoneticPr fontId="37" type="noConversion"/>
  </si>
  <si>
    <t>041 해체후_순매출액</t>
  </si>
  <si>
    <t>TMDA_NSAL_AMT</t>
  </si>
  <si>
    <t>ZSD_001_C031</t>
    <phoneticPr fontId="37" type="noConversion"/>
  </si>
  <si>
    <t>011 해체전_순매출액</t>
  </si>
  <si>
    <t>TMDB_NSAL_AMT</t>
  </si>
  <si>
    <t>ZSD_001_C006</t>
    <phoneticPr fontId="37" type="noConversion"/>
  </si>
  <si>
    <t>037 해체후_순판매수량</t>
  </si>
  <si>
    <t>TMDA_NSAL_QTY</t>
  </si>
  <si>
    <t>ZSD_001_C011</t>
    <phoneticPr fontId="37" type="noConversion"/>
  </si>
  <si>
    <t>007 해체전_순판매수량</t>
  </si>
  <si>
    <t>TMDB_NSAL_QTY</t>
  </si>
  <si>
    <t>ZSD_001_C012</t>
    <phoneticPr fontId="37" type="noConversion"/>
  </si>
  <si>
    <t>008 해체전_판매금액</t>
    <phoneticPr fontId="4" type="noConversion"/>
  </si>
  <si>
    <t>TMDB_SAL_AMT</t>
  </si>
  <si>
    <t>008 해체전_판매금액</t>
  </si>
  <si>
    <t>ZSD_001_C013</t>
    <phoneticPr fontId="37" type="noConversion"/>
  </si>
  <si>
    <r>
      <rPr>
        <sz val="10"/>
        <color rgb="FFFF0000"/>
        <rFont val="Arial Unicode MS"/>
        <family val="2"/>
        <charset val="129"/>
      </rPr>
      <t>038 해체후</t>
    </r>
    <r>
      <rPr>
        <sz val="10"/>
        <color rgb="FFFF0000"/>
        <rFont val="Calibri"/>
        <family val="2"/>
      </rPr>
      <t>_</t>
    </r>
    <r>
      <rPr>
        <sz val="10"/>
        <color rgb="FFFF0000"/>
        <rFont val="Arial Unicode MS"/>
        <family val="2"/>
        <charset val="129"/>
      </rPr>
      <t>판매금액</t>
    </r>
    <phoneticPr fontId="4" type="noConversion"/>
  </si>
  <si>
    <t>TMDA_SAL_AMT</t>
  </si>
  <si>
    <r>
      <t>038 해체후</t>
    </r>
    <r>
      <rPr>
        <sz val="10"/>
        <color rgb="FF000000"/>
        <rFont val="Calibri"/>
        <family val="2"/>
      </rPr>
      <t>_</t>
    </r>
    <r>
      <rPr>
        <sz val="10"/>
        <color rgb="FF000000"/>
        <rFont val="Arial Unicode MS"/>
        <family val="3"/>
        <charset val="129"/>
      </rPr>
      <t>판매금액</t>
    </r>
  </si>
  <si>
    <t>ZSD_001_C032</t>
    <phoneticPr fontId="37" type="noConversion"/>
  </si>
  <si>
    <t>015 해체전_판매(수량)</t>
  </si>
  <si>
    <t>TMDB_SAL_QTY</t>
  </si>
  <si>
    <t>ZSD_001_C033</t>
    <phoneticPr fontId="37" type="noConversion"/>
  </si>
  <si>
    <r>
      <t xml:space="preserve">045 </t>
    </r>
    <r>
      <rPr>
        <sz val="10"/>
        <color theme="1"/>
        <rFont val="맑은 고딕"/>
        <family val="3"/>
        <charset val="129"/>
      </rPr>
      <t>해체후</t>
    </r>
    <r>
      <rPr>
        <sz val="10"/>
        <color theme="1"/>
        <rFont val="Calibri"/>
        <family val="2"/>
      </rPr>
      <t>_</t>
    </r>
    <r>
      <rPr>
        <sz val="10"/>
        <color theme="1"/>
        <rFont val="맑은 고딕"/>
        <family val="3"/>
        <charset val="129"/>
      </rPr>
      <t>판매</t>
    </r>
    <r>
      <rPr>
        <sz val="10"/>
        <color theme="1"/>
        <rFont val="Calibri"/>
        <family val="2"/>
      </rPr>
      <t>(</t>
    </r>
    <r>
      <rPr>
        <sz val="10"/>
        <color theme="1"/>
        <rFont val="맑은 고딕"/>
        <family val="3"/>
        <charset val="129"/>
      </rPr>
      <t>수량</t>
    </r>
    <r>
      <rPr>
        <sz val="10"/>
        <color theme="1"/>
        <rFont val="Calibri"/>
        <family val="2"/>
      </rPr>
      <t>)</t>
    </r>
    <phoneticPr fontId="4" type="noConversion"/>
  </si>
  <si>
    <t>TMDA_SAL_QTY</t>
  </si>
  <si>
    <r>
      <t xml:space="preserve">045 </t>
    </r>
    <r>
      <rPr>
        <sz val="10"/>
        <color rgb="FF000000"/>
        <rFont val="맑은 고딕"/>
        <family val="3"/>
        <charset val="129"/>
      </rPr>
      <t>해체후</t>
    </r>
    <r>
      <rPr>
        <sz val="10"/>
        <color rgb="FF000000"/>
        <rFont val="Calibri"/>
        <family val="2"/>
      </rPr>
      <t>_</t>
    </r>
    <r>
      <rPr>
        <sz val="10"/>
        <color rgb="FF000000"/>
        <rFont val="맑은 고딕"/>
        <family val="3"/>
        <charset val="129"/>
      </rPr>
      <t>판매</t>
    </r>
    <r>
      <rPr>
        <sz val="10"/>
        <color rgb="FF000000"/>
        <rFont val="Calibri"/>
        <family val="2"/>
      </rPr>
      <t>(</t>
    </r>
    <r>
      <rPr>
        <sz val="10"/>
        <color rgb="FF000000"/>
        <rFont val="맑은 고딕"/>
        <family val="3"/>
        <charset val="129"/>
      </rPr>
      <t>수량</t>
    </r>
    <r>
      <rPr>
        <sz val="10"/>
        <color rgb="FF000000"/>
        <rFont val="Calibri"/>
        <family val="2"/>
      </rPr>
      <t>)</t>
    </r>
  </si>
  <si>
    <t>BI=ZSA_SQTYL</t>
  </si>
  <si>
    <t>[로컬세트해체후]판매수량</t>
  </si>
  <si>
    <t>LOCA_TMDA_SAL_QTY</t>
  </si>
  <si>
    <t>ZSD_001_C020</t>
    <phoneticPr fontId="37" type="noConversion"/>
  </si>
  <si>
    <t>070 잡출수량</t>
  </si>
  <si>
    <t>TRRL_QTY</t>
  </si>
  <si>
    <t>ZSD_001_C082</t>
    <phoneticPr fontId="37" type="noConversion"/>
  </si>
  <si>
    <t>150 해체전_소비자가 매출</t>
    <phoneticPr fontId="4" type="noConversion"/>
  </si>
  <si>
    <t>TMDB_CNSM_AMT</t>
  </si>
  <si>
    <t>150 해체전_소비자가 매출</t>
  </si>
  <si>
    <t>매핑정의서 -DP-48.주문실적_거래처&amp;SKU</t>
    <phoneticPr fontId="4" type="noConversion"/>
  </si>
  <si>
    <r>
      <t xml:space="preserve">Source Table : </t>
    </r>
    <r>
      <rPr>
        <b/>
        <sz val="10"/>
        <color rgb="FFFF0000"/>
        <rFont val="맑은 고딕"/>
        <family val="3"/>
        <charset val="129"/>
        <scheme val="minor"/>
      </rPr>
      <t>M_ZSD_009_Q0048</t>
    </r>
    <phoneticPr fontId="4" type="noConversion"/>
  </si>
  <si>
    <t>YYYYMMDD</t>
  </si>
  <si>
    <t>0salesorg</t>
    <phoneticPr fontId="4" type="noConversion"/>
  </si>
  <si>
    <t>BASE_UOM</t>
  </si>
  <si>
    <t>ZCANCLE</t>
    <phoneticPr fontId="4" type="noConversion"/>
  </si>
  <si>
    <t>오더사유-취소사유</t>
  </si>
  <si>
    <t>Z_ZSD_009-주문확정</t>
    <phoneticPr fontId="37" type="noConversion"/>
  </si>
  <si>
    <t>ZCANCLE</t>
  </si>
  <si>
    <t>ZSD_009_C060</t>
    <phoneticPr fontId="4" type="noConversion"/>
  </si>
  <si>
    <r>
      <rPr>
        <sz val="10"/>
        <color theme="1"/>
        <rFont val="돋움"/>
        <family val="3"/>
        <charset val="129"/>
      </rPr>
      <t>로컬</t>
    </r>
    <r>
      <rPr>
        <sz val="10"/>
        <color theme="1"/>
        <rFont val="Calibri"/>
        <family val="2"/>
      </rPr>
      <t>SET</t>
    </r>
    <r>
      <rPr>
        <sz val="10"/>
        <color theme="1"/>
        <rFont val="돋움"/>
        <family val="3"/>
        <charset val="129"/>
      </rPr>
      <t>해체후</t>
    </r>
    <r>
      <rPr>
        <sz val="10"/>
        <color theme="1"/>
        <rFont val="Calibri"/>
        <family val="2"/>
      </rPr>
      <t xml:space="preserve"> </t>
    </r>
    <r>
      <rPr>
        <sz val="10"/>
        <color theme="1"/>
        <rFont val="돋움"/>
        <family val="3"/>
        <charset val="129"/>
      </rPr>
      <t>주문확정금액</t>
    </r>
    <r>
      <rPr>
        <sz val="10"/>
        <color theme="1"/>
        <rFont val="Calibri"/>
        <family val="2"/>
      </rPr>
      <t>(</t>
    </r>
    <r>
      <rPr>
        <sz val="10"/>
        <color theme="1"/>
        <rFont val="돋움"/>
        <family val="3"/>
        <charset val="129"/>
      </rPr>
      <t>순매출액전환</t>
    </r>
    <r>
      <rPr>
        <sz val="10"/>
        <color theme="1"/>
        <rFont val="Calibri"/>
        <family val="2"/>
      </rPr>
      <t>)</t>
    </r>
    <phoneticPr fontId="4" type="noConversion"/>
  </si>
  <si>
    <t>로컬SET해체후 주문확정금액(순매출액전환)</t>
  </si>
  <si>
    <t>ZSD_009_C061</t>
    <phoneticPr fontId="4" type="noConversion"/>
  </si>
  <si>
    <r>
      <t>030</t>
    </r>
    <r>
      <rPr>
        <sz val="10"/>
        <color theme="1"/>
        <rFont val="돋움"/>
        <family val="3"/>
        <charset val="129"/>
      </rPr>
      <t>로컬세트해체후</t>
    </r>
    <r>
      <rPr>
        <sz val="10"/>
        <color theme="1"/>
        <rFont val="Calibri"/>
        <family val="2"/>
      </rPr>
      <t>_</t>
    </r>
    <r>
      <rPr>
        <sz val="10"/>
        <color theme="1"/>
        <rFont val="돋움"/>
        <family val="3"/>
        <charset val="129"/>
      </rPr>
      <t>주문확정</t>
    </r>
    <r>
      <rPr>
        <sz val="10"/>
        <color theme="1"/>
        <rFont val="Calibri"/>
        <family val="2"/>
      </rPr>
      <t>(</t>
    </r>
    <r>
      <rPr>
        <sz val="10"/>
        <color theme="1"/>
        <rFont val="돋움"/>
        <family val="3"/>
        <charset val="129"/>
      </rPr>
      <t>수량</t>
    </r>
    <r>
      <rPr>
        <sz val="10"/>
        <color theme="1"/>
        <rFont val="Calibri"/>
        <family val="2"/>
      </rPr>
      <t>)</t>
    </r>
    <phoneticPr fontId="4" type="noConversion"/>
  </si>
  <si>
    <t>030로컬세트해체후_주문확정(수량)</t>
  </si>
  <si>
    <t>ZSD_009_C020</t>
    <phoneticPr fontId="4" type="noConversion"/>
  </si>
  <si>
    <r>
      <t xml:space="preserve">20 </t>
    </r>
    <r>
      <rPr>
        <sz val="10"/>
        <color theme="1"/>
        <rFont val="돋움"/>
        <family val="3"/>
        <charset val="129"/>
      </rPr>
      <t>집계</t>
    </r>
    <r>
      <rPr>
        <sz val="10"/>
        <color theme="1"/>
        <rFont val="Calibri"/>
        <family val="2"/>
      </rPr>
      <t>-</t>
    </r>
    <r>
      <rPr>
        <sz val="10"/>
        <color theme="1"/>
        <rFont val="돋움"/>
        <family val="3"/>
        <charset val="129"/>
      </rPr>
      <t>주문건수</t>
    </r>
    <r>
      <rPr>
        <sz val="10"/>
        <color theme="1"/>
        <rFont val="Calibri"/>
        <family val="2"/>
      </rPr>
      <t>-</t>
    </r>
    <r>
      <rPr>
        <sz val="10"/>
        <color theme="1"/>
        <rFont val="돋움"/>
        <family val="3"/>
        <charset val="129"/>
      </rPr>
      <t>일</t>
    </r>
    <phoneticPr fontId="4" type="noConversion"/>
  </si>
  <si>
    <t>ZSD_009_C020</t>
  </si>
  <si>
    <t>20 집계-주문건수-일</t>
  </si>
  <si>
    <t>ZSD_009_C022</t>
    <phoneticPr fontId="4" type="noConversion"/>
  </si>
  <si>
    <r>
      <t xml:space="preserve">22 </t>
    </r>
    <r>
      <rPr>
        <sz val="10"/>
        <color theme="1"/>
        <rFont val="돋움"/>
        <family val="3"/>
        <charset val="129"/>
      </rPr>
      <t>집계</t>
    </r>
    <r>
      <rPr>
        <sz val="10"/>
        <color theme="1"/>
        <rFont val="Calibri"/>
        <family val="2"/>
      </rPr>
      <t>-</t>
    </r>
    <r>
      <rPr>
        <sz val="10"/>
        <color theme="1"/>
        <rFont val="돋움"/>
        <family val="3"/>
        <charset val="129"/>
      </rPr>
      <t>확정건수</t>
    </r>
    <r>
      <rPr>
        <sz val="10"/>
        <color theme="1"/>
        <rFont val="Calibri"/>
        <family val="2"/>
      </rPr>
      <t>-</t>
    </r>
    <r>
      <rPr>
        <sz val="10"/>
        <color theme="1"/>
        <rFont val="돋움"/>
        <family val="3"/>
        <charset val="129"/>
      </rPr>
      <t>일</t>
    </r>
    <phoneticPr fontId="4" type="noConversion"/>
  </si>
  <si>
    <t>ZSD_009_C022</t>
  </si>
  <si>
    <t>22 집계-확정건수-일</t>
  </si>
  <si>
    <t>ZSD_009_C024</t>
    <phoneticPr fontId="4" type="noConversion"/>
  </si>
  <si>
    <r>
      <t xml:space="preserve">24 </t>
    </r>
    <r>
      <rPr>
        <sz val="10"/>
        <color theme="1"/>
        <rFont val="돋움"/>
        <family val="3"/>
        <charset val="129"/>
      </rPr>
      <t>집계</t>
    </r>
    <r>
      <rPr>
        <sz val="10"/>
        <color theme="1"/>
        <rFont val="Calibri"/>
        <family val="2"/>
      </rPr>
      <t>-</t>
    </r>
    <r>
      <rPr>
        <sz val="10"/>
        <color theme="1"/>
        <rFont val="돋움"/>
        <family val="3"/>
        <charset val="129"/>
      </rPr>
      <t>결품건수</t>
    </r>
    <r>
      <rPr>
        <sz val="10"/>
        <color theme="1"/>
        <rFont val="Calibri"/>
        <family val="2"/>
      </rPr>
      <t>-</t>
    </r>
    <r>
      <rPr>
        <sz val="10"/>
        <color theme="1"/>
        <rFont val="돋움"/>
        <family val="3"/>
        <charset val="129"/>
      </rPr>
      <t>일</t>
    </r>
    <phoneticPr fontId="4" type="noConversion"/>
  </si>
  <si>
    <t>ZSD_009_C024</t>
  </si>
  <si>
    <t>24 집계-결품건수-일</t>
  </si>
  <si>
    <t>ZSD_009_C010</t>
    <phoneticPr fontId="4" type="noConversion"/>
  </si>
  <si>
    <r>
      <t xml:space="preserve">10 </t>
    </r>
    <r>
      <rPr>
        <sz val="10"/>
        <color theme="1"/>
        <rFont val="돋움"/>
        <family val="3"/>
        <charset val="129"/>
      </rPr>
      <t>집계</t>
    </r>
    <r>
      <rPr>
        <sz val="10"/>
        <color theme="1"/>
        <rFont val="Calibri"/>
        <family val="2"/>
      </rPr>
      <t>-</t>
    </r>
    <r>
      <rPr>
        <sz val="10"/>
        <color theme="1"/>
        <rFont val="돋움"/>
        <family val="3"/>
        <charset val="129"/>
      </rPr>
      <t>주문수량</t>
    </r>
    <r>
      <rPr>
        <sz val="10"/>
        <color theme="1"/>
        <rFont val="Calibri"/>
        <family val="2"/>
      </rPr>
      <t>-</t>
    </r>
    <r>
      <rPr>
        <sz val="10"/>
        <color theme="1"/>
        <rFont val="돋움"/>
        <family val="3"/>
        <charset val="129"/>
      </rPr>
      <t>일</t>
    </r>
    <phoneticPr fontId="4" type="noConversion"/>
  </si>
  <si>
    <t>ZSD_009_C010</t>
  </si>
  <si>
    <t>10 집계-주문수량-일</t>
  </si>
  <si>
    <t>ZSD_009_C012</t>
    <phoneticPr fontId="4" type="noConversion"/>
  </si>
  <si>
    <r>
      <t xml:space="preserve">12 </t>
    </r>
    <r>
      <rPr>
        <sz val="10"/>
        <color theme="1"/>
        <rFont val="돋움"/>
        <family val="3"/>
        <charset val="129"/>
      </rPr>
      <t>집계</t>
    </r>
    <r>
      <rPr>
        <sz val="10"/>
        <color theme="1"/>
        <rFont val="Calibri"/>
        <family val="2"/>
      </rPr>
      <t>-</t>
    </r>
    <r>
      <rPr>
        <sz val="10"/>
        <color theme="1"/>
        <rFont val="돋움"/>
        <family val="3"/>
        <charset val="129"/>
      </rPr>
      <t>확정수량</t>
    </r>
    <r>
      <rPr>
        <sz val="10"/>
        <color theme="1"/>
        <rFont val="Calibri"/>
        <family val="2"/>
      </rPr>
      <t>-</t>
    </r>
    <r>
      <rPr>
        <sz val="10"/>
        <color theme="1"/>
        <rFont val="돋움"/>
        <family val="3"/>
        <charset val="129"/>
      </rPr>
      <t>일</t>
    </r>
    <phoneticPr fontId="4" type="noConversion"/>
  </si>
  <si>
    <t>ZSD_009_C012</t>
  </si>
  <si>
    <t>12 집계-확정수량-일</t>
  </si>
  <si>
    <t>ZSD_009_C014</t>
    <phoneticPr fontId="4" type="noConversion"/>
  </si>
  <si>
    <r>
      <t xml:space="preserve">14 </t>
    </r>
    <r>
      <rPr>
        <sz val="10"/>
        <color theme="1"/>
        <rFont val="돋움"/>
        <family val="3"/>
        <charset val="129"/>
      </rPr>
      <t>집계</t>
    </r>
    <r>
      <rPr>
        <sz val="10"/>
        <color theme="1"/>
        <rFont val="Calibri"/>
        <family val="2"/>
      </rPr>
      <t>-</t>
    </r>
    <r>
      <rPr>
        <sz val="10"/>
        <color theme="1"/>
        <rFont val="돋움"/>
        <family val="3"/>
        <charset val="129"/>
      </rPr>
      <t>결품수량</t>
    </r>
    <r>
      <rPr>
        <sz val="10"/>
        <color theme="1"/>
        <rFont val="Calibri"/>
        <family val="2"/>
      </rPr>
      <t>-</t>
    </r>
    <r>
      <rPr>
        <sz val="10"/>
        <color theme="1"/>
        <rFont val="돋움"/>
        <family val="3"/>
        <charset val="129"/>
      </rPr>
      <t>일</t>
    </r>
    <phoneticPr fontId="4" type="noConversion"/>
  </si>
  <si>
    <t>ZSD_009_C014</t>
  </si>
  <si>
    <t>14 집계-결품수량-일</t>
  </si>
  <si>
    <t>ZSD_009_C010_0</t>
    <phoneticPr fontId="37" type="noConversion"/>
  </si>
  <si>
    <t>정상확정</t>
    <phoneticPr fontId="4" type="noConversion"/>
  </si>
  <si>
    <t>ZSD_009_C010_0</t>
  </si>
  <si>
    <t>정상확정</t>
  </si>
  <si>
    <t>ZSD_009_C014_2</t>
    <phoneticPr fontId="37" type="noConversion"/>
  </si>
  <si>
    <t>할당초과</t>
    <phoneticPr fontId="4" type="noConversion"/>
  </si>
  <si>
    <t>ZSD_009_C014_2</t>
  </si>
  <si>
    <t>할당초과</t>
  </si>
  <si>
    <t>ZSD_009_C014_3</t>
    <phoneticPr fontId="4" type="noConversion"/>
  </si>
  <si>
    <r>
      <rPr>
        <sz val="10"/>
        <color theme="1"/>
        <rFont val="돋움"/>
        <family val="3"/>
        <charset val="129"/>
      </rPr>
      <t>프로모션</t>
    </r>
    <r>
      <rPr>
        <sz val="10"/>
        <color theme="1"/>
        <rFont val="Calibri"/>
        <family val="2"/>
      </rPr>
      <t xml:space="preserve"> </t>
    </r>
    <r>
      <rPr>
        <sz val="10"/>
        <color theme="1"/>
        <rFont val="돋움"/>
        <family val="3"/>
        <charset val="129"/>
      </rPr>
      <t>할당초과</t>
    </r>
    <phoneticPr fontId="4" type="noConversion"/>
  </si>
  <si>
    <t>ZSD_009_C014_3</t>
  </si>
  <si>
    <t>프로모션 할당초과</t>
  </si>
  <si>
    <t>ZSD_009_C014_4</t>
    <phoneticPr fontId="4" type="noConversion"/>
  </si>
  <si>
    <t>무상품부족</t>
    <phoneticPr fontId="4" type="noConversion"/>
  </si>
  <si>
    <t>ZSD_009_C014_4</t>
  </si>
  <si>
    <t>무상품부족</t>
  </si>
  <si>
    <t>ZSD_009_C014_5</t>
    <phoneticPr fontId="4" type="noConversion"/>
  </si>
  <si>
    <t>재고부족</t>
    <phoneticPr fontId="4" type="noConversion"/>
  </si>
  <si>
    <t>ZSD_009_C014_5</t>
  </si>
  <si>
    <t>재고부족</t>
  </si>
  <si>
    <t>ZSD_009_C014_6</t>
    <phoneticPr fontId="4" type="noConversion"/>
  </si>
  <si>
    <t>자재보류</t>
    <phoneticPr fontId="4" type="noConversion"/>
  </si>
  <si>
    <t>ZSD_009_C014_6</t>
  </si>
  <si>
    <t>자재보류</t>
  </si>
  <si>
    <t>ZSD_009_C014_7</t>
    <phoneticPr fontId="4" type="noConversion"/>
  </si>
  <si>
    <t>주문오류</t>
    <phoneticPr fontId="4" type="noConversion"/>
  </si>
  <si>
    <t>ZSD_009_C014_7</t>
  </si>
  <si>
    <t>주문오류</t>
  </si>
  <si>
    <t>ZSD_009_C014_8</t>
    <phoneticPr fontId="4" type="noConversion"/>
  </si>
  <si>
    <t>마스터오류</t>
    <phoneticPr fontId="4" type="noConversion"/>
  </si>
  <si>
    <t>ZSD_009_C014_8</t>
  </si>
  <si>
    <t>마스터오류</t>
  </si>
  <si>
    <t>ZSD_009_C014_9</t>
    <phoneticPr fontId="4" type="noConversion"/>
  </si>
  <si>
    <t>기타</t>
    <phoneticPr fontId="37" type="noConversion"/>
  </si>
  <si>
    <t>ZSD_009_C014_9</t>
  </si>
  <si>
    <t>매핑정의서 -DP-49.목표&amp;예상이익</t>
    <phoneticPr fontId="4" type="noConversion"/>
  </si>
  <si>
    <t>PK</t>
    <phoneticPr fontId="4" type="noConversion"/>
  </si>
  <si>
    <t>Type</t>
    <phoneticPr fontId="4" type="noConversion"/>
  </si>
  <si>
    <t>/BIC/ACCO_7051</t>
    <phoneticPr fontId="4" type="noConversion"/>
  </si>
  <si>
    <t>0caLmonth</t>
    <phoneticPr fontId="37" type="noConversion"/>
  </si>
  <si>
    <t>달력년도/월</t>
    <phoneticPr fontId="4" type="noConversion"/>
  </si>
  <si>
    <t>/BIC/ACCO_7051</t>
  </si>
  <si>
    <t>설명=GPS목표채널</t>
    <phoneticPr fontId="4" type="noConversion"/>
  </si>
  <si>
    <t>GPS_CD</t>
  </si>
  <si>
    <t>GPS목표채널 코드</t>
  </si>
  <si>
    <t>BRANDGRP</t>
  </si>
  <si>
    <t>0distr_chan</t>
    <phoneticPr fontId="4" type="noConversion"/>
  </si>
  <si>
    <t>유통경로</t>
    <phoneticPr fontId="4" type="noConversion"/>
  </si>
  <si>
    <t>DP43-1 키값임</t>
    <phoneticPr fontId="4" type="noConversion"/>
  </si>
  <si>
    <t>DIST_CHAN_KEY</t>
  </si>
  <si>
    <t>유통경로(키값)</t>
  </si>
  <si>
    <t>CUKY</t>
    <phoneticPr fontId="4" type="noConversion"/>
  </si>
  <si>
    <t>CURRENCY</t>
  </si>
  <si>
    <t>G_AVVA01</t>
  </si>
  <si>
    <t>DEC</t>
    <phoneticPr fontId="4" type="noConversion"/>
  </si>
  <si>
    <t>17,2</t>
    <phoneticPr fontId="4" type="noConversion"/>
  </si>
  <si>
    <t>A01.매출-제상품매출액(세제)</t>
  </si>
  <si>
    <t>GPS 매출 목표임</t>
  </si>
  <si>
    <t>GPS_TGT_SALES_AMT</t>
  </si>
  <si>
    <t>G_AVVE01</t>
  </si>
  <si>
    <t>E01.급여</t>
  </si>
  <si>
    <t>판관비임</t>
    <phoneticPr fontId="4" type="noConversion"/>
  </si>
  <si>
    <t>SALARY_AMT</t>
  </si>
  <si>
    <t>판관비</t>
  </si>
  <si>
    <t>이익목표</t>
  </si>
  <si>
    <t>G_AVVA01 - G_AVVE01</t>
  </si>
  <si>
    <t>TGT_PROFIT</t>
  </si>
  <si>
    <t>/BIC/ADCO_5342</t>
  </si>
  <si>
    <t>/BIC/ZR_AVVD02</t>
  </si>
  <si>
    <t>예상매출 매출임</t>
  </si>
  <si>
    <t>GPS_NM</t>
  </si>
  <si>
    <t>ZCO_608 그룹관점 손익계산서(new PL)</t>
    <phoneticPr fontId="4" type="noConversion"/>
  </si>
  <si>
    <t>0CALDAY</t>
    <phoneticPr fontId="4" type="noConversion"/>
  </si>
  <si>
    <t>달력일</t>
    <phoneticPr fontId="4" type="noConversion"/>
  </si>
  <si>
    <t>0CALMONTH</t>
    <phoneticPr fontId="4" type="noConversion"/>
  </si>
  <si>
    <t>달력 연도/월</t>
    <phoneticPr fontId="4" type="noConversion"/>
  </si>
  <si>
    <t>0VERSION</t>
    <phoneticPr fontId="4" type="noConversion"/>
  </si>
  <si>
    <t>ZSGUBUN</t>
    <phoneticPr fontId="4" type="noConversion"/>
  </si>
  <si>
    <t>리포팅 구분자</t>
    <phoneticPr fontId="4" type="noConversion"/>
  </si>
  <si>
    <t>0COMP_0COUNTRY</t>
    <phoneticPr fontId="4" type="noConversion"/>
  </si>
  <si>
    <t>국가명</t>
    <phoneticPr fontId="4" type="noConversion"/>
  </si>
  <si>
    <t>0COMP_CODE</t>
    <phoneticPr fontId="4" type="noConversion"/>
  </si>
  <si>
    <t>회사코드</t>
    <phoneticPr fontId="4" type="noConversion"/>
  </si>
  <si>
    <t>회사코드명</t>
    <phoneticPr fontId="4" type="noConversion"/>
  </si>
  <si>
    <t>0SALESORG</t>
    <phoneticPr fontId="4" type="noConversion"/>
  </si>
  <si>
    <t>영업조직</t>
    <phoneticPr fontId="4" type="noConversion"/>
  </si>
  <si>
    <t>영업조직명</t>
    <phoneticPr fontId="4" type="noConversion"/>
  </si>
  <si>
    <t>0CURRENCY</t>
    <phoneticPr fontId="4" type="noConversion"/>
  </si>
  <si>
    <t>0BASE_UOM</t>
    <phoneticPr fontId="4" type="noConversion"/>
  </si>
  <si>
    <t>매핑정의서   DP-49-2.SKU 수익성</t>
    <phoneticPr fontId="4" type="noConversion"/>
  </si>
  <si>
    <t>0MATERIAL</t>
  </si>
  <si>
    <t>이익??</t>
    <phoneticPr fontId="4" type="noConversion"/>
  </si>
  <si>
    <t>매출총이익</t>
    <phoneticPr fontId="4" type="noConversion"/>
  </si>
  <si>
    <r>
      <rPr>
        <b/>
        <sz val="14"/>
        <color theme="1"/>
        <rFont val="맑은 고딕"/>
        <family val="3"/>
        <charset val="129"/>
      </rPr>
      <t>매핑정의서</t>
    </r>
    <r>
      <rPr>
        <b/>
        <sz val="14"/>
        <color theme="1"/>
        <rFont val="Calibri"/>
        <family val="2"/>
      </rPr>
      <t xml:space="preserve"> </t>
    </r>
    <phoneticPr fontId="37" type="noConversion"/>
  </si>
  <si>
    <t>Source -sap</t>
    <phoneticPr fontId="37" type="noConversion"/>
  </si>
  <si>
    <t>Target - SCI  DB</t>
    <phoneticPr fontId="37" type="noConversion"/>
  </si>
  <si>
    <t>ZSD_IF_LGORT_LIST_BM</t>
  </si>
  <si>
    <t>T001L</t>
  </si>
  <si>
    <t>저장 위치</t>
  </si>
  <si>
    <t>LGOBE</t>
  </si>
  <si>
    <r>
      <t>저장</t>
    </r>
    <r>
      <rPr>
        <sz val="10"/>
        <color theme="1"/>
        <rFont val="Calibri"/>
        <family val="2"/>
      </rPr>
      <t xml:space="preserve"> </t>
    </r>
    <r>
      <rPr>
        <sz val="10"/>
        <color theme="1"/>
        <rFont val="돋움"/>
        <family val="3"/>
        <charset val="129"/>
      </rPr>
      <t>위치</t>
    </r>
    <r>
      <rPr>
        <sz val="10"/>
        <color theme="1"/>
        <rFont val="Calibri"/>
        <family val="2"/>
      </rPr>
      <t xml:space="preserve"> </t>
    </r>
    <r>
      <rPr>
        <sz val="10"/>
        <color theme="1"/>
        <rFont val="돋움"/>
        <family val="3"/>
        <charset val="129"/>
      </rPr>
      <t>내역</t>
    </r>
  </si>
  <si>
    <t>SLOC_NAME</t>
  </si>
  <si>
    <r>
      <t>저장</t>
    </r>
    <r>
      <rPr>
        <sz val="10"/>
        <color rgb="FF000000"/>
        <rFont val="Calibri"/>
        <family val="2"/>
      </rPr>
      <t xml:space="preserve"> </t>
    </r>
    <r>
      <rPr>
        <sz val="10"/>
        <color rgb="FF000000"/>
        <rFont val="돋움"/>
        <family val="3"/>
        <charset val="129"/>
      </rPr>
      <t>위치</t>
    </r>
    <r>
      <rPr>
        <sz val="10"/>
        <color rgb="FF000000"/>
        <rFont val="Calibri"/>
        <family val="2"/>
      </rPr>
      <t xml:space="preserve"> </t>
    </r>
    <r>
      <rPr>
        <sz val="10"/>
        <color rgb="FF000000"/>
        <rFont val="돋움"/>
        <family val="3"/>
        <charset val="129"/>
      </rPr>
      <t>내역</t>
    </r>
  </si>
  <si>
    <r>
      <t>유통</t>
    </r>
    <r>
      <rPr>
        <sz val="10"/>
        <color theme="1"/>
        <rFont val="Calibri"/>
        <family val="2"/>
      </rPr>
      <t xml:space="preserve"> </t>
    </r>
    <r>
      <rPr>
        <sz val="10"/>
        <color theme="1"/>
        <rFont val="돋움"/>
        <family val="3"/>
        <charset val="129"/>
      </rPr>
      <t>경로</t>
    </r>
  </si>
  <si>
    <r>
      <t>유통</t>
    </r>
    <r>
      <rPr>
        <sz val="10"/>
        <color rgb="FF000000"/>
        <rFont val="Calibri"/>
        <family val="2"/>
      </rPr>
      <t xml:space="preserve"> </t>
    </r>
    <r>
      <rPr>
        <sz val="10"/>
        <color rgb="FF000000"/>
        <rFont val="돋움"/>
        <family val="3"/>
        <charset val="129"/>
      </rPr>
      <t>경로</t>
    </r>
  </si>
  <si>
    <t>VSTEL</t>
  </si>
  <si>
    <r>
      <t>출하</t>
    </r>
    <r>
      <rPr>
        <sz val="10"/>
        <color theme="1"/>
        <rFont val="Calibri"/>
        <family val="2"/>
      </rPr>
      <t xml:space="preserve"> </t>
    </r>
    <r>
      <rPr>
        <sz val="10"/>
        <color theme="1"/>
        <rFont val="돋움"/>
        <family val="3"/>
        <charset val="129"/>
      </rPr>
      <t>지점</t>
    </r>
    <r>
      <rPr>
        <sz val="10"/>
        <color theme="1"/>
        <rFont val="Calibri"/>
        <family val="2"/>
      </rPr>
      <t>/</t>
    </r>
    <r>
      <rPr>
        <sz val="10"/>
        <color theme="1"/>
        <rFont val="돋움"/>
        <family val="3"/>
        <charset val="129"/>
      </rPr>
      <t>입고</t>
    </r>
    <r>
      <rPr>
        <sz val="10"/>
        <color theme="1"/>
        <rFont val="Calibri"/>
        <family val="2"/>
      </rPr>
      <t xml:space="preserve"> </t>
    </r>
    <r>
      <rPr>
        <sz val="10"/>
        <color theme="1"/>
        <rFont val="돋움"/>
        <family val="3"/>
        <charset val="129"/>
      </rPr>
      <t>지점</t>
    </r>
  </si>
  <si>
    <t>TXN_POINT</t>
  </si>
  <si>
    <r>
      <t>출하</t>
    </r>
    <r>
      <rPr>
        <sz val="10"/>
        <color rgb="FF000000"/>
        <rFont val="Calibri"/>
        <family val="2"/>
      </rPr>
      <t xml:space="preserve"> </t>
    </r>
    <r>
      <rPr>
        <sz val="10"/>
        <color rgb="FF000000"/>
        <rFont val="돋움"/>
        <family val="3"/>
        <charset val="129"/>
      </rPr>
      <t>지점</t>
    </r>
    <r>
      <rPr>
        <sz val="10"/>
        <color rgb="FF000000"/>
        <rFont val="Calibri"/>
        <family val="2"/>
      </rPr>
      <t>/</t>
    </r>
    <r>
      <rPr>
        <sz val="10"/>
        <color rgb="FF000000"/>
        <rFont val="돋움"/>
        <family val="3"/>
        <charset val="129"/>
      </rPr>
      <t>입고</t>
    </r>
    <r>
      <rPr>
        <sz val="10"/>
        <color rgb="FF000000"/>
        <rFont val="Calibri"/>
        <family val="2"/>
      </rPr>
      <t xml:space="preserve"> </t>
    </r>
    <r>
      <rPr>
        <sz val="10"/>
        <color rgb="FF000000"/>
        <rFont val="돋움"/>
        <family val="3"/>
        <charset val="129"/>
      </rPr>
      <t>지점</t>
    </r>
  </si>
  <si>
    <r>
      <t>고객</t>
    </r>
    <r>
      <rPr>
        <sz val="10"/>
        <color theme="1"/>
        <rFont val="Calibri"/>
        <family val="2"/>
      </rPr>
      <t xml:space="preserve"> </t>
    </r>
    <r>
      <rPr>
        <sz val="10"/>
        <color theme="1"/>
        <rFont val="돋움"/>
        <family val="3"/>
        <charset val="129"/>
      </rPr>
      <t>계정번호</t>
    </r>
  </si>
  <si>
    <t>CUST_ACCOUNT</t>
  </si>
  <si>
    <r>
      <t>고객</t>
    </r>
    <r>
      <rPr>
        <sz val="10"/>
        <color rgb="FF000000"/>
        <rFont val="Calibri"/>
        <family val="2"/>
      </rPr>
      <t xml:space="preserve"> </t>
    </r>
    <r>
      <rPr>
        <sz val="10"/>
        <color rgb="FF000000"/>
        <rFont val="돋움"/>
        <family val="3"/>
        <charset val="129"/>
      </rPr>
      <t>계정번호</t>
    </r>
  </si>
  <si>
    <t>EAI를 이용하여  이용하여 수신측으로 데이터 전송</t>
  </si>
  <si>
    <t xml:space="preserve">매핑정의서 </t>
    <phoneticPr fontId="37" type="noConversion"/>
  </si>
  <si>
    <t>Source - bw</t>
    <phoneticPr fontId="37" type="noConversion"/>
  </si>
  <si>
    <t>기존 맵핑정의 메져들</t>
    <phoneticPr fontId="37" type="noConversion"/>
  </si>
  <si>
    <t>BI=ZSD_001_C028</t>
  </si>
  <si>
    <t>ZSB_SQTY + ZSB_RQTY</t>
  </si>
  <si>
    <t>해체전 수량</t>
  </si>
  <si>
    <t>BI=ZSD_001_C031</t>
  </si>
  <si>
    <t>ZSB_SQTY</t>
  </si>
  <si>
    <t>해체전 판매수량</t>
  </si>
  <si>
    <t>BI=ZSD_001_C006</t>
  </si>
  <si>
    <t>ZSB_RQTY</t>
  </si>
  <si>
    <t>해체전 반품수량</t>
  </si>
  <si>
    <t>BI=ZSD_001_C011</t>
  </si>
  <si>
    <t>ZSB_SAMT1 + ZSB_RAMT1</t>
    <phoneticPr fontId="37" type="noConversion"/>
  </si>
  <si>
    <t>해체전 금액</t>
  </si>
  <si>
    <t>BI=ZSD_001_C020</t>
  </si>
  <si>
    <t>ZSB_SAMT1</t>
  </si>
  <si>
    <t>해체전 판매금액</t>
  </si>
  <si>
    <t>BI=ZSD_001_C032</t>
  </si>
  <si>
    <t>ZSB_RAMT1</t>
  </si>
  <si>
    <t>해체전 반품금액</t>
  </si>
  <si>
    <t>BI=ZSD_001_C033</t>
  </si>
  <si>
    <t>045 해체전_판매(수량)</t>
  </si>
  <si>
    <t>ZSA_SQTY + ZSA_RQTY</t>
  </si>
  <si>
    <t>해체후 수량</t>
  </si>
  <si>
    <t>ZSA_SQTY</t>
  </si>
  <si>
    <t>해체후 판매수량</t>
  </si>
  <si>
    <t>ZSA_RQTY</t>
  </si>
  <si>
    <t>해체후 반품수량</t>
  </si>
  <si>
    <t>ZSA_SAMT1 + ZSA_RAMT1</t>
  </si>
  <si>
    <t>해체후 금액</t>
  </si>
  <si>
    <t>ZSA_SAMT1</t>
  </si>
  <si>
    <t>해체후 판매금액</t>
  </si>
  <si>
    <t>ZSA_RAMT1</t>
  </si>
  <si>
    <t>해체후 반품금액</t>
  </si>
  <si>
    <t>매핑정의서
DP-53.  신제품 추정 단가 (SAP)</t>
    <phoneticPr fontId="37" type="noConversion"/>
  </si>
  <si>
    <t>ZSD_IF_CUSPR_BM</t>
  </si>
  <si>
    <t>Desc(EN)</t>
    <phoneticPr fontId="37" type="noConversion"/>
  </si>
  <si>
    <t>ZSDT7180</t>
    <phoneticPr fontId="37" type="noConversion"/>
  </si>
  <si>
    <t>MANDT</t>
  </si>
  <si>
    <t>클라이언트</t>
  </si>
  <si>
    <t>SPMON</t>
  </si>
  <si>
    <t>자재 유형</t>
  </si>
  <si>
    <t>ITEM_TYPE</t>
  </si>
  <si>
    <t>기존자재번호</t>
  </si>
  <si>
    <t>OLD_ITEM</t>
  </si>
  <si>
    <t>ZZRPPRD</t>
    <phoneticPr fontId="4" type="noConversion"/>
  </si>
  <si>
    <t>HEAD_ITEM</t>
  </si>
  <si>
    <t>ITEM_GRD</t>
  </si>
  <si>
    <t>RNETPR</t>
  </si>
  <si>
    <t>예상가격</t>
  </si>
  <si>
    <t>개발의뢰서상 예상소비자가. 단위: 백원단위임(가격*100처리해야함)</t>
  </si>
  <si>
    <t>EXPEC_SELL_PRICE</t>
  </si>
  <si>
    <t>개발의뢰서의 예상소비자가(100원단위)</t>
  </si>
  <si>
    <t>SRC_PLANT</t>
  </si>
  <si>
    <t>가격 관리</t>
  </si>
  <si>
    <t>STPRS</t>
  </si>
  <si>
    <t>표준가</t>
  </si>
  <si>
    <t>VERPR</t>
  </si>
  <si>
    <t>이동평균가</t>
  </si>
  <si>
    <t>가격 단위</t>
  </si>
  <si>
    <t>단가</t>
  </si>
  <si>
    <t>REGDT</t>
  </si>
  <si>
    <t>REGNM</t>
  </si>
  <si>
    <t>등록인</t>
  </si>
  <si>
    <t>INTPR01</t>
  </si>
  <si>
    <t>내부가</t>
  </si>
  <si>
    <t>INTPR02</t>
  </si>
  <si>
    <t>수기단가</t>
  </si>
  <si>
    <t>INTPR03</t>
  </si>
  <si>
    <t>추정내부가</t>
    <phoneticPr fontId="37" type="noConversion"/>
  </si>
  <si>
    <t>INTPR04</t>
  </si>
  <si>
    <t>기존자재코드내부가</t>
  </si>
  <si>
    <t>INTPR05</t>
  </si>
  <si>
    <t>대표상품코드내부가</t>
  </si>
  <si>
    <t>INTPR06</t>
  </si>
  <si>
    <t>원가</t>
  </si>
  <si>
    <t>INTPR07</t>
  </si>
  <si>
    <t>가단가</t>
  </si>
  <si>
    <t>INTPR</t>
  </si>
  <si>
    <t>추정 내부가</t>
  </si>
  <si>
    <t>CUSPR</t>
  </si>
  <si>
    <t>추정소비자가(vat 제외)</t>
  </si>
  <si>
    <t>CUSRESON</t>
  </si>
  <si>
    <t>로직설명</t>
  </si>
  <si>
    <t>생성일</t>
  </si>
  <si>
    <t>시간</t>
  </si>
  <si>
    <t>생성자</t>
  </si>
  <si>
    <t>변경 시간</t>
  </si>
  <si>
    <t>변경자</t>
  </si>
  <si>
    <t>매핑정의서
SP-43.  라우팅관리(SAP)</t>
    <phoneticPr fontId="37" type="noConversion"/>
  </si>
  <si>
    <t>ZPP_SEND_ROUTING1_SP</t>
  </si>
  <si>
    <t>티코드-ZPP10330</t>
    <phoneticPr fontId="37" type="noConversion"/>
  </si>
  <si>
    <t>자재내역</t>
  </si>
  <si>
    <t>ITEM_NM</t>
  </si>
  <si>
    <t>PLNNR</t>
  </si>
  <si>
    <t>그룹카운터1</t>
  </si>
  <si>
    <t>그룹카운터</t>
  </si>
  <si>
    <t>LTXA1</t>
    <phoneticPr fontId="4" type="noConversion"/>
  </si>
  <si>
    <t>순서내역</t>
  </si>
  <si>
    <t>LTXA1</t>
  </si>
  <si>
    <t>VLNNR</t>
    <phoneticPr fontId="4" type="noConversion"/>
  </si>
  <si>
    <t>DATUV</t>
    <phoneticPr fontId="4" type="noConversion"/>
  </si>
  <si>
    <t>PLKO</t>
  </si>
  <si>
    <t>PLNAL</t>
  </si>
  <si>
    <t>그룹카운터2</t>
  </si>
  <si>
    <t>PLNFL</t>
  </si>
  <si>
    <t>순서</t>
  </si>
  <si>
    <t>BMSCH</t>
  </si>
  <si>
    <t>기준수량</t>
  </si>
  <si>
    <t>공정단위</t>
  </si>
  <si>
    <t>VGW01</t>
  </si>
  <si>
    <t>액티비티값1</t>
  </si>
  <si>
    <t>VGE01</t>
  </si>
  <si>
    <t>액티비티단위1</t>
  </si>
  <si>
    <t>VGW02</t>
  </si>
  <si>
    <t>액티비티값2</t>
  </si>
  <si>
    <t>VGE02</t>
  </si>
  <si>
    <t>액티비티단위2</t>
  </si>
  <si>
    <t>VGW03</t>
  </si>
  <si>
    <t>액티비티값3</t>
  </si>
  <si>
    <t>VGE03</t>
  </si>
  <si>
    <t>액티비티단위3</t>
  </si>
  <si>
    <t>VGW04</t>
  </si>
  <si>
    <t>액티비티값4</t>
  </si>
  <si>
    <t>VGE04</t>
  </si>
  <si>
    <t>액티비티단위4</t>
  </si>
  <si>
    <t>ANZMA</t>
    <phoneticPr fontId="4" type="noConversion"/>
  </si>
  <si>
    <t>사원수</t>
  </si>
  <si>
    <t>ANZMA</t>
  </si>
  <si>
    <t>USR05</t>
  </si>
  <si>
    <t>생산능력</t>
  </si>
  <si>
    <t>USR04</t>
  </si>
  <si>
    <t>로트크기</t>
  </si>
  <si>
    <t>USR00</t>
  </si>
  <si>
    <t>제형</t>
  </si>
  <si>
    <t>USR01</t>
  </si>
  <si>
    <t>냉각기</t>
  </si>
  <si>
    <t>USR02</t>
  </si>
  <si>
    <t>라인구분</t>
  </si>
  <si>
    <t>FIELDNAME</t>
  </si>
  <si>
    <t>ZIPRICE</t>
    <phoneticPr fontId="4" type="noConversion"/>
  </si>
  <si>
    <t>단가유형</t>
  </si>
  <si>
    <t>ZIPRICE</t>
  </si>
  <si>
    <t>LOSVN</t>
  </si>
  <si>
    <t>LOSBS</t>
  </si>
  <si>
    <t>최대로트크기</t>
  </si>
  <si>
    <t>시작로트크기</t>
  </si>
  <si>
    <t>삭제11월28일</t>
    <phoneticPr fontId="4" type="noConversion"/>
  </si>
  <si>
    <t>매핑정의서
SP-44.  라우팅관리(SAP)2</t>
    <phoneticPr fontId="37" type="noConversion"/>
  </si>
  <si>
    <t>ZPP_SEND_ROUTING2_SP</t>
  </si>
  <si>
    <t>티코드-ZPP10350A</t>
    <phoneticPr fontId="37" type="noConversion"/>
  </si>
  <si>
    <t>티코드-ZPP10350A</t>
  </si>
  <si>
    <t>PLNNR</t>
    <phoneticPr fontId="4" type="noConversion"/>
  </si>
  <si>
    <t>KTEXT</t>
  </si>
  <si>
    <t>내역</t>
  </si>
  <si>
    <t>VGWTS</t>
  </si>
  <si>
    <t>표준값키</t>
  </si>
  <si>
    <t>STEUS</t>
  </si>
  <si>
    <t>컨트롤키</t>
  </si>
  <si>
    <t>VORNR</t>
  </si>
  <si>
    <t>공정</t>
  </si>
  <si>
    <t>PLNME</t>
  </si>
  <si>
    <t>변환단위</t>
  </si>
  <si>
    <t>짧은내역</t>
  </si>
  <si>
    <t>VGW05</t>
  </si>
  <si>
    <t>액티비티값5</t>
  </si>
  <si>
    <t>VGE05</t>
  </si>
  <si>
    <t>액티비티단위5</t>
  </si>
  <si>
    <t>SLWID</t>
  </si>
  <si>
    <t>Categorykey</t>
  </si>
  <si>
    <t>단위환산헤더</t>
  </si>
  <si>
    <t>단위환산작업</t>
  </si>
  <si>
    <t>PAR01</t>
  </si>
  <si>
    <t>액티비티유형1</t>
  </si>
  <si>
    <t>PAR02</t>
  </si>
  <si>
    <t>액티비티유형2</t>
  </si>
  <si>
    <t>PAR03</t>
  </si>
  <si>
    <t>액티비티유형3</t>
  </si>
  <si>
    <t>매핑정의서
SP-45. 영업저장위치관리</t>
    <phoneticPr fontId="37" type="noConversion"/>
  </si>
  <si>
    <t>ZSD_IF_LGORT_VKORG_BM</t>
  </si>
  <si>
    <t>ZSDT0021</t>
  </si>
  <si>
    <t>LWERKS</t>
  </si>
  <si>
    <t>DC플랜트</t>
  </si>
  <si>
    <t>LLGORT</t>
  </si>
  <si>
    <t>DC저장위치</t>
  </si>
  <si>
    <t>영업플랜트</t>
  </si>
  <si>
    <t>영업저장위치</t>
  </si>
  <si>
    <t>매핑정의서
DP-55. SAP압축품의 정보</t>
    <phoneticPr fontId="37" type="noConversion"/>
  </si>
  <si>
    <t>관련 티코드 ZSC00288</t>
    <phoneticPr fontId="37" type="noConversion"/>
  </si>
  <si>
    <t>CPRMONTH</t>
  </si>
  <si>
    <t>압축월</t>
  </si>
  <si>
    <t>제품코드</t>
    <phoneticPr fontId="37" type="noConversion"/>
  </si>
  <si>
    <t>제품명</t>
    <phoneticPr fontId="37" type="noConversion"/>
  </si>
  <si>
    <t>제품명</t>
  </si>
  <si>
    <t>RQDAT</t>
  </si>
  <si>
    <t>압축 품의 일자(상신일자)</t>
  </si>
  <si>
    <t>SMDAT</t>
  </si>
  <si>
    <t>압축 품의 일자(승인일자)</t>
  </si>
  <si>
    <t>ZSCT0076C</t>
    <phoneticPr fontId="37" type="noConversion"/>
  </si>
  <si>
    <t>APSTK</t>
    <phoneticPr fontId="37" type="noConversion"/>
  </si>
  <si>
    <t>승인상태</t>
    <phoneticPr fontId="37" type="noConversion"/>
  </si>
  <si>
    <t>승인상태</t>
  </si>
  <si>
    <t>압축사유 코드</t>
    <phoneticPr fontId="4" type="noConversion"/>
  </si>
  <si>
    <t>압축사유명</t>
    <phoneticPr fontId="4" type="noConversion"/>
  </si>
  <si>
    <t>요청번호</t>
    <phoneticPr fontId="4" type="noConversion"/>
  </si>
  <si>
    <t>CPRREQNO</t>
  </si>
  <si>
    <t xml:space="preserve">압축요청번호 </t>
  </si>
  <si>
    <t>일련번호</t>
    <phoneticPr fontId="4" type="noConversion"/>
  </si>
  <si>
    <t>CPRSEQNO</t>
  </si>
  <si>
    <t xml:space="preserve">압축일련번호 </t>
  </si>
  <si>
    <t>⑤추가정의데이터!A1</t>
  </si>
  <si>
    <t>매핑정의서
SP-46. SAP재고에이징데이터(중국)</t>
    <phoneticPr fontId="37" type="noConversion"/>
  </si>
  <si>
    <t>샘플데이터</t>
    <phoneticPr fontId="37" type="noConversion"/>
  </si>
  <si>
    <t>byte</t>
    <phoneticPr fontId="37" type="noConversion"/>
  </si>
  <si>
    <t>ZWMT5030</t>
    <phoneticPr fontId="37" type="noConversion"/>
  </si>
  <si>
    <t>100</t>
  </si>
  <si>
    <t>Date in Format YYYYMMSS in 8 Characters</t>
  </si>
  <si>
    <t>CN10</t>
  </si>
  <si>
    <t>1009</t>
  </si>
  <si>
    <t>LGTYP</t>
  </si>
  <si>
    <t>Storage type</t>
  </si>
  <si>
    <t>0400</t>
  </si>
  <si>
    <t>LGPLA</t>
  </si>
  <si>
    <t>Storage bin</t>
  </si>
  <si>
    <t>1F-10-05-3</t>
  </si>
  <si>
    <t>000000000111989764</t>
  </si>
  <si>
    <t>DSTAN</t>
  </si>
  <si>
    <t>경과기준1</t>
  </si>
  <si>
    <t>7</t>
  </si>
  <si>
    <t>DSTAN2</t>
  </si>
  <si>
    <t>경과기준2</t>
  </si>
  <si>
    <t>0007</t>
  </si>
  <si>
    <t>WDATU</t>
  </si>
  <si>
    <t>요청일</t>
  </si>
  <si>
    <t>VERME</t>
  </si>
  <si>
    <t>조건율</t>
  </si>
  <si>
    <t>PKBETR</t>
  </si>
  <si>
    <t>금액</t>
  </si>
  <si>
    <t>Outsourcing</t>
  </si>
  <si>
    <t>INTL</t>
  </si>
  <si>
    <t>EA</t>
  </si>
  <si>
    <t>CNY</t>
  </si>
  <si>
    <t>13</t>
  </si>
  <si>
    <t>MVGR1_TXT</t>
  </si>
  <si>
    <t>Promotional_Other Sample</t>
  </si>
  <si>
    <t>BVERME</t>
  </si>
  <si>
    <t>Rows count</t>
  </si>
  <si>
    <t>ZPRODAT</t>
  </si>
  <si>
    <t>Production Date</t>
    <phoneticPr fontId="4" type="noConversion"/>
  </si>
  <si>
    <t>Production Date</t>
  </si>
  <si>
    <t>ZSTKTYP</t>
  </si>
  <si>
    <t>Stock Type</t>
  </si>
  <si>
    <t>2F</t>
  </si>
  <si>
    <t>ZSTKTYP_TXT</t>
  </si>
  <si>
    <t>Stock Type 내역</t>
  </si>
  <si>
    <t>Avail (1009)special sale(Close</t>
  </si>
  <si>
    <t>CRDATE</t>
  </si>
  <si>
    <t>CRTIME</t>
  </si>
  <si>
    <t>생성 시간</t>
  </si>
  <si>
    <t>CRNAME</t>
  </si>
  <si>
    <t>IF_EWP</t>
  </si>
  <si>
    <t>CHDATE</t>
  </si>
  <si>
    <t>CHTIME</t>
  </si>
  <si>
    <t>CHNAME</t>
  </si>
  <si>
    <t>매핑정의서
DP-57. BW 코드별 네이밍 마스터</t>
    <phoneticPr fontId="37" type="noConversion"/>
  </si>
  <si>
    <t>Source - bw</t>
    <phoneticPr fontId="4" type="noConversion"/>
  </si>
  <si>
    <t>Desc(ENG)</t>
  </si>
  <si>
    <t>SAP 코드정의 테이블</t>
    <phoneticPr fontId="4" type="noConversion"/>
  </si>
  <si>
    <t>A024</t>
  </si>
  <si>
    <t>고객유형</t>
  </si>
  <si>
    <t>소싱그룹</t>
    <phoneticPr fontId="4" type="noConversion"/>
  </si>
  <si>
    <t>매핑정의서
DP-56. 수출포장모듈</t>
    <phoneticPr fontId="37" type="noConversion"/>
  </si>
  <si>
    <t>MARM</t>
    <phoneticPr fontId="37" type="noConversion"/>
  </si>
  <si>
    <t>대체단위</t>
  </si>
  <si>
    <t>분자</t>
  </si>
  <si>
    <t>매핑정의서 - 재고저장위치
Stock Location</t>
    <phoneticPr fontId="4" type="noConversion"/>
  </si>
  <si>
    <t>로케이션그룹</t>
  </si>
  <si>
    <t>StorageLocation</t>
  </si>
  <si>
    <t>STOCKYN</t>
  </si>
  <si>
    <t>재고포함 여부</t>
  </si>
  <si>
    <t>Stock Included Flag</t>
  </si>
  <si>
    <t>EnableFlag</t>
  </si>
  <si>
    <t>매핑정의서 - PG / 거래처 매핑</t>
    <phoneticPr fontId="4" type="noConversion"/>
  </si>
  <si>
    <t>INST_DT</t>
  </si>
  <si>
    <t>Creation Date</t>
  </si>
  <si>
    <t>CreationDate</t>
  </si>
  <si>
    <t>INST_SEQ</t>
  </si>
  <si>
    <t>Insert Sequence</t>
  </si>
  <si>
    <t>INSERT Sequence</t>
  </si>
  <si>
    <t>InsertSEQ</t>
  </si>
  <si>
    <t>SMNTP</t>
  </si>
  <si>
    <t>플래이닝그룹유형</t>
  </si>
  <si>
    <t>Pla Inning Group Type</t>
  </si>
  <si>
    <t>PGType</t>
  </si>
  <si>
    <t>PGLVL</t>
  </si>
  <si>
    <t>PG그룹</t>
  </si>
  <si>
    <t>PG group</t>
  </si>
  <si>
    <t>PG</t>
  </si>
  <si>
    <t>VGRP</t>
  </si>
  <si>
    <t>Customer group</t>
  </si>
  <si>
    <t>CustomerGroup</t>
  </si>
  <si>
    <t xml:space="preserve">거래처코드 </t>
  </si>
  <si>
    <t>Shipto Code</t>
  </si>
  <si>
    <t>Sold_to_Party</t>
    <phoneticPr fontId="4" type="noConversion"/>
  </si>
  <si>
    <t xml:space="preserve">효력 종료일 </t>
  </si>
  <si>
    <t>Effect End Date</t>
  </si>
  <si>
    <t xml:space="preserve">효력 시작일 </t>
  </si>
  <si>
    <t>Effect Start Date</t>
  </si>
  <si>
    <t>SCPFLG</t>
  </si>
  <si>
    <t>SCP재고 운영여부</t>
  </si>
  <si>
    <t>SCP inventory operation</t>
  </si>
  <si>
    <t>SCPFlag</t>
  </si>
  <si>
    <t>매핑정의서 - 주문 결품 수량
Order performance/Out-of-stock Quantiry</t>
    <phoneticPr fontId="4" type="noConversion"/>
  </si>
  <si>
    <t>쿼리에 있는 항목 그대로 사용</t>
  </si>
  <si>
    <t>OrderQty</t>
  </si>
  <si>
    <t>Order quantity</t>
  </si>
  <si>
    <t>NormConfirm</t>
  </si>
  <si>
    <t>Normal confirmation</t>
  </si>
  <si>
    <t>AllocExcess</t>
  </si>
  <si>
    <t>Allocation</t>
  </si>
  <si>
    <t>PromoAllocExcess</t>
  </si>
  <si>
    <t>Promotional Alloccendal</t>
  </si>
  <si>
    <t>GoodsShort</t>
  </si>
  <si>
    <t>Goods Short</t>
  </si>
  <si>
    <t>OnHandShort</t>
  </si>
  <si>
    <t>out-of-stock quantity</t>
  </si>
  <si>
    <t>ItemPending</t>
  </si>
  <si>
    <t>Item Pending</t>
  </si>
  <si>
    <t>OrderError</t>
  </si>
  <si>
    <t>Order error</t>
  </si>
  <si>
    <t>MasterError</t>
  </si>
  <si>
    <t>Master error</t>
  </si>
  <si>
    <t>Etc</t>
  </si>
  <si>
    <t>etc</t>
  </si>
  <si>
    <t>ShortQty</t>
  </si>
  <si>
    <t>결품수량</t>
  </si>
  <si>
    <t>OrderConfirmQty</t>
  </si>
  <si>
    <t>주문확정수량</t>
  </si>
  <si>
    <t>Order confirmed quantity</t>
  </si>
  <si>
    <t>매핑정의서 - 판매실적</t>
    <phoneticPr fontId="4" type="noConversion"/>
  </si>
  <si>
    <t xml:space="preserve">0calweek  </t>
  </si>
  <si>
    <t>TXNDATE</t>
    <phoneticPr fontId="4" type="noConversion"/>
  </si>
  <si>
    <t>일자</t>
    <phoneticPr fontId="4" type="noConversion"/>
  </si>
  <si>
    <t>Day</t>
    <phoneticPr fontId="4" type="noConversion"/>
  </si>
  <si>
    <t>zpgcode</t>
  </si>
  <si>
    <t>SoldToParty</t>
    <phoneticPr fontId="4" type="noConversion"/>
  </si>
  <si>
    <t>BeforeQty</t>
  </si>
  <si>
    <t>Quantity Before Dismantling</t>
  </si>
  <si>
    <t>BeforeSalesQty</t>
  </si>
  <si>
    <t xml:space="preserve">Sales volume Before Dismantling </t>
  </si>
  <si>
    <t>BeforeReturnQty</t>
  </si>
  <si>
    <t>Return Quantity Before Dismantling</t>
  </si>
  <si>
    <t>ZSB_SAMT1 + ZSB_RAMT1</t>
  </si>
  <si>
    <t>BeforePrice</t>
  </si>
  <si>
    <t>Amount Before Dismantling</t>
  </si>
  <si>
    <t>BeforeSalesPrice</t>
  </si>
  <si>
    <t>Sales Amount Before Dismantling</t>
  </si>
  <si>
    <t>BeforeReturnPrice</t>
  </si>
  <si>
    <t>Return Before Dismantling</t>
  </si>
  <si>
    <t>AfterQty</t>
  </si>
  <si>
    <t>Quantity After Dismantling</t>
  </si>
  <si>
    <t>AfterSalesQty</t>
  </si>
  <si>
    <t>Sales  Quantity After Dismantling</t>
  </si>
  <si>
    <t>AfterReturnQty</t>
  </si>
  <si>
    <t>Return quantity after dismantling</t>
  </si>
  <si>
    <t>AfterPrice</t>
  </si>
  <si>
    <t>Amount After Dismantling</t>
  </si>
  <si>
    <t>AfterSalesPrice</t>
  </si>
  <si>
    <t>Sales Price  After Dismantling</t>
  </si>
  <si>
    <t>AfterReturnPrice</t>
  </si>
  <si>
    <t>Return Price After Dismantling</t>
  </si>
  <si>
    <t>매핑정의서 - SKU 목표
SKU Goal</t>
    <phoneticPr fontId="4" type="noConversion"/>
  </si>
  <si>
    <t xml:space="preserve">zbrang </t>
  </si>
  <si>
    <t>zskutcnt</t>
  </si>
  <si>
    <t>SKUQty</t>
  </si>
  <si>
    <t>SKU수</t>
  </si>
  <si>
    <t>SKU number</t>
  </si>
  <si>
    <t>매핑정의서 - 작업장 마스터</t>
    <phoneticPr fontId="4" type="noConversion"/>
  </si>
  <si>
    <t>Source Table : ZPP_IF_WORKCENTER_SEND_SP</t>
    <phoneticPr fontId="4" type="noConversion"/>
  </si>
  <si>
    <t>ZPP_IF_WORKCENTER_SEND_BM_SP</t>
  </si>
  <si>
    <t>라인코드 --&gt; 작업장</t>
  </si>
  <si>
    <t>WTEXT</t>
  </si>
  <si>
    <t>작업장명</t>
  </si>
  <si>
    <t>Workplace</t>
  </si>
  <si>
    <t>LineDesc</t>
  </si>
  <si>
    <t>라인명</t>
  </si>
  <si>
    <t>플랜트 코드</t>
  </si>
  <si>
    <t>매핑정의서 - ROS</t>
    <phoneticPr fontId="4" type="noConversion"/>
  </si>
  <si>
    <t>Source Table : MWRKTI_ROS_PACK_PRFR_SND</t>
    <phoneticPr fontId="4" type="noConversion"/>
  </si>
  <si>
    <t>PLNT_CD</t>
  </si>
  <si>
    <t>플랜트_코드</t>
  </si>
  <si>
    <t>IF_TRMS_DTTM</t>
  </si>
  <si>
    <t>인터페이스전송일시</t>
  </si>
  <si>
    <t>Interface transmission date</t>
  </si>
  <si>
    <t>IFDate</t>
  </si>
  <si>
    <t>IF_TRMS_SN</t>
  </si>
  <si>
    <t>인터페이스순번</t>
  </si>
  <si>
    <t>Interface order</t>
  </si>
  <si>
    <t>IFSeq</t>
  </si>
  <si>
    <t>MES_DML_PROC_CL_CD</t>
  </si>
  <si>
    <t>MES데이터조작언어처리구분코드 
C:등록, U:수정, D:취소</t>
  </si>
  <si>
    <t>MES data operation language processing cord
C: Registration, U: Crystal, D: Cancel</t>
  </si>
  <si>
    <t>STS_CRE_DT</t>
  </si>
  <si>
    <t>생성_일자</t>
  </si>
  <si>
    <t>Creation date</t>
  </si>
  <si>
    <t>MES_WKNS_ID</t>
  </si>
  <si>
    <t>SAP_MTRL_CD</t>
  </si>
  <si>
    <t>자재_코드</t>
  </si>
  <si>
    <t>PACK_LN_PRNK</t>
  </si>
  <si>
    <t>우선순위</t>
  </si>
  <si>
    <t>Priority</t>
  </si>
  <si>
    <t>PACK_PRFR_VL</t>
  </si>
  <si>
    <t>13,3</t>
  </si>
  <si>
    <t>producing ability</t>
  </si>
  <si>
    <t>Capa</t>
  </si>
  <si>
    <t>PACK_EFC_VL</t>
  </si>
  <si>
    <t>생산효율</t>
  </si>
  <si>
    <t>Production efficiency</t>
  </si>
  <si>
    <t>Efficiency</t>
  </si>
  <si>
    <t>PACK_INJ_EMP_CNT_VL</t>
  </si>
  <si>
    <t>Number of employees</t>
  </si>
  <si>
    <t>EmpCnt</t>
  </si>
  <si>
    <t>PRSN_EXCH_PREP_TIME_VL</t>
  </si>
  <si>
    <t>준비교체 시간</t>
  </si>
  <si>
    <t>Preparation replacement time</t>
  </si>
  <si>
    <t>MaintenanceTime</t>
  </si>
  <si>
    <t>ROS_NO</t>
  </si>
  <si>
    <t>ROS NO</t>
  </si>
  <si>
    <t>APLY_BGN_DT</t>
  </si>
  <si>
    <t>MES_PROC_ID</t>
  </si>
  <si>
    <t>처리_ID</t>
  </si>
  <si>
    <t>Treatment ID</t>
  </si>
  <si>
    <t>TransactionID</t>
  </si>
  <si>
    <t>매핑정의서 - GPS 채널 마스터</t>
  </si>
  <si>
    <t xml:space="preserve">Source Table : </t>
  </si>
  <si>
    <t xml:space="preserve">Target Table : </t>
  </si>
  <si>
    <t>GPS 채널 코드</t>
  </si>
  <si>
    <t>GPS 채널 명</t>
  </si>
  <si>
    <t>I' (Insert) , 'U'(Update), 'D'(Delete)</t>
  </si>
  <si>
    <t>매핑정의서 - 오픈SO(계획용)</t>
    <phoneticPr fontId="4" type="noConversion"/>
  </si>
  <si>
    <t>2025.12.05</t>
    <phoneticPr fontId="4" type="noConversion"/>
  </si>
  <si>
    <t xml:space="preserve">Target Table : </t>
    <phoneticPr fontId="4" type="noConversion"/>
  </si>
  <si>
    <t>VBAK-ERDAT</t>
    <phoneticPr fontId="4" type="noConversion"/>
  </si>
  <si>
    <t>ERDAT</t>
    <phoneticPr fontId="4" type="noConversion"/>
  </si>
  <si>
    <t>DATS</t>
    <phoneticPr fontId="4" type="noConversion"/>
  </si>
  <si>
    <t>레코드 생성일</t>
    <phoneticPr fontId="4" type="noConversion"/>
  </si>
  <si>
    <t>VBAK-AUART</t>
    <phoneticPr fontId="4" type="noConversion"/>
  </si>
  <si>
    <t>AUART</t>
    <phoneticPr fontId="4" type="noConversion"/>
  </si>
  <si>
    <t>판매 문서 유형</t>
    <phoneticPr fontId="4" type="noConversion"/>
  </si>
  <si>
    <t>VBEP-VBELN</t>
    <phoneticPr fontId="4" type="noConversion"/>
  </si>
  <si>
    <t>VBELN</t>
    <phoneticPr fontId="4" type="noConversion"/>
  </si>
  <si>
    <t>판매 문서</t>
    <phoneticPr fontId="4" type="noConversion"/>
  </si>
  <si>
    <t>VBEP-POSNR</t>
    <phoneticPr fontId="4" type="noConversion"/>
  </si>
  <si>
    <t>POSNR</t>
    <phoneticPr fontId="4" type="noConversion"/>
  </si>
  <si>
    <t>판매 문서 품목</t>
    <phoneticPr fontId="4" type="noConversion"/>
  </si>
  <si>
    <t>VBAK-VKORG</t>
    <phoneticPr fontId="4" type="noConversion"/>
  </si>
  <si>
    <t>VKORG</t>
    <phoneticPr fontId="4" type="noConversion"/>
  </si>
  <si>
    <t>KNA1-KUNNR</t>
    <phoneticPr fontId="4" type="noConversion"/>
  </si>
  <si>
    <t>KUNNR</t>
    <phoneticPr fontId="4" type="noConversion"/>
  </si>
  <si>
    <t>거래처번호</t>
    <phoneticPr fontId="4" type="noConversion"/>
  </si>
  <si>
    <t>KNA1-KTOKD</t>
    <phoneticPr fontId="4" type="noConversion"/>
  </si>
  <si>
    <t>KTOKD</t>
    <phoneticPr fontId="4" type="noConversion"/>
  </si>
  <si>
    <t>고객 계정 그룹</t>
    <phoneticPr fontId="4" type="noConversion"/>
  </si>
  <si>
    <t>VBAK-AUGRU</t>
    <phoneticPr fontId="4" type="noConversion"/>
  </si>
  <si>
    <t>AUGRU</t>
    <phoneticPr fontId="4" type="noConversion"/>
  </si>
  <si>
    <t>오더사유</t>
    <phoneticPr fontId="4" type="noConversion"/>
  </si>
  <si>
    <t>VBAP-WERKS</t>
    <phoneticPr fontId="4" type="noConversion"/>
  </si>
  <si>
    <t>VBAP-LGORT</t>
    <phoneticPr fontId="4" type="noConversion"/>
  </si>
  <si>
    <t>저장 위치</t>
    <phoneticPr fontId="4" type="noConversion"/>
  </si>
  <si>
    <t>VBAP-MATNR</t>
    <phoneticPr fontId="4" type="noConversion"/>
  </si>
  <si>
    <t>자재 번호</t>
    <phoneticPr fontId="4" type="noConversion"/>
  </si>
  <si>
    <t>VBAP-ABGRU</t>
    <phoneticPr fontId="4" type="noConversion"/>
  </si>
  <si>
    <t>ABGRU</t>
    <phoneticPr fontId="4" type="noConversion"/>
  </si>
  <si>
    <t>거부사유</t>
    <phoneticPr fontId="4" type="noConversion"/>
  </si>
  <si>
    <t>VBAK-VDATU</t>
    <phoneticPr fontId="4" type="noConversion"/>
  </si>
  <si>
    <t>VDATU</t>
    <phoneticPr fontId="4" type="noConversion"/>
  </si>
  <si>
    <t>납품요청일</t>
    <phoneticPr fontId="4" type="noConversion"/>
  </si>
  <si>
    <t>VBEP-TDDAT</t>
    <phoneticPr fontId="4" type="noConversion"/>
  </si>
  <si>
    <t>TDDAT</t>
    <phoneticPr fontId="4" type="noConversion"/>
  </si>
  <si>
    <t>Dlv. First Date</t>
    <phoneticPr fontId="4" type="noConversion"/>
  </si>
  <si>
    <t>VBEP-BMENG</t>
    <phoneticPr fontId="4" type="noConversion"/>
  </si>
  <si>
    <t>BMENG</t>
    <phoneticPr fontId="4" type="noConversion"/>
  </si>
  <si>
    <t>QUAN</t>
    <phoneticPr fontId="4" type="noConversion"/>
  </si>
  <si>
    <t>확정수량</t>
    <phoneticPr fontId="4" type="noConversion"/>
  </si>
  <si>
    <t>매핑정의서 - 판매처별 위탁재고</t>
    <phoneticPr fontId="4" type="noConversion"/>
  </si>
  <si>
    <t>CUST</t>
  </si>
  <si>
    <t>CHARG</t>
    <phoneticPr fontId="4" type="noConversion"/>
  </si>
  <si>
    <t>배치 번호</t>
  </si>
  <si>
    <t>BATCH_NO</t>
  </si>
  <si>
    <t>가용재고</t>
    <phoneticPr fontId="4" type="noConversion"/>
  </si>
  <si>
    <t>INV_QTY</t>
  </si>
  <si>
    <t>마감일자</t>
    <phoneticPr fontId="4" type="noConversion"/>
  </si>
  <si>
    <t>취소됨</t>
  </si>
  <si>
    <t>ZPP_IF_STD_PRICE_SEND_BM_SP</t>
  </si>
  <si>
    <t>ZPP_IF_BOM_SEND_BM_SP</t>
  </si>
  <si>
    <t>ZPP_IF_VENDOR_SEND_BM_SP</t>
  </si>
  <si>
    <t>ZSD_SEND_ORG_BM_01</t>
    <phoneticPr fontId="4" type="noConversion"/>
  </si>
  <si>
    <t>ZSD_SEND_MATERIAL_01</t>
    <phoneticPr fontId="4" type="noConversion"/>
  </si>
  <si>
    <t>ZPP_IF_MAT_SEND_BM_SP</t>
    <phoneticPr fontId="4" type="noConversion"/>
  </si>
  <si>
    <t>SDI8363</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</si>
</sst>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76" formatCode="0_);[Red]\(0\)"/>
    <numFmt numFmtId="177" formatCode="yyyy\.mm\.dd"/>
    <numFmt numFmtId="178" formatCode="&quot;00&quot;General"/>
    <numFmt numFmtId="179" formatCode="mm&quot;월&quot;\ dd&quot;일&quot;"/>
    <numFmt numFmtId="180" formatCode="###,000"/>
  </numFmts>
  <fonts count="117">
    <font>
      <sz val="11"/>
      <color theme="1"/>
      <name val="맑은 고딕"/>
      <family val="2"/>
      <charset val="129"/>
      <scheme val="minor"/>
    </font>
    <font>
      <sz val="11"/>
      <color theme="1"/>
      <name val="맑은 고딕"/>
      <family val="2"/>
      <charset val="129"/>
    </font>
    <font>
      <sz val="11"/>
      <color theme="1"/>
      <name val="맑은 고딕"/>
      <family val="2"/>
      <charset val="129"/>
    </font>
    <font>
      <sz val="9"/>
      <color rgb="FF000000"/>
      <name val="맑은 고딕"/>
      <family val="3"/>
      <charset val="129"/>
    </font>
    <font>
      <sz val="8"/>
      <name val="맑은 고딕"/>
      <family val="2"/>
      <charset val="129"/>
      <scheme val="minor"/>
    </font>
    <font>
      <sz val="9"/>
      <color theme="1"/>
      <name val="맑은 고딕"/>
      <family val="3"/>
      <charset val="129"/>
      <scheme val="minor"/>
    </font>
    <font>
      <sz val="9"/>
      <color theme="1"/>
      <name val="맑은 고딕"/>
      <family val="3"/>
      <charset val="129"/>
    </font>
    <font>
      <sz val="8"/>
      <name val="맑은 고딕"/>
      <family val="3"/>
      <charset val="129"/>
      <scheme val="minor"/>
    </font>
    <font>
      <b/>
      <sz val="9"/>
      <color theme="1"/>
      <name val="맑은 고딕"/>
      <family val="3"/>
      <charset val="129"/>
    </font>
    <font>
      <sz val="10"/>
      <color theme="1"/>
      <name val="Calibri"/>
      <family val="2"/>
    </font>
    <font>
      <sz val="11"/>
      <color theme="1"/>
      <name val="Calibri"/>
      <family val="2"/>
    </font>
    <font>
      <sz val="11"/>
      <color theme="1"/>
      <name val="맑은 고딕"/>
      <family val="2"/>
      <scheme val="minor"/>
    </font>
    <font>
      <u/>
      <sz val="11"/>
      <color theme="10"/>
      <name val="맑은 고딕"/>
      <family val="2"/>
      <scheme val="minor"/>
    </font>
    <font>
      <sz val="9"/>
      <color theme="0" tint="-0.34998626667073579"/>
      <name val="맑은 고딕"/>
      <family val="3"/>
      <charset val="129"/>
    </font>
    <font>
      <u/>
      <sz val="9"/>
      <color theme="1"/>
      <name val="맑은 고딕"/>
      <family val="3"/>
      <charset val="129"/>
      <scheme val="minor"/>
    </font>
    <font>
      <sz val="10"/>
      <color theme="1"/>
      <name val="맑은 고딕"/>
      <family val="2"/>
      <charset val="129"/>
      <scheme val="minor"/>
    </font>
    <font>
      <b/>
      <sz val="10"/>
      <color theme="1"/>
      <name val="맑은 고딕"/>
      <family val="3"/>
      <charset val="129"/>
      <scheme val="minor"/>
    </font>
    <font>
      <sz val="9"/>
      <color theme="1"/>
      <name val="맑은 고딕"/>
      <family val="2"/>
      <charset val="129"/>
      <scheme val="minor"/>
    </font>
    <font>
      <b/>
      <sz val="9"/>
      <color rgb="FF000000"/>
      <name val="맑은 고딕"/>
      <family val="3"/>
      <charset val="129"/>
    </font>
    <font>
      <b/>
      <sz val="11"/>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0"/>
      <name val="맑은 고딕"/>
      <family val="3"/>
      <charset val="129"/>
      <scheme val="minor"/>
    </font>
    <font>
      <sz val="10"/>
      <name val="맑은 고딕"/>
      <family val="3"/>
      <charset val="129"/>
      <scheme val="minor"/>
    </font>
    <font>
      <sz val="10"/>
      <color theme="1"/>
      <name val="맑은 고딕"/>
      <family val="3"/>
      <charset val="129"/>
      <scheme val="minor"/>
    </font>
    <font>
      <sz val="11"/>
      <name val="맑은 고딕"/>
      <family val="3"/>
      <charset val="129"/>
      <scheme val="minor"/>
    </font>
    <font>
      <b/>
      <sz val="14"/>
      <color rgb="FF000000"/>
      <name val="맑은 고딕"/>
      <family val="3"/>
      <charset val="129"/>
      <scheme val="minor"/>
    </font>
    <font>
      <sz val="11"/>
      <color rgb="FF000000"/>
      <name val="맑은 고딕"/>
      <family val="3"/>
      <charset val="129"/>
      <scheme val="minor"/>
    </font>
    <font>
      <b/>
      <sz val="11"/>
      <color rgb="FF000000"/>
      <name val="맑은 고딕"/>
      <family val="3"/>
      <charset val="129"/>
      <scheme val="minor"/>
    </font>
    <font>
      <sz val="14"/>
      <color rgb="FF000000"/>
      <name val="맑은 고딕"/>
      <family val="3"/>
      <charset val="129"/>
      <scheme val="minor"/>
    </font>
    <font>
      <b/>
      <sz val="10"/>
      <color rgb="FFFFFFFF"/>
      <name val="맑은 고딕"/>
      <family val="3"/>
      <charset val="129"/>
      <scheme val="minor"/>
    </font>
    <font>
      <sz val="10"/>
      <color rgb="FF000000"/>
      <name val="맑은 고딕"/>
      <family val="3"/>
      <charset val="129"/>
      <scheme val="minor"/>
    </font>
    <font>
      <b/>
      <sz val="9"/>
      <color theme="1"/>
      <name val="맑은 고딕"/>
      <family val="3"/>
      <charset val="129"/>
      <scheme val="minor"/>
    </font>
    <font>
      <sz val="10"/>
      <color rgb="FFFF0000"/>
      <name val="맑은 고딕"/>
      <family val="3"/>
      <charset val="129"/>
      <scheme val="minor"/>
    </font>
    <font>
      <sz val="9"/>
      <name val="맑은 고딕"/>
      <family val="3"/>
      <charset val="129"/>
      <scheme val="minor"/>
    </font>
    <font>
      <sz val="8"/>
      <color theme="1"/>
      <name val="맑은 고딕"/>
      <family val="3"/>
      <charset val="129"/>
      <scheme val="minor"/>
    </font>
    <font>
      <sz val="10"/>
      <color rgb="FF000000"/>
      <name val="Calibri"/>
      <family val="2"/>
    </font>
    <font>
      <sz val="8"/>
      <name val="맑은 고딕"/>
      <family val="2"/>
      <charset val="129"/>
    </font>
    <font>
      <sz val="10"/>
      <color theme="1"/>
      <name val="돋움"/>
      <family val="3"/>
      <charset val="129"/>
    </font>
    <font>
      <sz val="10"/>
      <color theme="1"/>
      <name val="맑은 고딕"/>
      <family val="3"/>
      <charset val="129"/>
    </font>
    <font>
      <sz val="11"/>
      <color theme="1"/>
      <name val="돋움"/>
      <family val="3"/>
      <charset val="129"/>
    </font>
    <font>
      <sz val="10"/>
      <color theme="1"/>
      <name val="맑은 고딕"/>
      <family val="2"/>
      <charset val="129"/>
    </font>
    <font>
      <strike/>
      <sz val="10"/>
      <color rgb="FFFF0000"/>
      <name val="Calibri"/>
      <family val="2"/>
    </font>
    <font>
      <sz val="12"/>
      <color theme="1"/>
      <name val="맑은 고딕"/>
      <family val="3"/>
      <charset val="129"/>
      <scheme val="minor"/>
    </font>
    <font>
      <sz val="12"/>
      <color rgb="FF000000"/>
      <name val="맑은 고딕"/>
      <family val="3"/>
      <charset val="129"/>
      <scheme val="minor"/>
    </font>
    <font>
      <u/>
      <sz val="11"/>
      <color theme="10"/>
      <name val="맑은 고딕"/>
      <family val="2"/>
      <charset val="129"/>
    </font>
    <font>
      <b/>
      <sz val="14"/>
      <color theme="1"/>
      <name val="Calibri"/>
      <family val="3"/>
      <charset val="129"/>
    </font>
    <font>
      <b/>
      <sz val="14"/>
      <color theme="1"/>
      <name val="맑은 고딕"/>
      <family val="3"/>
      <charset val="129"/>
    </font>
    <font>
      <b/>
      <sz val="14"/>
      <color theme="1"/>
      <name val="Calibri"/>
      <family val="2"/>
    </font>
    <font>
      <sz val="11"/>
      <name val="Calibri"/>
      <family val="2"/>
    </font>
    <font>
      <b/>
      <sz val="10"/>
      <color theme="1"/>
      <name val="Calibri"/>
      <family val="2"/>
    </font>
    <font>
      <b/>
      <sz val="10"/>
      <color rgb="FFFFFFFF"/>
      <name val="Calibri"/>
      <family val="2"/>
    </font>
    <font>
      <sz val="10"/>
      <color theme="1"/>
      <name val="Malgun Gothic"/>
      <family val="3"/>
      <charset val="129"/>
    </font>
    <font>
      <strike/>
      <sz val="10"/>
      <color rgb="FFFF0000"/>
      <name val="맑은 고딕"/>
      <family val="3"/>
      <charset val="129"/>
      <scheme val="minor"/>
    </font>
    <font>
      <u/>
      <sz val="15"/>
      <color theme="10"/>
      <name val="맑은 고딕"/>
      <family val="2"/>
      <scheme val="minor"/>
    </font>
    <font>
      <b/>
      <sz val="12"/>
      <color theme="1"/>
      <name val="Calibri"/>
      <family val="2"/>
    </font>
    <font>
      <u/>
      <sz val="11"/>
      <color theme="10"/>
      <name val="맑은 고딕"/>
      <family val="2"/>
      <charset val="129"/>
      <scheme val="minor"/>
    </font>
    <font>
      <u/>
      <sz val="12"/>
      <color theme="10"/>
      <name val="맑은 고딕"/>
      <family val="3"/>
      <charset val="129"/>
      <scheme val="minor"/>
    </font>
    <font>
      <sz val="12"/>
      <name val="맑은 고딕"/>
      <family val="3"/>
      <charset val="129"/>
      <scheme val="minor"/>
    </font>
    <font>
      <b/>
      <sz val="12"/>
      <color rgb="FFFFFFFF"/>
      <name val="맑은 고딕"/>
      <family val="3"/>
      <charset val="129"/>
      <scheme val="minor"/>
    </font>
    <font>
      <strike/>
      <sz val="12"/>
      <color rgb="FFFF0000"/>
      <name val="맑은 고딕"/>
      <family val="3"/>
      <charset val="129"/>
      <scheme val="minor"/>
    </font>
    <font>
      <sz val="10"/>
      <color rgb="FF000000"/>
      <name val="맑은 고딕"/>
      <family val="3"/>
      <charset val="129"/>
    </font>
    <font>
      <sz val="11"/>
      <color rgb="FF000000"/>
      <name val="Calibri"/>
      <family val="2"/>
    </font>
    <font>
      <sz val="10"/>
      <color rgb="FF000000"/>
      <name val="돋움"/>
      <family val="3"/>
      <charset val="129"/>
    </font>
    <font>
      <sz val="10"/>
      <color rgb="FF000000"/>
      <name val="Arial Unicode MS"/>
      <family val="3"/>
      <charset val="129"/>
    </font>
    <font>
      <sz val="11"/>
      <color rgb="FF000000"/>
      <name val="맑은 고딕"/>
      <family val="3"/>
      <charset val="129"/>
    </font>
    <font>
      <sz val="8"/>
      <color rgb="FF1F497D"/>
      <name val="Verdana"/>
      <family val="2"/>
    </font>
    <font>
      <b/>
      <sz val="9"/>
      <name val="맑은 고딕"/>
      <family val="3"/>
      <charset val="129"/>
      <scheme val="minor"/>
    </font>
    <font>
      <sz val="11"/>
      <color rgb="FFFF0000"/>
      <name val="맑은 고딕"/>
      <family val="3"/>
      <charset val="129"/>
    </font>
    <font>
      <sz val="10"/>
      <color rgb="FFFF0000"/>
      <name val="Calibri"/>
      <family val="2"/>
    </font>
    <font>
      <sz val="10"/>
      <color rgb="FFFF0000"/>
      <name val="돋움"/>
      <family val="3"/>
      <charset val="129"/>
    </font>
    <font>
      <b/>
      <sz val="8"/>
      <color rgb="FF1F497D"/>
      <name val="Verdana"/>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sz val="8"/>
      <color rgb="FFDBE5F1"/>
      <name val="Verdana"/>
      <family val="2"/>
    </font>
    <font>
      <i/>
      <sz val="8"/>
      <color rgb="FF000000"/>
      <name val="Verdana"/>
      <family val="2"/>
    </font>
    <font>
      <b/>
      <i/>
      <sz val="8"/>
      <color rgb="FF000000"/>
      <name val="Verdana"/>
      <family val="2"/>
    </font>
    <font>
      <b/>
      <i/>
      <sz val="8"/>
      <color rgb="FF1F497D"/>
      <name val="Verdana"/>
      <family val="2"/>
    </font>
    <font>
      <i/>
      <sz val="8"/>
      <color rgb="FF1F497D"/>
      <name val="Verdana"/>
      <family val="2"/>
    </font>
    <font>
      <sz val="10"/>
      <color rgb="FFFF0000"/>
      <name val="맑은 고딕"/>
      <family val="2"/>
      <charset val="129"/>
      <scheme val="minor"/>
    </font>
    <font>
      <u/>
      <sz val="10"/>
      <color theme="10"/>
      <name val="맑은 고딕"/>
      <family val="2"/>
      <scheme val="minor"/>
    </font>
    <font>
      <u/>
      <sz val="10"/>
      <color theme="10"/>
      <name val="맑은 고딕"/>
      <family val="2"/>
      <charset val="129"/>
    </font>
    <font>
      <sz val="10"/>
      <name val="맑은 고딕"/>
      <family val="3"/>
      <charset val="129"/>
    </font>
    <font>
      <strike/>
      <sz val="10"/>
      <color theme="1"/>
      <name val="맑은 고딕"/>
      <family val="3"/>
      <charset val="129"/>
      <scheme val="minor"/>
    </font>
    <font>
      <strike/>
      <sz val="10"/>
      <color rgb="FF000000"/>
      <name val="맑은 고딕"/>
      <family val="3"/>
      <charset val="129"/>
      <scheme val="minor"/>
    </font>
    <font>
      <sz val="10"/>
      <color rgb="FF000000"/>
      <name val="맑은 고딕"/>
      <family val="3"/>
    </font>
    <font>
      <sz val="9"/>
      <color rgb="FF000000"/>
      <name val="맑은 고딕"/>
      <family val="3"/>
    </font>
    <font>
      <strike/>
      <sz val="12"/>
      <color theme="1"/>
      <name val="맑은 고딕"/>
      <family val="3"/>
      <charset val="129"/>
      <scheme val="minor"/>
    </font>
    <font>
      <strike/>
      <sz val="12"/>
      <color rgb="FF000000"/>
      <name val="맑은 고딕"/>
      <family val="3"/>
      <charset val="129"/>
      <scheme val="minor"/>
    </font>
    <font>
      <u/>
      <sz val="11"/>
      <color theme="10"/>
      <name val="맑은 고딕"/>
      <family val="3"/>
      <charset val="129"/>
    </font>
    <font>
      <u/>
      <sz val="11"/>
      <color theme="10"/>
      <name val="맑은 고딕"/>
      <family val="3"/>
      <charset val="129"/>
      <scheme val="minor"/>
    </font>
    <font>
      <b/>
      <sz val="12"/>
      <name val="맑은 고딕"/>
      <family val="3"/>
      <charset val="129"/>
      <scheme val="minor"/>
    </font>
    <font>
      <b/>
      <sz val="10"/>
      <color rgb="FFFF0000"/>
      <name val="맑은 고딕"/>
      <family val="3"/>
      <charset val="129"/>
      <scheme val="minor"/>
    </font>
    <font>
      <sz val="10"/>
      <color rgb="FFFF0000"/>
      <name val="맑은 고딕"/>
      <family val="3"/>
      <charset val="129"/>
    </font>
    <font>
      <sz val="12"/>
      <color rgb="FFFF0000"/>
      <name val="맑은 고딕"/>
      <family val="3"/>
      <charset val="129"/>
      <scheme val="minor"/>
    </font>
    <font>
      <sz val="10"/>
      <color theme="1"/>
      <name val="돋움"/>
      <family val="3"/>
    </font>
    <font>
      <sz val="10"/>
      <color rgb="FFFF0000"/>
      <name val="맑은 고딕"/>
      <family val="3"/>
    </font>
    <font>
      <sz val="10"/>
      <color rgb="FFFF0000"/>
      <name val="Arial Unicode MS"/>
      <family val="2"/>
      <charset val="129"/>
    </font>
    <font>
      <u/>
      <sz val="10"/>
      <color theme="10"/>
      <name val="맑은 고딕"/>
      <family val="2"/>
      <charset val="129"/>
      <scheme val="minor"/>
    </font>
    <font>
      <u/>
      <sz val="10"/>
      <color theme="10"/>
      <name val="맑은 고딕"/>
      <family val="3"/>
      <charset val="129"/>
    </font>
    <font>
      <b/>
      <sz val="11"/>
      <color rgb="FF000000"/>
      <name val="맑은 고딕"/>
      <family val="3"/>
      <charset val="129"/>
    </font>
    <font>
      <sz val="9"/>
      <color rgb="FFFF0000"/>
      <name val="맑은 고딕"/>
      <family val="3"/>
      <charset val="129"/>
      <scheme val="minor"/>
    </font>
    <font>
      <sz val="9"/>
      <color rgb="FFFF0000"/>
      <name val="맑은 고딕"/>
      <family val="3"/>
      <charset val="129"/>
    </font>
    <font>
      <u/>
      <sz val="11"/>
      <color rgb="FFFF0000"/>
      <name val="맑은 고딕"/>
      <family val="3"/>
      <charset val="129"/>
      <scheme val="minor"/>
    </font>
    <font>
      <sz val="11"/>
      <color rgb="FFFF0000"/>
      <name val="맑은 고딕"/>
      <family val="3"/>
      <charset val="129"/>
      <scheme val="minor"/>
    </font>
    <font>
      <strike/>
      <sz val="9"/>
      <color rgb="FFFF0000"/>
      <name val="맑은 고딕"/>
      <family val="3"/>
      <charset val="129"/>
      <scheme val="minor"/>
    </font>
    <font>
      <strike/>
      <sz val="11"/>
      <color rgb="FFFF0000"/>
      <name val="맑은 고딕"/>
      <family val="3"/>
      <charset val="129"/>
      <scheme val="minor"/>
    </font>
    <font>
      <strike/>
      <sz val="9"/>
      <color rgb="FFFF0000"/>
      <name val="맑은 고딕"/>
      <family val="3"/>
      <charset val="129"/>
    </font>
    <font>
      <strike/>
      <u/>
      <sz val="11"/>
      <color rgb="FFFF0000"/>
      <name val="맑은 고딕"/>
      <family val="3"/>
      <charset val="129"/>
      <scheme val="minor"/>
    </font>
    <font>
      <sz val="12"/>
      <color rgb="FF000000"/>
      <name val="맑은 고딕"/>
      <family val="3"/>
    </font>
    <font>
      <b/>
      <sz val="9"/>
      <color rgb="FF000000"/>
      <name val="맑은 고딕"/>
      <family val="3"/>
    </font>
    <font>
      <sz val="10"/>
      <color theme="1" tint="0.499984740745262"/>
      <name val="맑은 고딕"/>
      <family val="3"/>
      <charset val="129"/>
      <scheme val="minor"/>
    </font>
    <font>
      <strike/>
      <sz val="10"/>
      <name val="맑은 고딕"/>
      <family val="3"/>
      <charset val="129"/>
      <scheme val="minor"/>
    </font>
  </fonts>
  <fills count="52">
    <fill>
      <patternFill patternType="none"/>
    </fill>
    <fill>
      <patternFill patternType="gray125"/>
    </fill>
    <fill>
      <patternFill patternType="solid">
        <fgColor rgb="FFCCCCCC"/>
        <bgColor indexed="64"/>
      </patternFill>
    </fill>
    <fill>
      <patternFill patternType="solid">
        <fgColor rgb="FFF2F2F2"/>
        <bgColor indexed="64"/>
      </patternFill>
    </fill>
    <fill>
      <patternFill patternType="solid">
        <fgColor rgb="FFFFFF00"/>
        <bgColor indexed="64"/>
      </patternFill>
    </fill>
    <fill>
      <patternFill patternType="solid">
        <fgColor rgb="FFD0CECE"/>
        <bgColor rgb="FFD0CECE"/>
      </patternFill>
    </fill>
    <fill>
      <patternFill patternType="solid">
        <fgColor theme="0"/>
        <bgColor indexed="64"/>
      </patternFill>
    </fill>
    <fill>
      <patternFill patternType="solid">
        <fgColor theme="0"/>
        <bgColor theme="0"/>
      </patternFill>
    </fill>
    <fill>
      <patternFill patternType="solid">
        <fgColor theme="0"/>
        <bgColor rgb="FFF4B083"/>
      </patternFill>
    </fill>
    <fill>
      <patternFill patternType="solid">
        <fgColor rgb="FF808080"/>
        <bgColor rgb="FF808080"/>
      </patternFill>
    </fill>
    <fill>
      <patternFill patternType="solid">
        <fgColor rgb="FFC0C0C0"/>
        <bgColor rgb="FFC0C0C0"/>
      </patternFill>
    </fill>
    <fill>
      <patternFill patternType="solid">
        <fgColor theme="0" tint="-0.14999847407452621"/>
        <bgColor indexed="64"/>
      </patternFill>
    </fill>
    <fill>
      <patternFill patternType="solid">
        <fgColor theme="0"/>
        <bgColor rgb="FFFFC000"/>
      </patternFill>
    </fill>
    <fill>
      <patternFill patternType="solid">
        <fgColor theme="0"/>
        <bgColor rgb="FFFF0000"/>
      </patternFill>
    </fill>
    <fill>
      <patternFill patternType="solid">
        <fgColor rgb="FFFFFF00"/>
        <bgColor theme="0"/>
      </patternFill>
    </fill>
    <fill>
      <patternFill patternType="solid">
        <fgColor rgb="FFFFFF00"/>
        <bgColor rgb="FFFFC000"/>
      </patternFill>
    </fill>
    <fill>
      <patternFill patternType="solid">
        <fgColor theme="3" tint="0.89999084444715716"/>
        <bgColor indexed="64"/>
      </patternFill>
    </fill>
    <fill>
      <patternFill patternType="solid">
        <fgColor theme="9" tint="0.79998168889431442"/>
        <bgColor indexed="64"/>
      </patternFill>
    </fill>
    <fill>
      <patternFill patternType="solid">
        <fgColor rgb="FFFF0000"/>
        <bgColor indexed="64"/>
      </patternFill>
    </fill>
    <fill>
      <patternFill patternType="solid">
        <fgColor theme="0" tint="-0.249977111117893"/>
        <bgColor rgb="FFD0CECE"/>
      </patternFill>
    </fill>
    <fill>
      <patternFill patternType="solid">
        <fgColor theme="0" tint="-0.249977111117893"/>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theme="0"/>
      </patternFill>
    </fill>
    <fill>
      <patternFill patternType="solid">
        <fgColor theme="9" tint="0.79998168889431442"/>
        <bgColor theme="0"/>
      </patternFill>
    </fill>
    <fill>
      <patternFill patternType="solid">
        <fgColor theme="5" tint="0.79998168889431442"/>
        <bgColor indexed="64"/>
      </patternFill>
    </fill>
    <fill>
      <patternFill patternType="solid">
        <fgColor rgb="FFFFC000"/>
        <bgColor indexed="64"/>
      </patternFill>
    </fill>
    <fill>
      <patternFill patternType="solid">
        <fgColor theme="0" tint="-0.34998626667073579"/>
        <bgColor indexed="64"/>
      </patternFill>
    </fill>
    <fill>
      <patternFill patternType="solid">
        <fgColor rgb="FFC00000"/>
        <bgColor indexed="64"/>
      </patternFill>
    </fill>
    <fill>
      <patternFill patternType="solid">
        <fgColor theme="0" tint="-0.34998626667073579"/>
        <bgColor theme="0"/>
      </patternFill>
    </fill>
    <fill>
      <patternFill patternType="solid">
        <fgColor rgb="FFFFFF00"/>
        <bgColor rgb="FFFFFF00"/>
      </patternFill>
    </fill>
    <fill>
      <patternFill patternType="solid">
        <fgColor theme="8" tint="0.79998168889431442"/>
        <bgColor indexed="64"/>
      </patternFill>
    </fill>
    <fill>
      <patternFill patternType="solid">
        <fgColor rgb="FFFFFFFF"/>
        <bgColor rgb="FFFFFFFF"/>
      </patternFill>
    </fill>
    <fill>
      <patternFill patternType="solid">
        <fgColor rgb="FFFFFFFF"/>
        <bgColor rgb="FF000000"/>
      </patternFill>
    </fill>
    <fill>
      <patternFill patternType="solid">
        <fgColor rgb="FFDBE5F1"/>
        <bgColor rgb="FFFFFFFF"/>
      </patternFill>
    </fill>
    <fill>
      <patternFill patternType="solid">
        <fgColor rgb="FFDBE5F1"/>
        <bgColor rgb="FF000000"/>
      </patternFill>
    </fill>
    <fill>
      <patternFill patternType="solid">
        <fgColor rgb="FFF1F5FB"/>
        <bgColor rgb="FF000000"/>
      </patternFill>
    </fill>
    <fill>
      <patternFill patternType="solid">
        <fgColor rgb="FFE9EFF7"/>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F2F2F2"/>
        <bgColor rgb="FF000000"/>
      </patternFill>
    </fill>
    <fill>
      <patternFill patternType="solid">
        <fgColor rgb="FFFFFF00"/>
        <bgColor rgb="FF000000"/>
      </patternFill>
    </fill>
  </fills>
  <borders count="153">
    <border>
      <left/>
      <right/>
      <top/>
      <bottom/>
      <diagonal/>
    </border>
    <border>
      <left style="thin">
        <color rgb="FFA6A6A6"/>
      </left>
      <right style="thin">
        <color rgb="FFA6A6A6"/>
      </right>
      <top style="thin">
        <color rgb="FFA6A6A6"/>
      </top>
      <bottom style="thin">
        <color rgb="FFA6A6A6"/>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medium">
        <color rgb="FFFF0000"/>
      </right>
      <top style="thin">
        <color indexed="64"/>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style="thin">
        <color indexed="64"/>
      </bottom>
      <diagonal/>
    </border>
    <border>
      <left/>
      <right style="medium">
        <color rgb="FFFF0000"/>
      </right>
      <top style="thin">
        <color rgb="FF000000"/>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rgb="FFA6A6A6"/>
      </right>
      <top style="thin">
        <color rgb="FFA6A6A6"/>
      </top>
      <bottom style="thin">
        <color rgb="FFA6A6A6"/>
      </bottom>
      <diagonal/>
    </border>
    <border>
      <left style="thin">
        <color rgb="FFA6A6A6"/>
      </left>
      <right style="medium">
        <color indexed="64"/>
      </right>
      <top style="thin">
        <color rgb="FFA6A6A6"/>
      </top>
      <bottom style="thin">
        <color rgb="FFA6A6A6"/>
      </bottom>
      <diagonal/>
    </border>
    <border>
      <left style="medium">
        <color indexed="64"/>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style="medium">
        <color indexed="64"/>
      </right>
      <top style="thin">
        <color rgb="FFA6A6A6"/>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medium">
        <color indexed="64"/>
      </left>
      <right style="thin">
        <color indexed="64"/>
      </right>
      <top/>
      <bottom style="thin">
        <color indexed="64"/>
      </bottom>
      <diagonal/>
    </border>
    <border>
      <left style="thin">
        <color rgb="FF000000"/>
      </left>
      <right style="thin">
        <color rgb="FF000000"/>
      </right>
      <top style="thin">
        <color rgb="FF000000"/>
      </top>
      <bottom style="medium">
        <color rgb="FFFF0000"/>
      </bottom>
      <diagonal/>
    </border>
    <border>
      <left style="thin">
        <color rgb="FF000000"/>
      </left>
      <right style="thin">
        <color rgb="FF000000"/>
      </right>
      <top/>
      <bottom style="medium">
        <color rgb="FFFF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medium">
        <color rgb="FF000000"/>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FF0000"/>
      </bottom>
      <diagonal/>
    </border>
    <border>
      <left style="thin">
        <color rgb="FF000000"/>
      </left>
      <right style="medium">
        <color rgb="FF000000"/>
      </right>
      <top/>
      <bottom style="medium">
        <color rgb="FFFF0000"/>
      </bottom>
      <diagonal/>
    </border>
    <border>
      <left style="medium">
        <color rgb="FF000000"/>
      </left>
      <right style="thin">
        <color rgb="FF000000"/>
      </right>
      <top/>
      <bottom style="medium">
        <color rgb="FFFF0000"/>
      </bottom>
      <diagonal/>
    </border>
    <border>
      <left style="medium">
        <color rgb="FFFF0000"/>
      </left>
      <right style="thin">
        <color rgb="FF000000"/>
      </right>
      <top style="medium">
        <color rgb="FFFF0000"/>
      </top>
      <bottom style="thin">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FF0000"/>
      </right>
      <top style="thin">
        <color rgb="FF000000"/>
      </top>
      <bottom style="thin">
        <color rgb="FF000000"/>
      </bottom>
      <diagonal/>
    </border>
    <border>
      <left style="medium">
        <color rgb="FFFF0000"/>
      </left>
      <right style="thin">
        <color rgb="FF000000"/>
      </right>
      <top/>
      <bottom style="thin">
        <color rgb="FF000000"/>
      </bottom>
      <diagonal/>
    </border>
    <border>
      <left style="medium">
        <color rgb="FFFF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FF0000"/>
      </left>
      <right style="thin">
        <color rgb="FF000000"/>
      </right>
      <top style="thin">
        <color rgb="FF000000"/>
      </top>
      <bottom style="medium">
        <color rgb="FFFF0000"/>
      </bottom>
      <diagonal/>
    </border>
    <border>
      <left style="thin">
        <color rgb="FF000000"/>
      </left>
      <right/>
      <top style="thin">
        <color rgb="FF000000"/>
      </top>
      <bottom style="medium">
        <color rgb="FFFF0000"/>
      </bottom>
      <diagonal/>
    </border>
    <border>
      <left style="thin">
        <color rgb="FF000000"/>
      </left>
      <right style="medium">
        <color rgb="FFFF0000"/>
      </right>
      <top style="thin">
        <color rgb="FF000000"/>
      </top>
      <bottom style="medium">
        <color rgb="FFFF0000"/>
      </bottom>
      <diagonal/>
    </border>
    <border>
      <left style="medium">
        <color rgb="FFFF0000"/>
      </left>
      <right/>
      <top style="medium">
        <color rgb="FFFF0000"/>
      </top>
      <bottom style="thin">
        <color rgb="FF000000"/>
      </bottom>
      <diagonal/>
    </border>
    <border>
      <left/>
      <right style="thin">
        <color rgb="FF000000"/>
      </right>
      <top style="medium">
        <color rgb="FFFF0000"/>
      </top>
      <bottom style="thin">
        <color rgb="FF000000"/>
      </bottom>
      <diagonal/>
    </border>
    <border>
      <left style="thin">
        <color rgb="FF000000"/>
      </left>
      <right/>
      <top style="medium">
        <color rgb="FFFF0000"/>
      </top>
      <bottom style="thin">
        <color rgb="FF000000"/>
      </bottom>
      <diagonal/>
    </border>
    <border>
      <left/>
      <right/>
      <top style="medium">
        <color rgb="FFFF0000"/>
      </top>
      <bottom style="thin">
        <color rgb="FF000000"/>
      </bottom>
      <diagonal/>
    </border>
    <border>
      <left/>
      <right style="medium">
        <color rgb="FFFF0000"/>
      </right>
      <top style="medium">
        <color rgb="FFFF0000"/>
      </top>
      <bottom style="thin">
        <color rgb="FF000000"/>
      </bottom>
      <diagonal/>
    </border>
    <border>
      <left style="medium">
        <color rgb="FFFF0000"/>
      </left>
      <right/>
      <top style="thin">
        <color rgb="FF000000"/>
      </top>
      <bottom style="thin">
        <color rgb="FF000000"/>
      </bottom>
      <diagonal/>
    </border>
    <border>
      <left/>
      <right style="medium">
        <color rgb="FFFF0000"/>
      </right>
      <top style="thin">
        <color rgb="FF000000"/>
      </top>
      <bottom style="thin">
        <color rgb="FF000000"/>
      </bottom>
      <diagonal/>
    </border>
    <border>
      <left style="medium">
        <color rgb="FFFF0000"/>
      </left>
      <right/>
      <top style="thin">
        <color rgb="FF000000"/>
      </top>
      <bottom style="medium">
        <color rgb="FFFF0000"/>
      </bottom>
      <diagonal/>
    </border>
    <border>
      <left/>
      <right style="thin">
        <color rgb="FF000000"/>
      </right>
      <top style="thin">
        <color rgb="FF000000"/>
      </top>
      <bottom style="medium">
        <color rgb="FFFF0000"/>
      </bottom>
      <diagonal/>
    </border>
    <border>
      <left/>
      <right/>
      <top style="thin">
        <color rgb="FF000000"/>
      </top>
      <bottom style="medium">
        <color rgb="FFFF0000"/>
      </bottom>
      <diagonal/>
    </border>
    <border>
      <left/>
      <right style="medium">
        <color rgb="FFFF0000"/>
      </right>
      <top style="thin">
        <color rgb="FF000000"/>
      </top>
      <bottom style="medium">
        <color rgb="FFFF0000"/>
      </bottom>
      <diagonal/>
    </border>
    <border>
      <left style="medium">
        <color rgb="FFFF0000"/>
      </left>
      <right/>
      <top/>
      <bottom style="thin">
        <color rgb="FF000000"/>
      </bottom>
      <diagonal/>
    </border>
    <border>
      <left/>
      <right/>
      <top/>
      <bottom style="thin">
        <color rgb="FF000000"/>
      </bottom>
      <diagonal/>
    </border>
    <border>
      <left/>
      <right style="medium">
        <color rgb="FFFF0000"/>
      </right>
      <top/>
      <bottom style="thin">
        <color rgb="FF000000"/>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medium">
        <color rgb="FFFF0000"/>
      </left>
      <right style="medium">
        <color rgb="FFFF0000"/>
      </right>
      <top style="medium">
        <color rgb="FFFF0000"/>
      </top>
      <bottom style="medium">
        <color rgb="FFFF0000"/>
      </bottom>
      <diagonal/>
    </border>
    <border>
      <left style="medium">
        <color indexed="64"/>
      </left>
      <right/>
      <top style="thin">
        <color indexed="64"/>
      </top>
      <bottom style="thin">
        <color indexed="64"/>
      </bottom>
      <diagonal/>
    </border>
    <border>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thin">
        <color rgb="FF000000"/>
      </left>
      <right style="medium">
        <color rgb="FFFF0000"/>
      </right>
      <top/>
      <bottom style="thin">
        <color rgb="FF000000"/>
      </bottom>
      <diagonal/>
    </border>
    <border>
      <left style="hair">
        <color indexed="64"/>
      </left>
      <right/>
      <top style="hair">
        <color indexed="64"/>
      </top>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thin">
        <color rgb="FFA6A6A6"/>
      </top>
      <bottom style="thin">
        <color rgb="FFA6A6A6"/>
      </bottom>
      <diagonal/>
    </border>
    <border>
      <left style="medium">
        <color indexed="64"/>
      </left>
      <right style="medium">
        <color indexed="64"/>
      </right>
      <top style="thin">
        <color rgb="FFA6A6A6"/>
      </top>
      <bottom/>
      <diagonal/>
    </border>
    <border>
      <left/>
      <right/>
      <top style="thin">
        <color indexed="64"/>
      </top>
      <bottom style="thin">
        <color indexed="64"/>
      </bottom>
      <diagonal/>
    </border>
    <border>
      <left/>
      <right style="hair">
        <color indexed="64"/>
      </right>
      <top style="hair">
        <color indexed="64"/>
      </top>
      <bottom/>
      <diagonal/>
    </border>
    <border>
      <left style="medium">
        <color indexed="64"/>
      </left>
      <right style="medium">
        <color indexed="64"/>
      </right>
      <top style="hair">
        <color indexed="64"/>
      </top>
      <bottom/>
      <diagonal/>
    </border>
    <border>
      <left style="medium">
        <color indexed="64"/>
      </left>
      <right style="thin">
        <color rgb="FFA6A6A6"/>
      </right>
      <top style="medium">
        <color indexed="64"/>
      </top>
      <bottom/>
      <diagonal/>
    </border>
    <border>
      <left style="thin">
        <color rgb="FFA6A6A6"/>
      </left>
      <right style="thin">
        <color rgb="FFA6A6A6"/>
      </right>
      <top style="medium">
        <color indexed="64"/>
      </top>
      <bottom/>
      <diagonal/>
    </border>
    <border>
      <left style="thin">
        <color rgb="FFA6A6A6"/>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rgb="FFA6A6A6"/>
      </right>
      <top style="medium">
        <color indexed="64"/>
      </top>
      <bottom style="thin">
        <color rgb="FFA6A6A6"/>
      </bottom>
      <diagonal/>
    </border>
    <border>
      <left style="thin">
        <color rgb="FFA6A6A6"/>
      </left>
      <right style="thin">
        <color rgb="FFA6A6A6"/>
      </right>
      <top style="medium">
        <color indexed="64"/>
      </top>
      <bottom style="thin">
        <color rgb="FFA6A6A6"/>
      </bottom>
      <diagonal/>
    </border>
    <border>
      <left style="thin">
        <color rgb="FFA6A6A6"/>
      </left>
      <right style="medium">
        <color indexed="64"/>
      </right>
      <top style="medium">
        <color indexed="64"/>
      </top>
      <bottom style="thin">
        <color rgb="FFA6A6A6"/>
      </bottom>
      <diagonal/>
    </border>
    <border>
      <left style="medium">
        <color indexed="64"/>
      </left>
      <right style="medium">
        <color indexed="64"/>
      </right>
      <top style="medium">
        <color indexed="64"/>
      </top>
      <bottom style="thin">
        <color rgb="FFA6A6A6"/>
      </bottom>
      <diagonal/>
    </border>
    <border>
      <left style="thin">
        <color indexed="64"/>
      </left>
      <right style="medium">
        <color indexed="64"/>
      </right>
      <top/>
      <bottom style="thin">
        <color indexed="64"/>
      </bottom>
      <diagonal/>
    </border>
    <border>
      <left style="thin">
        <color rgb="FFA6A6A6"/>
      </left>
      <right style="thin">
        <color rgb="FFA6A6A6"/>
      </right>
      <top/>
      <bottom style="thin">
        <color rgb="FFA6A6A6"/>
      </bottom>
      <diagonal/>
    </border>
    <border>
      <left style="thin">
        <color rgb="FFA6A6A6"/>
      </left>
      <right style="thin">
        <color rgb="FFA6A6A6"/>
      </right>
      <top style="thin">
        <color rgb="FFA6A6A6"/>
      </top>
      <bottom style="medium">
        <color rgb="FF000000"/>
      </bottom>
      <diagonal/>
    </border>
    <border>
      <left style="hair">
        <color indexed="64"/>
      </left>
      <right style="hair">
        <color indexed="64"/>
      </right>
      <top/>
      <bottom style="hair">
        <color indexed="64"/>
      </bottom>
      <diagonal/>
    </border>
    <border>
      <left style="medium">
        <color indexed="64"/>
      </left>
      <right style="medium">
        <color indexed="64"/>
      </right>
      <top/>
      <bottom style="hair">
        <color indexed="64"/>
      </bottom>
      <diagonal/>
    </border>
  </borders>
  <cellStyleXfs count="47">
    <xf numFmtId="0" fontId="0" fillId="0" borderId="0">
      <alignment vertical="center"/>
    </xf>
    <xf numFmtId="0" fontId="12" fillId="0" borderId="0" applyNumberFormat="0" applyFill="0" applyBorder="0" applyAlignment="0" applyProtection="0"/>
    <xf numFmtId="0" fontId="11" fillId="0" borderId="0"/>
    <xf numFmtId="0" fontId="45" fillId="0" borderId="0" applyNumberFormat="0" applyFill="0" applyBorder="0" applyAlignment="0" applyProtection="0">
      <alignment vertical="center"/>
    </xf>
    <xf numFmtId="0" fontId="2" fillId="0" borderId="0">
      <alignment vertical="center"/>
    </xf>
    <xf numFmtId="0" fontId="11" fillId="0" borderId="0"/>
    <xf numFmtId="0" fontId="1" fillId="0" borderId="0">
      <alignment vertical="center"/>
    </xf>
    <xf numFmtId="180" fontId="66" fillId="34" borderId="119" applyNumberFormat="0" applyAlignment="0" applyProtection="0">
      <alignment horizontal="left" vertical="center" indent="1"/>
    </xf>
    <xf numFmtId="180" fontId="66" fillId="0" borderId="120" applyNumberFormat="0" applyProtection="0">
      <alignment horizontal="right" vertical="center"/>
    </xf>
    <xf numFmtId="0" fontId="71" fillId="35" borderId="119" applyNumberFormat="0" applyAlignment="0" applyProtection="0">
      <alignment horizontal="left" vertical="center" indent="1"/>
    </xf>
    <xf numFmtId="180" fontId="71" fillId="0" borderId="121" applyNumberFormat="0" applyProtection="0">
      <alignment horizontal="right" vertical="center"/>
    </xf>
    <xf numFmtId="180" fontId="66" fillId="34" borderId="119" applyNumberFormat="0" applyAlignment="0" applyProtection="0">
      <alignment horizontal="left" vertical="center" indent="1"/>
    </xf>
    <xf numFmtId="0" fontId="72" fillId="33" borderId="121" applyNumberFormat="0" applyAlignment="0">
      <alignment horizontal="left" vertical="center" indent="1"/>
      <protection locked="0"/>
    </xf>
    <xf numFmtId="0" fontId="72" fillId="36" borderId="121" applyNumberFormat="0" applyAlignment="0" applyProtection="0">
      <alignment horizontal="left" vertical="center" indent="1"/>
    </xf>
    <xf numFmtId="180" fontId="66" fillId="37" borderId="120" applyNumberFormat="0" applyBorder="0">
      <alignment horizontal="right" vertical="center"/>
      <protection locked="0"/>
    </xf>
    <xf numFmtId="0" fontId="72" fillId="33" borderId="121" applyNumberFormat="0" applyAlignment="0">
      <alignment horizontal="left" vertical="center" indent="1"/>
      <protection locked="0"/>
    </xf>
    <xf numFmtId="180" fontId="71" fillId="36" borderId="121" applyNumberFormat="0" applyProtection="0">
      <alignment horizontal="right" vertical="center"/>
    </xf>
    <xf numFmtId="180" fontId="71" fillId="37" borderId="121" applyNumberFormat="0" applyBorder="0">
      <alignment horizontal="right" vertical="center"/>
      <protection locked="0"/>
    </xf>
    <xf numFmtId="180" fontId="73" fillId="38" borderId="122" applyNumberFormat="0" applyBorder="0" applyAlignment="0" applyProtection="0">
      <alignment horizontal="right" vertical="center" indent="1"/>
    </xf>
    <xf numFmtId="180" fontId="74" fillId="39" borderId="122" applyNumberFormat="0" applyBorder="0" applyAlignment="0" applyProtection="0">
      <alignment horizontal="right" vertical="center" indent="1"/>
    </xf>
    <xf numFmtId="180" fontId="74" fillId="40" borderId="122" applyNumberFormat="0" applyBorder="0" applyAlignment="0" applyProtection="0">
      <alignment horizontal="right" vertical="center" indent="1"/>
    </xf>
    <xf numFmtId="180" fontId="75" fillId="41" borderId="122" applyNumberFormat="0" applyBorder="0" applyAlignment="0" applyProtection="0">
      <alignment horizontal="right" vertical="center" indent="1"/>
    </xf>
    <xf numFmtId="180" fontId="75" fillId="42" borderId="122" applyNumberFormat="0" applyBorder="0" applyAlignment="0" applyProtection="0">
      <alignment horizontal="right" vertical="center" indent="1"/>
    </xf>
    <xf numFmtId="180" fontId="75" fillId="43" borderId="122" applyNumberFormat="0" applyBorder="0" applyAlignment="0" applyProtection="0">
      <alignment horizontal="right" vertical="center" indent="1"/>
    </xf>
    <xf numFmtId="180" fontId="76" fillId="44" borderId="122" applyNumberFormat="0" applyBorder="0" applyAlignment="0" applyProtection="0">
      <alignment horizontal="right" vertical="center" indent="1"/>
    </xf>
    <xf numFmtId="180" fontId="76" fillId="45" borderId="122" applyNumberFormat="0" applyBorder="0" applyAlignment="0" applyProtection="0">
      <alignment horizontal="right" vertical="center" indent="1"/>
    </xf>
    <xf numFmtId="180" fontId="76" fillId="46" borderId="122" applyNumberFormat="0" applyBorder="0" applyAlignment="0" applyProtection="0">
      <alignment horizontal="right" vertical="center" indent="1"/>
    </xf>
    <xf numFmtId="0" fontId="77" fillId="0" borderId="119" applyNumberFormat="0" applyFont="0" applyFill="0" applyAlignment="0" applyProtection="0"/>
    <xf numFmtId="180" fontId="78" fillId="34" borderId="0" applyNumberFormat="0" applyAlignment="0" applyProtection="0">
      <alignment horizontal="left" vertical="center" indent="1"/>
    </xf>
    <xf numFmtId="0" fontId="77" fillId="0" borderId="123" applyNumberFormat="0" applyFont="0" applyFill="0" applyAlignment="0" applyProtection="0"/>
    <xf numFmtId="180" fontId="66" fillId="0" borderId="120" applyNumberFormat="0" applyFill="0" applyBorder="0" applyAlignment="0" applyProtection="0">
      <alignment horizontal="right" vertical="center"/>
    </xf>
    <xf numFmtId="0" fontId="71" fillId="35" borderId="121" applyNumberFormat="0" applyAlignment="0" applyProtection="0">
      <alignment horizontal="left" vertical="center" indent="1"/>
    </xf>
    <xf numFmtId="0" fontId="72" fillId="47" borderId="119" applyNumberFormat="0" applyAlignment="0" applyProtection="0">
      <alignment horizontal="left" vertical="center" indent="1"/>
    </xf>
    <xf numFmtId="0" fontId="72" fillId="48" borderId="119" applyNumberFormat="0" applyAlignment="0" applyProtection="0">
      <alignment horizontal="left" vertical="center" indent="1"/>
    </xf>
    <xf numFmtId="0" fontId="72" fillId="49" borderId="119" applyNumberFormat="0" applyAlignment="0" applyProtection="0">
      <alignment horizontal="left" vertical="center" indent="1"/>
    </xf>
    <xf numFmtId="0" fontId="72" fillId="37" borderId="119" applyNumberFormat="0" applyAlignment="0" applyProtection="0">
      <alignment horizontal="left" vertical="center" indent="1"/>
    </xf>
    <xf numFmtId="0" fontId="72" fillId="36" borderId="121" applyNumberFormat="0" applyAlignment="0" applyProtection="0">
      <alignment horizontal="left" vertical="center" indent="1"/>
    </xf>
    <xf numFmtId="0" fontId="79" fillId="0" borderId="2" applyNumberFormat="0" applyFill="0" applyBorder="0" applyAlignment="0" applyProtection="0"/>
    <xf numFmtId="0" fontId="80" fillId="0" borderId="2" applyNumberFormat="0" applyBorder="0" applyAlignment="0" applyProtection="0"/>
    <xf numFmtId="0" fontId="79" fillId="33" borderId="121" applyNumberFormat="0" applyAlignment="0">
      <alignment horizontal="left" vertical="center" indent="1"/>
      <protection locked="0"/>
    </xf>
    <xf numFmtId="0" fontId="79" fillId="33" borderId="121" applyNumberFormat="0" applyAlignment="0">
      <alignment horizontal="left" vertical="center" indent="1"/>
      <protection locked="0"/>
    </xf>
    <xf numFmtId="0" fontId="79" fillId="36" borderId="121" applyNumberFormat="0" applyAlignment="0" applyProtection="0">
      <alignment horizontal="left" vertical="center" indent="1"/>
    </xf>
    <xf numFmtId="180" fontId="81" fillId="36" borderId="121" applyNumberFormat="0" applyProtection="0">
      <alignment horizontal="right" vertical="center"/>
    </xf>
    <xf numFmtId="180" fontId="82" fillId="37" borderId="120" applyNumberFormat="0" applyBorder="0">
      <alignment horizontal="right" vertical="center"/>
      <protection locked="0"/>
    </xf>
    <xf numFmtId="180" fontId="81" fillId="37" borderId="121" applyNumberFormat="0" applyBorder="0">
      <alignment horizontal="right" vertical="center"/>
      <protection locked="0"/>
    </xf>
    <xf numFmtId="180" fontId="66" fillId="0" borderId="120" applyNumberFormat="0" applyFill="0" applyBorder="0" applyAlignment="0" applyProtection="0">
      <alignment horizontal="right" vertical="center"/>
    </xf>
    <xf numFmtId="0" fontId="56" fillId="0" borderId="0" applyNumberFormat="0" applyFill="0" applyBorder="0" applyAlignment="0" applyProtection="0">
      <alignment vertical="center"/>
    </xf>
  </cellStyleXfs>
  <cellXfs count="1284">
    <xf numFmtId="0" fontId="0" fillId="0" borderId="0" xfId="0">
      <alignment vertical="center"/>
    </xf>
    <xf numFmtId="0" fontId="3" fillId="3" borderId="1" xfId="0" applyFont="1" applyFill="1" applyBorder="1" applyAlignment="1">
      <alignment horizontal="center" vertical="center" wrapText="1" readingOrder="1"/>
    </xf>
    <xf numFmtId="0" fontId="3" fillId="0" borderId="1" xfId="0"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5" fillId="0" borderId="0" xfId="0" applyFont="1">
      <alignment vertical="center"/>
    </xf>
    <xf numFmtId="0" fontId="5" fillId="0" borderId="0" xfId="0" applyFont="1" applyAlignment="1">
      <alignment horizontal="center" vertical="center"/>
    </xf>
    <xf numFmtId="0" fontId="6" fillId="0" borderId="0" xfId="0" applyFont="1">
      <alignment vertical="center"/>
    </xf>
    <xf numFmtId="0" fontId="6" fillId="6" borderId="2" xfId="0" applyFont="1" applyFill="1" applyBorder="1" applyAlignment="1">
      <alignment horizontal="center" vertical="center"/>
    </xf>
    <xf numFmtId="0" fontId="6" fillId="6" borderId="2" xfId="0" applyFont="1" applyFill="1" applyBorder="1" applyAlignment="1">
      <alignment horizontal="left" vertical="center" wrapText="1"/>
    </xf>
    <xf numFmtId="0" fontId="6" fillId="7" borderId="2" xfId="0" applyFont="1" applyFill="1" applyBorder="1" applyAlignment="1">
      <alignment horizontal="left" vertical="center" wrapText="1"/>
    </xf>
    <xf numFmtId="0" fontId="6" fillId="7" borderId="2" xfId="0" applyFont="1" applyFill="1" applyBorder="1" applyAlignment="1">
      <alignment horizontal="center" vertical="center"/>
    </xf>
    <xf numFmtId="0" fontId="6" fillId="7" borderId="2" xfId="0" applyFont="1" applyFill="1" applyBorder="1" applyAlignment="1">
      <alignment horizontal="right" vertical="center"/>
    </xf>
    <xf numFmtId="0" fontId="6" fillId="8" borderId="2" xfId="0" applyFont="1" applyFill="1" applyBorder="1" applyAlignment="1">
      <alignment horizontal="left" vertical="center" wrapText="1"/>
    </xf>
    <xf numFmtId="0" fontId="6" fillId="8" borderId="2" xfId="0" applyFont="1" applyFill="1" applyBorder="1" applyAlignment="1">
      <alignment horizontal="center" vertical="center"/>
    </xf>
    <xf numFmtId="0" fontId="6" fillId="8" borderId="2" xfId="0" applyFont="1" applyFill="1" applyBorder="1" applyAlignment="1">
      <alignment horizontal="right" vertical="center"/>
    </xf>
    <xf numFmtId="0" fontId="6" fillId="6" borderId="2" xfId="0" applyFont="1" applyFill="1" applyBorder="1" applyAlignment="1">
      <alignment horizontal="right" vertical="center"/>
    </xf>
    <xf numFmtId="0" fontId="6" fillId="7" borderId="2" xfId="0" applyFont="1" applyFill="1" applyBorder="1">
      <alignment vertical="center"/>
    </xf>
    <xf numFmtId="0" fontId="6" fillId="7" borderId="2" xfId="0" applyFont="1" applyFill="1" applyBorder="1" applyAlignment="1">
      <alignment horizontal="left" vertical="center"/>
    </xf>
    <xf numFmtId="0" fontId="6" fillId="0" borderId="0" xfId="0" applyFont="1" applyAlignment="1"/>
    <xf numFmtId="0" fontId="6" fillId="0" borderId="0" xfId="0" applyFont="1" applyAlignment="1">
      <alignment horizontal="center"/>
    </xf>
    <xf numFmtId="0" fontId="9" fillId="0" borderId="0" xfId="0" applyFont="1" applyAlignment="1"/>
    <xf numFmtId="0" fontId="9" fillId="0" borderId="0" xfId="0" applyFont="1" applyAlignment="1">
      <alignment horizontal="center"/>
    </xf>
    <xf numFmtId="0" fontId="9" fillId="0" borderId="2" xfId="0" applyFont="1" applyBorder="1" applyAlignment="1">
      <alignment vertical="center" wrapText="1"/>
    </xf>
    <xf numFmtId="0" fontId="9" fillId="0" borderId="2" xfId="0" applyFont="1" applyBorder="1">
      <alignment vertical="center"/>
    </xf>
    <xf numFmtId="0" fontId="9" fillId="0" borderId="3" xfId="0" applyFont="1" applyBorder="1" applyAlignment="1">
      <alignment horizontal="left" vertical="center" wrapText="1"/>
    </xf>
    <xf numFmtId="0" fontId="10" fillId="0" borderId="2" xfId="0" applyFont="1" applyBorder="1" applyAlignment="1">
      <alignment vertical="center" wrapText="1"/>
    </xf>
    <xf numFmtId="0" fontId="9" fillId="0" borderId="4" xfId="0" applyFont="1" applyBorder="1" applyAlignment="1">
      <alignment horizontal="left" vertical="center" wrapText="1"/>
    </xf>
    <xf numFmtId="0" fontId="10" fillId="0" borderId="2" xfId="0" applyFont="1" applyBorder="1">
      <alignment vertical="center"/>
    </xf>
    <xf numFmtId="176" fontId="8" fillId="11" borderId="5" xfId="0" applyNumberFormat="1" applyFont="1" applyFill="1" applyBorder="1" applyAlignment="1">
      <alignment horizontal="center" vertical="center"/>
    </xf>
    <xf numFmtId="0" fontId="8" fillId="11" borderId="5" xfId="0" applyFont="1" applyFill="1" applyBorder="1" applyAlignment="1">
      <alignment horizontal="center" vertical="center" wrapText="1"/>
    </xf>
    <xf numFmtId="0" fontId="8" fillId="11" borderId="5" xfId="0" applyFont="1" applyFill="1" applyBorder="1" applyAlignment="1">
      <alignment horizontal="center" vertical="center"/>
    </xf>
    <xf numFmtId="0" fontId="6" fillId="0" borderId="5" xfId="0" applyFont="1" applyBorder="1" applyAlignment="1">
      <alignment horizontal="center" vertical="center"/>
    </xf>
    <xf numFmtId="0" fontId="6" fillId="6" borderId="5" xfId="0" applyFont="1" applyFill="1" applyBorder="1" applyAlignment="1">
      <alignment horizontal="center" vertical="center"/>
    </xf>
    <xf numFmtId="0" fontId="6" fillId="6" borderId="5" xfId="0" applyFont="1" applyFill="1" applyBorder="1" applyAlignment="1">
      <alignment horizontal="left" vertical="center"/>
    </xf>
    <xf numFmtId="0" fontId="13" fillId="6" borderId="5" xfId="0" applyFont="1" applyFill="1" applyBorder="1" applyAlignment="1">
      <alignment horizontal="left" vertical="center"/>
    </xf>
    <xf numFmtId="0" fontId="6" fillId="12" borderId="5" xfId="0" applyFont="1" applyFill="1" applyBorder="1" applyAlignment="1">
      <alignment horizontal="center" vertical="center"/>
    </xf>
    <xf numFmtId="0" fontId="6" fillId="0" borderId="5" xfId="0" quotePrefix="1" applyFont="1" applyBorder="1">
      <alignment vertical="center"/>
    </xf>
    <xf numFmtId="0" fontId="6" fillId="0" borderId="5" xfId="0" quotePrefix="1" applyFont="1" applyBorder="1" applyAlignment="1">
      <alignment vertical="center" wrapText="1"/>
    </xf>
    <xf numFmtId="0" fontId="6" fillId="0" borderId="5" xfId="0" applyFont="1" applyBorder="1">
      <alignment vertical="center"/>
    </xf>
    <xf numFmtId="0" fontId="13" fillId="13" borderId="5" xfId="0" applyFont="1" applyFill="1" applyBorder="1" applyAlignment="1">
      <alignment horizontal="left" vertical="center"/>
    </xf>
    <xf numFmtId="0" fontId="13" fillId="6" borderId="5" xfId="0" applyFont="1" applyFill="1" applyBorder="1" applyAlignment="1">
      <alignment horizontal="left" vertical="center" wrapText="1"/>
    </xf>
    <xf numFmtId="0" fontId="6" fillId="13" borderId="5" xfId="0" applyFont="1" applyFill="1" applyBorder="1" applyAlignment="1">
      <alignment horizontal="center" vertical="center"/>
    </xf>
    <xf numFmtId="0" fontId="6" fillId="12" borderId="5" xfId="0" applyFont="1" applyFill="1" applyBorder="1" applyAlignment="1">
      <alignment horizontal="left" vertical="center"/>
    </xf>
    <xf numFmtId="0" fontId="6" fillId="0" borderId="5" xfId="0" applyFont="1" applyBorder="1" applyAlignment="1">
      <alignment horizontal="center" vertical="center" wrapText="1"/>
    </xf>
    <xf numFmtId="0" fontId="6" fillId="0" borderId="5" xfId="0" applyFont="1" applyBorder="1" applyAlignment="1">
      <alignment horizontal="left" vertical="center"/>
    </xf>
    <xf numFmtId="0" fontId="6" fillId="6" borderId="5" xfId="0" quotePrefix="1" applyFont="1" applyFill="1" applyBorder="1" applyAlignment="1">
      <alignment horizontal="left" vertical="center"/>
    </xf>
    <xf numFmtId="0" fontId="6" fillId="13" borderId="5" xfId="0" applyFont="1" applyFill="1" applyBorder="1" applyAlignment="1">
      <alignment horizontal="left" vertical="center"/>
    </xf>
    <xf numFmtId="0" fontId="6" fillId="0" borderId="5" xfId="0" applyFont="1" applyBorder="1" applyAlignment="1">
      <alignment vertical="center" wrapText="1"/>
    </xf>
    <xf numFmtId="0" fontId="5" fillId="0" borderId="5" xfId="0" applyFont="1" applyBorder="1">
      <alignment vertical="center"/>
    </xf>
    <xf numFmtId="0" fontId="5" fillId="4" borderId="5" xfId="0" applyFont="1" applyFill="1" applyBorder="1">
      <alignment vertical="center"/>
    </xf>
    <xf numFmtId="0" fontId="15" fillId="0" borderId="0" xfId="0" applyFont="1">
      <alignment vertical="center"/>
    </xf>
    <xf numFmtId="0" fontId="16" fillId="0" borderId="0" xfId="0" applyFont="1">
      <alignment vertical="center"/>
    </xf>
    <xf numFmtId="0" fontId="6" fillId="4" borderId="5" xfId="0" applyFont="1" applyFill="1" applyBorder="1" applyAlignment="1">
      <alignment horizontal="center" vertical="center"/>
    </xf>
    <xf numFmtId="0" fontId="6" fillId="4" borderId="5" xfId="0" applyFont="1" applyFill="1" applyBorder="1" applyAlignment="1">
      <alignment horizontal="left" vertical="center"/>
    </xf>
    <xf numFmtId="0" fontId="6" fillId="4" borderId="5" xfId="0" applyFont="1" applyFill="1" applyBorder="1">
      <alignment vertical="center"/>
    </xf>
    <xf numFmtId="0" fontId="13" fillId="4" borderId="5" xfId="0" applyFont="1" applyFill="1" applyBorder="1" applyAlignment="1">
      <alignment horizontal="left" vertical="center"/>
    </xf>
    <xf numFmtId="0" fontId="6" fillId="15" borderId="5" xfId="0" applyFont="1" applyFill="1" applyBorder="1" applyAlignment="1">
      <alignment horizontal="center" vertical="center"/>
    </xf>
    <xf numFmtId="0" fontId="6" fillId="4" borderId="5" xfId="0" applyFont="1" applyFill="1" applyBorder="1" applyAlignment="1">
      <alignment vertical="center" wrapText="1"/>
    </xf>
    <xf numFmtId="0" fontId="6" fillId="4" borderId="5" xfId="0" quotePrefix="1" applyFont="1" applyFill="1" applyBorder="1" applyAlignment="1">
      <alignment vertical="center" wrapText="1"/>
    </xf>
    <xf numFmtId="0" fontId="14" fillId="4" borderId="5" xfId="1" applyFont="1" applyFill="1" applyBorder="1"/>
    <xf numFmtId="0" fontId="6" fillId="4" borderId="5" xfId="0" applyFont="1" applyFill="1" applyBorder="1" applyAlignment="1">
      <alignment horizontal="left" vertical="center" wrapText="1"/>
    </xf>
    <xf numFmtId="0" fontId="6" fillId="4" borderId="5" xfId="0" quotePrefix="1" applyFont="1" applyFill="1" applyBorder="1" applyAlignment="1">
      <alignment vertical="top" wrapText="1"/>
    </xf>
    <xf numFmtId="0" fontId="6" fillId="6" borderId="5" xfId="0" applyFont="1" applyFill="1" applyBorder="1">
      <alignment vertical="center"/>
    </xf>
    <xf numFmtId="0" fontId="6" fillId="4" borderId="5" xfId="0" applyFont="1" applyFill="1" applyBorder="1" applyAlignment="1">
      <alignment horizontal="center" vertical="center" wrapText="1"/>
    </xf>
    <xf numFmtId="0" fontId="17" fillId="0" borderId="0" xfId="0" applyFont="1">
      <alignment vertical="center"/>
    </xf>
    <xf numFmtId="0" fontId="3" fillId="16" borderId="1" xfId="0" applyFont="1" applyFill="1" applyBorder="1" applyAlignment="1">
      <alignment horizontal="center" vertical="center" wrapText="1" readingOrder="1"/>
    </xf>
    <xf numFmtId="0" fontId="3" fillId="17" borderId="1" xfId="0" applyFont="1" applyFill="1" applyBorder="1" applyAlignment="1">
      <alignment horizontal="center" vertical="center" wrapText="1" readingOrder="1"/>
    </xf>
    <xf numFmtId="0" fontId="12" fillId="18" borderId="0" xfId="1" applyFill="1" applyAlignment="1">
      <alignment vertical="center"/>
    </xf>
    <xf numFmtId="0" fontId="0" fillId="0" borderId="5" xfId="0" applyBorder="1">
      <alignment vertical="center"/>
    </xf>
    <xf numFmtId="0" fontId="20" fillId="0" borderId="0" xfId="0" applyFont="1">
      <alignment vertical="center"/>
    </xf>
    <xf numFmtId="0" fontId="22" fillId="20" borderId="9" xfId="0" applyFont="1" applyFill="1" applyBorder="1">
      <alignment vertical="center"/>
    </xf>
    <xf numFmtId="0" fontId="24" fillId="0" borderId="0" xfId="0" applyFont="1" applyAlignment="1">
      <alignment vertical="center" wrapText="1"/>
    </xf>
    <xf numFmtId="0" fontId="22" fillId="20" borderId="17" xfId="0" applyFont="1" applyFill="1" applyBorder="1">
      <alignment vertical="center"/>
    </xf>
    <xf numFmtId="0" fontId="24" fillId="0" borderId="0" xfId="0" applyFont="1">
      <alignment vertical="center"/>
    </xf>
    <xf numFmtId="0" fontId="19" fillId="0" borderId="0" xfId="0" applyFont="1">
      <alignment vertical="center"/>
    </xf>
    <xf numFmtId="0" fontId="24" fillId="0" borderId="0" xfId="0" applyFont="1" applyAlignment="1">
      <alignment horizontal="center" vertical="center"/>
    </xf>
    <xf numFmtId="0" fontId="26" fillId="0" borderId="0" xfId="0" applyFont="1">
      <alignment vertical="center"/>
    </xf>
    <xf numFmtId="0" fontId="27" fillId="0" borderId="0" xfId="0" applyFont="1">
      <alignment vertical="center"/>
    </xf>
    <xf numFmtId="0" fontId="16" fillId="5" borderId="23" xfId="0" applyFont="1" applyFill="1" applyBorder="1" applyAlignment="1">
      <alignment horizontal="center" vertical="center" wrapText="1"/>
    </xf>
    <xf numFmtId="0" fontId="16" fillId="5" borderId="23" xfId="0" applyFont="1" applyFill="1" applyBorder="1" applyAlignment="1">
      <alignment horizontal="center" vertical="center"/>
    </xf>
    <xf numFmtId="0" fontId="16" fillId="5" borderId="5" xfId="0" applyFont="1" applyFill="1" applyBorder="1" applyAlignment="1">
      <alignment horizontal="center" vertical="center"/>
    </xf>
    <xf numFmtId="0" fontId="16" fillId="5" borderId="24" xfId="0" applyFont="1" applyFill="1" applyBorder="1" applyAlignment="1">
      <alignment horizontal="center" vertical="center"/>
    </xf>
    <xf numFmtId="0" fontId="16" fillId="5" borderId="5" xfId="0" applyFont="1" applyFill="1" applyBorder="1" applyAlignment="1">
      <alignment horizontal="center" vertical="center" wrapText="1"/>
    </xf>
    <xf numFmtId="0" fontId="28" fillId="0" borderId="0" xfId="0" applyFont="1">
      <alignment vertical="center"/>
    </xf>
    <xf numFmtId="0" fontId="6" fillId="6" borderId="25" xfId="0" applyFont="1" applyFill="1" applyBorder="1" applyAlignment="1">
      <alignment horizontal="center" vertical="center"/>
    </xf>
    <xf numFmtId="0" fontId="6" fillId="6" borderId="2" xfId="0" applyFont="1" applyFill="1" applyBorder="1" applyAlignment="1">
      <alignment horizontal="center" vertical="center" wrapText="1"/>
    </xf>
    <xf numFmtId="0" fontId="6" fillId="6" borderId="26" xfId="0" applyFont="1" applyFill="1" applyBorder="1" applyAlignment="1">
      <alignment horizontal="left" vertical="center" wrapText="1"/>
    </xf>
    <xf numFmtId="0" fontId="6" fillId="7" borderId="2"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6" fillId="6" borderId="27" xfId="0" applyFont="1" applyFill="1" applyBorder="1" applyAlignment="1">
      <alignment horizontal="center" vertical="center"/>
    </xf>
    <xf numFmtId="0" fontId="6" fillId="6" borderId="28" xfId="0" applyFont="1" applyFill="1" applyBorder="1" applyAlignment="1">
      <alignment horizontal="left" vertical="center"/>
    </xf>
    <xf numFmtId="0" fontId="6" fillId="6" borderId="28" xfId="0" applyFont="1" applyFill="1" applyBorder="1" applyAlignment="1">
      <alignment horizontal="center" vertical="center"/>
    </xf>
    <xf numFmtId="0" fontId="6" fillId="6" borderId="28" xfId="0" applyFont="1" applyFill="1" applyBorder="1" applyAlignment="1">
      <alignment horizontal="left" vertical="center" wrapText="1"/>
    </xf>
    <xf numFmtId="0" fontId="6" fillId="6" borderId="29" xfId="0" applyFont="1" applyFill="1" applyBorder="1" applyAlignment="1">
      <alignment horizontal="left" vertical="center" wrapText="1"/>
    </xf>
    <xf numFmtId="0" fontId="6" fillId="6" borderId="27" xfId="0" applyFont="1" applyFill="1" applyBorder="1">
      <alignment vertical="center"/>
    </xf>
    <xf numFmtId="0" fontId="8" fillId="6" borderId="28" xfId="0" applyFont="1" applyFill="1" applyBorder="1" applyAlignment="1">
      <alignment horizontal="center" vertical="center"/>
    </xf>
    <xf numFmtId="0" fontId="6" fillId="7" borderId="28" xfId="0" applyFont="1" applyFill="1" applyBorder="1" applyAlignment="1">
      <alignment horizontal="left" vertical="center" wrapText="1"/>
    </xf>
    <xf numFmtId="0" fontId="6" fillId="7" borderId="28" xfId="0" applyFont="1" applyFill="1" applyBorder="1" applyAlignment="1">
      <alignment horizontal="center" vertical="center"/>
    </xf>
    <xf numFmtId="0" fontId="6" fillId="7" borderId="28" xfId="0" applyFont="1" applyFill="1" applyBorder="1">
      <alignment vertical="center"/>
    </xf>
    <xf numFmtId="0" fontId="6" fillId="7" borderId="29" xfId="0" applyFont="1" applyFill="1" applyBorder="1" applyAlignment="1">
      <alignment horizontal="left" vertical="center"/>
    </xf>
    <xf numFmtId="0" fontId="24" fillId="0" borderId="0" xfId="0" applyFont="1" applyAlignment="1"/>
    <xf numFmtId="0" fontId="29" fillId="0" borderId="0" xfId="0" applyFont="1">
      <alignment vertical="center"/>
    </xf>
    <xf numFmtId="0" fontId="16" fillId="5" borderId="39" xfId="0" applyFont="1" applyFill="1" applyBorder="1" applyAlignment="1">
      <alignment horizontal="center" vertical="center" wrapText="1"/>
    </xf>
    <xf numFmtId="0" fontId="16" fillId="5" borderId="39" xfId="0" applyFont="1" applyFill="1" applyBorder="1" applyAlignment="1">
      <alignment horizontal="center" vertical="center"/>
    </xf>
    <xf numFmtId="0" fontId="24" fillId="0" borderId="23" xfId="0" applyFont="1" applyBorder="1" applyAlignment="1">
      <alignment horizontal="center" vertical="center"/>
    </xf>
    <xf numFmtId="0" fontId="24" fillId="0" borderId="5" xfId="0" applyFont="1" applyBorder="1" applyAlignment="1">
      <alignment vertical="center" wrapText="1"/>
    </xf>
    <xf numFmtId="0" fontId="24" fillId="0" borderId="5" xfId="0" applyFont="1" applyBorder="1">
      <alignment vertical="center"/>
    </xf>
    <xf numFmtId="0" fontId="31" fillId="0" borderId="5" xfId="0" applyFont="1" applyBorder="1" applyAlignment="1">
      <alignment horizontal="center" vertical="center"/>
    </xf>
    <xf numFmtId="0" fontId="24" fillId="0" borderId="5" xfId="0" applyFont="1" applyBorder="1" applyAlignment="1">
      <alignment horizontal="left" vertical="center" wrapText="1"/>
    </xf>
    <xf numFmtId="0" fontId="24" fillId="0" borderId="24" xfId="0" applyFont="1" applyBorder="1" applyAlignment="1">
      <alignment horizontal="left" vertical="center" wrapText="1"/>
    </xf>
    <xf numFmtId="0" fontId="24" fillId="0" borderId="39" xfId="0" applyFont="1" applyBorder="1" applyAlignment="1">
      <alignment horizontal="center" vertical="center"/>
    </xf>
    <xf numFmtId="0" fontId="24" fillId="14" borderId="5" xfId="0" applyFont="1" applyFill="1" applyBorder="1" applyAlignment="1">
      <alignment vertical="center" wrapText="1"/>
    </xf>
    <xf numFmtId="0" fontId="24" fillId="7" borderId="5" xfId="0" applyFont="1" applyFill="1" applyBorder="1" applyAlignment="1">
      <alignment horizontal="center" vertical="center"/>
    </xf>
    <xf numFmtId="0" fontId="24" fillId="7" borderId="5" xfId="0" applyFont="1" applyFill="1" applyBorder="1" applyAlignment="1">
      <alignment horizontal="center" vertical="center" wrapText="1"/>
    </xf>
    <xf numFmtId="0" fontId="24" fillId="7" borderId="5" xfId="0" applyFont="1" applyFill="1" applyBorder="1" applyAlignment="1">
      <alignment horizontal="left" vertical="center" wrapText="1"/>
    </xf>
    <xf numFmtId="0" fontId="24" fillId="0" borderId="5" xfId="0" applyFont="1" applyBorder="1" applyAlignment="1">
      <alignment horizontal="center" vertical="center" wrapText="1"/>
    </xf>
    <xf numFmtId="0" fontId="31" fillId="0" borderId="0" xfId="0" applyFont="1">
      <alignment vertical="center"/>
    </xf>
    <xf numFmtId="0" fontId="24" fillId="7" borderId="5" xfId="0" applyFont="1" applyFill="1" applyBorder="1" applyAlignment="1">
      <alignment vertical="center" wrapText="1"/>
    </xf>
    <xf numFmtId="0" fontId="24" fillId="6" borderId="5" xfId="0" applyFont="1" applyFill="1" applyBorder="1" applyAlignment="1">
      <alignment vertical="center" wrapText="1"/>
    </xf>
    <xf numFmtId="0" fontId="24" fillId="0" borderId="5" xfId="0" applyFont="1" applyBorder="1" applyAlignment="1">
      <alignment horizontal="center" vertical="center"/>
    </xf>
    <xf numFmtId="0" fontId="24" fillId="7" borderId="5" xfId="0" applyFont="1" applyFill="1" applyBorder="1">
      <alignment vertical="center"/>
    </xf>
    <xf numFmtId="0" fontId="31" fillId="0" borderId="5" xfId="0" applyFont="1" applyBorder="1">
      <alignment vertical="center"/>
    </xf>
    <xf numFmtId="0" fontId="31" fillId="0" borderId="5" xfId="0" applyFont="1" applyBorder="1" applyAlignment="1">
      <alignment horizontal="right" vertical="center"/>
    </xf>
    <xf numFmtId="0" fontId="24" fillId="0" borderId="40" xfId="0" applyFont="1" applyBorder="1" applyAlignment="1">
      <alignment horizontal="center" vertical="center"/>
    </xf>
    <xf numFmtId="0" fontId="31" fillId="0" borderId="41" xfId="0" applyFont="1" applyBorder="1">
      <alignment vertical="center"/>
    </xf>
    <xf numFmtId="0" fontId="31" fillId="0" borderId="41" xfId="0" applyFont="1" applyBorder="1" applyAlignment="1">
      <alignment horizontal="center" vertical="center"/>
    </xf>
    <xf numFmtId="0" fontId="31" fillId="0" borderId="41" xfId="0" applyFont="1" applyBorder="1" applyAlignment="1">
      <alignment horizontal="right" vertical="center"/>
    </xf>
    <xf numFmtId="0" fontId="24" fillId="0" borderId="41" xfId="0" applyFont="1" applyBorder="1" applyAlignment="1">
      <alignment horizontal="left" vertical="center" wrapText="1"/>
    </xf>
    <xf numFmtId="0" fontId="24" fillId="0" borderId="42" xfId="0" applyFont="1" applyBorder="1" applyAlignment="1">
      <alignment horizontal="left" vertical="center" wrapText="1"/>
    </xf>
    <xf numFmtId="0" fontId="24" fillId="0" borderId="43" xfId="0" applyFont="1" applyBorder="1" applyAlignment="1">
      <alignment horizontal="center" vertical="center"/>
    </xf>
    <xf numFmtId="0" fontId="24" fillId="0" borderId="17" xfId="0" applyFont="1" applyBorder="1" applyAlignment="1">
      <alignment horizontal="left" vertical="center"/>
    </xf>
    <xf numFmtId="0" fontId="24" fillId="0" borderId="17" xfId="0" applyFont="1" applyBorder="1" applyAlignment="1">
      <alignment horizontal="center" vertical="center"/>
    </xf>
    <xf numFmtId="0" fontId="24" fillId="0" borderId="21" xfId="0" applyFont="1" applyBorder="1" applyAlignment="1">
      <alignment horizontal="left" vertical="center"/>
    </xf>
    <xf numFmtId="0" fontId="24" fillId="0" borderId="0" xfId="0" applyFont="1" applyAlignment="1">
      <alignment horizontal="center"/>
    </xf>
    <xf numFmtId="0" fontId="24" fillId="0" borderId="24" xfId="0" applyFont="1" applyBorder="1" applyAlignment="1">
      <alignment horizontal="center" vertical="center" wrapText="1"/>
    </xf>
    <xf numFmtId="0" fontId="24" fillId="0" borderId="20" xfId="0" applyFont="1" applyBorder="1" applyAlignment="1">
      <alignment horizontal="center" vertical="center"/>
    </xf>
    <xf numFmtId="0" fontId="24" fillId="0" borderId="21" xfId="0" applyFont="1" applyBorder="1" applyAlignment="1">
      <alignment horizontal="center" vertical="center"/>
    </xf>
    <xf numFmtId="0" fontId="3" fillId="21" borderId="1" xfId="0" applyFont="1" applyFill="1" applyBorder="1" applyAlignment="1">
      <alignment horizontal="center" vertical="center" wrapText="1" readingOrder="1"/>
    </xf>
    <xf numFmtId="0" fontId="24" fillId="0" borderId="2" xfId="0" applyFont="1" applyBorder="1" applyAlignment="1">
      <alignment vertical="center" wrapText="1"/>
    </xf>
    <xf numFmtId="0" fontId="33" fillId="0" borderId="0" xfId="0" applyFont="1">
      <alignment vertical="center"/>
    </xf>
    <xf numFmtId="0" fontId="33" fillId="0" borderId="5" xfId="0" applyFont="1" applyBorder="1" applyAlignment="1">
      <alignment horizontal="left" vertical="center" wrapText="1"/>
    </xf>
    <xf numFmtId="0" fontId="3" fillId="3" borderId="44" xfId="0" applyFont="1" applyFill="1" applyBorder="1" applyAlignment="1">
      <alignment horizontal="center" vertical="center" wrapText="1" readingOrder="1"/>
    </xf>
    <xf numFmtId="0" fontId="3" fillId="16" borderId="44" xfId="0" applyFont="1" applyFill="1" applyBorder="1" applyAlignment="1">
      <alignment horizontal="center" vertical="center" wrapText="1" readingOrder="1"/>
    </xf>
    <xf numFmtId="0" fontId="3" fillId="17" borderId="44" xfId="0" applyFont="1" applyFill="1" applyBorder="1" applyAlignment="1">
      <alignment horizontal="center" vertical="center" wrapText="1" readingOrder="1"/>
    </xf>
    <xf numFmtId="0" fontId="3" fillId="21" borderId="44" xfId="0" applyFont="1" applyFill="1" applyBorder="1" applyAlignment="1">
      <alignment horizontal="center" vertical="center" wrapText="1" readingOrder="1"/>
    </xf>
    <xf numFmtId="0" fontId="19" fillId="16" borderId="5" xfId="0" applyFont="1" applyFill="1" applyBorder="1" applyAlignment="1">
      <alignment horizontal="center" vertical="center"/>
    </xf>
    <xf numFmtId="0" fontId="0" fillId="16" borderId="5" xfId="0" applyFill="1" applyBorder="1" applyAlignment="1">
      <alignment horizontal="center" vertical="center"/>
    </xf>
    <xf numFmtId="0" fontId="24" fillId="4" borderId="5" xfId="0" applyFont="1" applyFill="1" applyBorder="1" applyAlignment="1">
      <alignment vertical="center" wrapText="1"/>
    </xf>
    <xf numFmtId="0" fontId="20" fillId="0" borderId="0" xfId="0" applyFont="1" applyAlignment="1">
      <alignment horizontal="center" vertical="center"/>
    </xf>
    <xf numFmtId="0" fontId="24" fillId="0" borderId="41" xfId="0" applyFont="1" applyBorder="1" applyAlignment="1">
      <alignment horizontal="center" vertical="center"/>
    </xf>
    <xf numFmtId="0" fontId="6" fillId="14" borderId="2" xfId="0" applyFont="1" applyFill="1" applyBorder="1" applyAlignment="1">
      <alignment horizontal="left" vertical="center" wrapText="1"/>
    </xf>
    <xf numFmtId="0" fontId="3" fillId="22" borderId="45" xfId="0" applyFont="1" applyFill="1" applyBorder="1" applyAlignment="1">
      <alignment horizontal="left" vertical="center" wrapText="1" readingOrder="1"/>
    </xf>
    <xf numFmtId="0" fontId="6" fillId="4" borderId="2" xfId="0" applyFont="1" applyFill="1" applyBorder="1" applyAlignment="1">
      <alignment horizontal="left" vertical="center" wrapText="1"/>
    </xf>
    <xf numFmtId="0" fontId="35" fillId="0" borderId="0" xfId="0" applyFont="1">
      <alignment vertical="center"/>
    </xf>
    <xf numFmtId="0" fontId="24" fillId="23" borderId="5" xfId="0" applyFont="1" applyFill="1" applyBorder="1" applyAlignment="1">
      <alignment vertical="center" wrapText="1"/>
    </xf>
    <xf numFmtId="0" fontId="24" fillId="23" borderId="5" xfId="0" applyFont="1" applyFill="1" applyBorder="1">
      <alignment vertical="center"/>
    </xf>
    <xf numFmtId="0" fontId="24" fillId="23" borderId="5" xfId="0" applyFont="1" applyFill="1" applyBorder="1" applyAlignment="1">
      <alignment horizontal="center" vertical="center" wrapText="1"/>
    </xf>
    <xf numFmtId="0" fontId="24" fillId="23" borderId="5" xfId="0" applyFont="1" applyFill="1" applyBorder="1" applyAlignment="1">
      <alignment horizontal="center" vertical="center"/>
    </xf>
    <xf numFmtId="0" fontId="24" fillId="11" borderId="5" xfId="0" applyFont="1" applyFill="1" applyBorder="1" applyAlignment="1">
      <alignment horizontal="left" vertical="center" wrapText="1"/>
    </xf>
    <xf numFmtId="0" fontId="24" fillId="23" borderId="5" xfId="0" applyFont="1" applyFill="1" applyBorder="1" applyAlignment="1">
      <alignment horizontal="left" vertical="center" wrapText="1"/>
    </xf>
    <xf numFmtId="0" fontId="24" fillId="11" borderId="24" xfId="0" applyFont="1" applyFill="1" applyBorder="1" applyAlignment="1">
      <alignment horizontal="center" vertical="center" wrapText="1"/>
    </xf>
    <xf numFmtId="0" fontId="19" fillId="4" borderId="0" xfId="0" applyFont="1" applyFill="1">
      <alignment vertical="center"/>
    </xf>
    <xf numFmtId="0" fontId="0" fillId="4" borderId="0" xfId="0" applyFill="1">
      <alignment vertical="center"/>
    </xf>
    <xf numFmtId="0" fontId="24" fillId="11" borderId="23" xfId="0" applyFont="1" applyFill="1" applyBorder="1" applyAlignment="1">
      <alignment horizontal="center" vertical="center"/>
    </xf>
    <xf numFmtId="0" fontId="31" fillId="11" borderId="5" xfId="0" applyFont="1" applyFill="1" applyBorder="1">
      <alignment vertical="center"/>
    </xf>
    <xf numFmtId="0" fontId="24" fillId="11" borderId="5" xfId="0" applyFont="1" applyFill="1" applyBorder="1" applyAlignment="1">
      <alignment horizontal="center" vertical="center"/>
    </xf>
    <xf numFmtId="0" fontId="31" fillId="11" borderId="5" xfId="0" applyFont="1" applyFill="1" applyBorder="1" applyAlignment="1">
      <alignment horizontal="center" vertical="center"/>
    </xf>
    <xf numFmtId="0" fontId="31" fillId="11" borderId="5" xfId="0" applyFont="1" applyFill="1" applyBorder="1" applyAlignment="1">
      <alignment horizontal="right" vertical="center"/>
    </xf>
    <xf numFmtId="0" fontId="24" fillId="11" borderId="5" xfId="0" applyFont="1" applyFill="1" applyBorder="1">
      <alignment vertical="center"/>
    </xf>
    <xf numFmtId="0" fontId="24" fillId="11" borderId="24" xfId="0" applyFont="1" applyFill="1" applyBorder="1" applyAlignment="1">
      <alignment horizontal="left" vertical="center" wrapText="1"/>
    </xf>
    <xf numFmtId="0" fontId="24" fillId="17" borderId="5" xfId="0" applyFont="1" applyFill="1" applyBorder="1" applyAlignment="1">
      <alignment vertical="center" wrapText="1"/>
    </xf>
    <xf numFmtId="0" fontId="24" fillId="17" borderId="5" xfId="0" applyFont="1" applyFill="1" applyBorder="1" applyAlignment="1">
      <alignment horizontal="center" vertical="center"/>
    </xf>
    <xf numFmtId="0" fontId="24" fillId="24" borderId="5" xfId="0" applyFont="1" applyFill="1" applyBorder="1" applyAlignment="1">
      <alignment horizontal="center" vertical="center" wrapText="1"/>
    </xf>
    <xf numFmtId="0" fontId="24" fillId="24" borderId="5" xfId="0" applyFont="1" applyFill="1" applyBorder="1" applyAlignment="1">
      <alignment horizontal="center" vertical="center"/>
    </xf>
    <xf numFmtId="0" fontId="24" fillId="24" borderId="5" xfId="0" applyFont="1" applyFill="1" applyBorder="1" applyAlignment="1">
      <alignment horizontal="left" vertical="center" wrapText="1"/>
    </xf>
    <xf numFmtId="0" fontId="24" fillId="17" borderId="5" xfId="0" applyFont="1" applyFill="1" applyBorder="1" applyAlignment="1">
      <alignment horizontal="left" vertical="center" wrapText="1"/>
    </xf>
    <xf numFmtId="0" fontId="24" fillId="17" borderId="5" xfId="0" applyFont="1" applyFill="1" applyBorder="1" applyAlignment="1">
      <alignment horizontal="center" vertical="center" wrapText="1"/>
    </xf>
    <xf numFmtId="0" fontId="24" fillId="24" borderId="5" xfId="0" applyFont="1" applyFill="1" applyBorder="1" applyAlignment="1">
      <alignment vertical="center" wrapText="1"/>
    </xf>
    <xf numFmtId="0" fontId="24" fillId="17" borderId="5" xfId="0" applyFont="1" applyFill="1" applyBorder="1">
      <alignment vertical="center"/>
    </xf>
    <xf numFmtId="0" fontId="24" fillId="24" borderId="5" xfId="0" applyFont="1" applyFill="1" applyBorder="1">
      <alignment vertical="center"/>
    </xf>
    <xf numFmtId="0" fontId="24" fillId="11" borderId="39" xfId="0" applyFont="1" applyFill="1" applyBorder="1" applyAlignment="1">
      <alignment horizontal="center" vertical="center"/>
    </xf>
    <xf numFmtId="0" fontId="24" fillId="11" borderId="5" xfId="0" applyFont="1" applyFill="1" applyBorder="1" applyAlignment="1">
      <alignment vertical="center" wrapText="1"/>
    </xf>
    <xf numFmtId="0" fontId="24" fillId="11" borderId="5" xfId="0" applyFont="1" applyFill="1" applyBorder="1" applyAlignment="1">
      <alignment horizontal="center" vertical="center" wrapText="1"/>
    </xf>
    <xf numFmtId="0" fontId="24" fillId="17" borderId="23" xfId="0" applyFont="1" applyFill="1" applyBorder="1" applyAlignment="1">
      <alignment horizontal="center" vertical="center"/>
    </xf>
    <xf numFmtId="0" fontId="24" fillId="17" borderId="24" xfId="0" applyFont="1" applyFill="1" applyBorder="1" applyAlignment="1">
      <alignment horizontal="center" vertical="center" wrapText="1"/>
    </xf>
    <xf numFmtId="0" fontId="24" fillId="20" borderId="23" xfId="0" applyFont="1" applyFill="1" applyBorder="1" applyAlignment="1">
      <alignment horizontal="center" vertical="center"/>
    </xf>
    <xf numFmtId="0" fontId="31" fillId="20" borderId="5" xfId="0" applyFont="1" applyFill="1" applyBorder="1">
      <alignment vertical="center"/>
    </xf>
    <xf numFmtId="0" fontId="24" fillId="20" borderId="5" xfId="0" applyFont="1" applyFill="1" applyBorder="1">
      <alignment vertical="center"/>
    </xf>
    <xf numFmtId="0" fontId="31" fillId="20" borderId="5" xfId="0" applyFont="1" applyFill="1" applyBorder="1" applyAlignment="1">
      <alignment horizontal="center" vertical="center"/>
    </xf>
    <xf numFmtId="0" fontId="31" fillId="20" borderId="5" xfId="0" applyFont="1" applyFill="1" applyBorder="1" applyAlignment="1">
      <alignment horizontal="right" vertical="center"/>
    </xf>
    <xf numFmtId="0" fontId="24" fillId="20" borderId="24" xfId="0" applyFont="1" applyFill="1" applyBorder="1" applyAlignment="1">
      <alignment horizontal="left" vertical="center" wrapText="1"/>
    </xf>
    <xf numFmtId="0" fontId="36" fillId="0" borderId="2" xfId="0" applyFont="1" applyBorder="1" applyAlignment="1">
      <alignment horizontal="center" vertical="center"/>
    </xf>
    <xf numFmtId="0" fontId="36" fillId="0" borderId="2" xfId="0" applyFont="1" applyBorder="1" applyAlignment="1">
      <alignment horizontal="right" vertical="center"/>
    </xf>
    <xf numFmtId="0" fontId="9" fillId="7" borderId="2" xfId="0" applyFont="1" applyFill="1" applyBorder="1" applyAlignment="1">
      <alignment vertical="center" wrapText="1"/>
    </xf>
    <xf numFmtId="0" fontId="9" fillId="7" borderId="2" xfId="0" applyFont="1" applyFill="1" applyBorder="1" applyAlignment="1">
      <alignment horizontal="center" vertical="center"/>
    </xf>
    <xf numFmtId="0" fontId="9" fillId="7" borderId="2" xfId="0" applyFont="1" applyFill="1" applyBorder="1" applyAlignment="1">
      <alignment horizontal="center" vertical="center" wrapText="1"/>
    </xf>
    <xf numFmtId="0" fontId="9" fillId="0" borderId="2" xfId="0" applyFont="1" applyBorder="1" applyAlignment="1">
      <alignment horizontal="center" vertical="center"/>
    </xf>
    <xf numFmtId="0" fontId="9" fillId="0" borderId="2" xfId="0" applyFont="1" applyBorder="1" applyAlignment="1">
      <alignment horizontal="right" vertical="center"/>
    </xf>
    <xf numFmtId="0" fontId="9" fillId="7" borderId="2" xfId="0" applyFont="1" applyFill="1" applyBorder="1">
      <alignment vertical="center"/>
    </xf>
    <xf numFmtId="0" fontId="9" fillId="7" borderId="3" xfId="0" applyFont="1" applyFill="1" applyBorder="1" applyAlignment="1">
      <alignment horizontal="left" vertical="center" wrapText="1"/>
    </xf>
    <xf numFmtId="0" fontId="9" fillId="7" borderId="4" xfId="0" applyFont="1" applyFill="1" applyBorder="1" applyAlignment="1">
      <alignment horizontal="left" vertical="center" wrapText="1"/>
    </xf>
    <xf numFmtId="0" fontId="9" fillId="7" borderId="4" xfId="0" applyFont="1" applyFill="1" applyBorder="1" applyAlignment="1">
      <alignment horizontal="center" vertical="center"/>
    </xf>
    <xf numFmtId="0" fontId="9" fillId="7" borderId="4" xfId="0" applyFont="1" applyFill="1" applyBorder="1" applyAlignment="1">
      <alignment horizontal="right" vertical="center"/>
    </xf>
    <xf numFmtId="0" fontId="36" fillId="0" borderId="2" xfId="0" applyFont="1" applyBorder="1">
      <alignment vertical="center"/>
    </xf>
    <xf numFmtId="0" fontId="9" fillId="0" borderId="2" xfId="2" applyFont="1" applyBorder="1" applyAlignment="1">
      <alignment vertical="center" wrapText="1"/>
    </xf>
    <xf numFmtId="0" fontId="9" fillId="0" borderId="2" xfId="2" applyFont="1" applyBorder="1" applyAlignment="1">
      <alignment vertical="center"/>
    </xf>
    <xf numFmtId="0" fontId="36" fillId="0" borderId="2" xfId="2" applyFont="1" applyBorder="1" applyAlignment="1">
      <alignment horizontal="center" vertical="center"/>
    </xf>
    <xf numFmtId="0" fontId="9" fillId="0" borderId="3" xfId="2" applyFont="1" applyBorder="1" applyAlignment="1">
      <alignment horizontal="left" vertical="center" wrapText="1"/>
    </xf>
    <xf numFmtId="0" fontId="9" fillId="0" borderId="2" xfId="2" applyFont="1" applyBorder="1" applyAlignment="1">
      <alignment horizontal="center" vertical="center"/>
    </xf>
    <xf numFmtId="0" fontId="9" fillId="0" borderId="4" xfId="2" applyFont="1" applyBorder="1" applyAlignment="1">
      <alignment horizontal="left" vertical="center" wrapText="1"/>
    </xf>
    <xf numFmtId="0" fontId="10" fillId="0" borderId="2" xfId="2" applyFont="1" applyBorder="1" applyAlignment="1">
      <alignment vertical="center" wrapText="1"/>
    </xf>
    <xf numFmtId="0" fontId="39" fillId="0" borderId="3" xfId="2" applyFont="1" applyBorder="1" applyAlignment="1">
      <alignment horizontal="left" vertical="center" wrapText="1"/>
    </xf>
    <xf numFmtId="0" fontId="36" fillId="0" borderId="2" xfId="2" applyFont="1" applyBorder="1" applyAlignment="1">
      <alignment vertical="center"/>
    </xf>
    <xf numFmtId="0" fontId="38" fillId="0" borderId="3" xfId="2" applyFont="1" applyBorder="1" applyAlignment="1">
      <alignment horizontal="left" vertical="center" wrapText="1"/>
    </xf>
    <xf numFmtId="0" fontId="9" fillId="0" borderId="2" xfId="2" applyFont="1" applyBorder="1" applyAlignment="1">
      <alignment horizontal="left" vertical="center"/>
    </xf>
    <xf numFmtId="0" fontId="41" fillId="0" borderId="2" xfId="2" applyFont="1" applyBorder="1" applyAlignment="1">
      <alignment vertical="center" wrapText="1"/>
    </xf>
    <xf numFmtId="0" fontId="38" fillId="0" borderId="2" xfId="2" applyFont="1" applyBorder="1" applyAlignment="1">
      <alignment vertical="center" wrapText="1"/>
    </xf>
    <xf numFmtId="0" fontId="15" fillId="0" borderId="5" xfId="0" applyFont="1" applyBorder="1">
      <alignment vertical="center"/>
    </xf>
    <xf numFmtId="0" fontId="41" fillId="0" borderId="3" xfId="2" applyFont="1" applyBorder="1" applyAlignment="1">
      <alignment horizontal="left" vertical="center" wrapText="1"/>
    </xf>
    <xf numFmtId="0" fontId="6" fillId="0" borderId="5" xfId="0" applyFont="1" applyBorder="1" applyAlignment="1">
      <alignment horizontal="right" vertical="center"/>
    </xf>
    <xf numFmtId="0" fontId="6" fillId="0" borderId="5" xfId="0" quotePrefix="1" applyFont="1" applyBorder="1" applyAlignment="1">
      <alignment horizontal="right" vertical="center"/>
    </xf>
    <xf numFmtId="0" fontId="6" fillId="0" borderId="5" xfId="0" applyFont="1" applyBorder="1" applyAlignment="1">
      <alignment horizontal="left" vertical="center" wrapText="1"/>
    </xf>
    <xf numFmtId="0" fontId="6" fillId="0" borderId="5" xfId="0" applyFont="1" applyBorder="1" applyAlignment="1">
      <alignment horizontal="right" vertical="center" wrapText="1"/>
    </xf>
    <xf numFmtId="0" fontId="6" fillId="0" borderId="5" xfId="0" quotePrefix="1" applyFont="1" applyBorder="1" applyAlignment="1">
      <alignment horizontal="right" vertical="center" wrapText="1"/>
    </xf>
    <xf numFmtId="0" fontId="3" fillId="21" borderId="46" xfId="0" applyFont="1" applyFill="1" applyBorder="1" applyAlignment="1">
      <alignment horizontal="center" vertical="center" wrapText="1" readingOrder="1"/>
    </xf>
    <xf numFmtId="0" fontId="3" fillId="21" borderId="47" xfId="0" applyFont="1" applyFill="1" applyBorder="1" applyAlignment="1">
      <alignment horizontal="center" vertical="center" wrapText="1" readingOrder="1"/>
    </xf>
    <xf numFmtId="0" fontId="3" fillId="0" borderId="47" xfId="0" applyFont="1" applyBorder="1" applyAlignment="1">
      <alignment horizontal="center" vertical="center" wrapText="1" readingOrder="1"/>
    </xf>
    <xf numFmtId="0" fontId="3" fillId="0" borderId="47" xfId="0" applyFont="1" applyBorder="1" applyAlignment="1">
      <alignment horizontal="left" vertical="center" wrapText="1" readingOrder="1"/>
    </xf>
    <xf numFmtId="0" fontId="3" fillId="22" borderId="48" xfId="0" applyFont="1" applyFill="1" applyBorder="1" applyAlignment="1">
      <alignment horizontal="left" vertical="center" wrapText="1" readingOrder="1"/>
    </xf>
    <xf numFmtId="0" fontId="5" fillId="4" borderId="49" xfId="0" applyFont="1" applyFill="1" applyBorder="1" applyAlignment="1">
      <alignment horizontal="center" vertical="center"/>
    </xf>
    <xf numFmtId="0" fontId="5" fillId="4" borderId="49" xfId="0" applyFont="1" applyFill="1" applyBorder="1">
      <alignment vertical="center"/>
    </xf>
    <xf numFmtId="0" fontId="3" fillId="4" borderId="49" xfId="0" applyFont="1" applyFill="1" applyBorder="1" applyAlignment="1">
      <alignment horizontal="center" vertical="center" wrapText="1" readingOrder="1"/>
    </xf>
    <xf numFmtId="0" fontId="5" fillId="4" borderId="50" xfId="0" applyFont="1" applyFill="1" applyBorder="1" applyAlignment="1">
      <alignment horizontal="center" vertical="center"/>
    </xf>
    <xf numFmtId="0" fontId="5" fillId="18" borderId="5" xfId="0" applyFont="1" applyFill="1" applyBorder="1">
      <alignment vertical="center"/>
    </xf>
    <xf numFmtId="0" fontId="5" fillId="0" borderId="23" xfId="0" applyFont="1" applyBorder="1">
      <alignment vertical="center"/>
    </xf>
    <xf numFmtId="0" fontId="5" fillId="0" borderId="24" xfId="0" applyFont="1" applyBorder="1">
      <alignment vertical="center"/>
    </xf>
    <xf numFmtId="0" fontId="5" fillId="0" borderId="43" xfId="0" applyFont="1" applyBorder="1">
      <alignment vertical="center"/>
    </xf>
    <xf numFmtId="0" fontId="5" fillId="0" borderId="17" xfId="0" applyFont="1" applyBorder="1">
      <alignment vertical="center"/>
    </xf>
    <xf numFmtId="0" fontId="6" fillId="0" borderId="23" xfId="0" applyFont="1" applyBorder="1" applyAlignment="1">
      <alignment horizontal="center" vertical="center"/>
    </xf>
    <xf numFmtId="0" fontId="6" fillId="6" borderId="24" xfId="0" applyFont="1" applyFill="1" applyBorder="1" applyAlignment="1">
      <alignment horizontal="left" vertical="center"/>
    </xf>
    <xf numFmtId="0" fontId="6" fillId="0" borderId="23" xfId="0" applyFont="1" applyBorder="1" applyAlignment="1">
      <alignment horizontal="center" vertical="center" wrapText="1"/>
    </xf>
    <xf numFmtId="0" fontId="6" fillId="0" borderId="43" xfId="0" applyFont="1" applyBorder="1" applyAlignment="1">
      <alignment horizontal="center" vertical="center"/>
    </xf>
    <xf numFmtId="0" fontId="6" fillId="0" borderId="17" xfId="0" applyFont="1" applyBorder="1" applyAlignment="1">
      <alignment horizontal="center" vertical="center"/>
    </xf>
    <xf numFmtId="0" fontId="6" fillId="0" borderId="17" xfId="0" applyFont="1" applyBorder="1">
      <alignment vertical="center"/>
    </xf>
    <xf numFmtId="0" fontId="6" fillId="0" borderId="17" xfId="0" applyFont="1" applyBorder="1" applyAlignment="1">
      <alignment horizontal="right" vertical="center"/>
    </xf>
    <xf numFmtId="0" fontId="6" fillId="0" borderId="22" xfId="0" applyFont="1" applyBorder="1" applyAlignment="1">
      <alignment horizontal="center" vertical="center"/>
    </xf>
    <xf numFmtId="0" fontId="6" fillId="6" borderId="9" xfId="0" applyFont="1" applyFill="1" applyBorder="1" applyAlignment="1">
      <alignment horizontal="center" vertical="center"/>
    </xf>
    <xf numFmtId="0" fontId="6" fillId="0" borderId="9" xfId="0" applyFont="1" applyBorder="1" applyAlignment="1">
      <alignment horizontal="center" vertical="center"/>
    </xf>
    <xf numFmtId="0" fontId="6" fillId="12" borderId="9" xfId="0" applyFont="1" applyFill="1" applyBorder="1" applyAlignment="1">
      <alignment horizontal="center" vertical="center"/>
    </xf>
    <xf numFmtId="0" fontId="6" fillId="0" borderId="9" xfId="0" applyFont="1" applyBorder="1">
      <alignment vertical="center"/>
    </xf>
    <xf numFmtId="0" fontId="6" fillId="0" borderId="9" xfId="0" applyFont="1" applyBorder="1" applyAlignment="1">
      <alignment horizontal="right" vertical="center"/>
    </xf>
    <xf numFmtId="0" fontId="13" fillId="6" borderId="9" xfId="0" applyFont="1" applyFill="1" applyBorder="1" applyAlignment="1">
      <alignment horizontal="left" vertical="center"/>
    </xf>
    <xf numFmtId="0" fontId="6" fillId="6" borderId="13" xfId="0" applyFont="1" applyFill="1" applyBorder="1" applyAlignment="1">
      <alignment horizontal="left" vertical="center"/>
    </xf>
    <xf numFmtId="0" fontId="8" fillId="11" borderId="51" xfId="0" applyFont="1" applyFill="1" applyBorder="1" applyAlignment="1">
      <alignment horizontal="center" vertical="center" wrapText="1"/>
    </xf>
    <xf numFmtId="0" fontId="8" fillId="11" borderId="52" xfId="0" applyFont="1" applyFill="1" applyBorder="1" applyAlignment="1">
      <alignment horizontal="center" vertical="center" wrapText="1"/>
    </xf>
    <xf numFmtId="0" fontId="8" fillId="11" borderId="52" xfId="0" applyFont="1" applyFill="1" applyBorder="1" applyAlignment="1">
      <alignment horizontal="center" vertical="center"/>
    </xf>
    <xf numFmtId="0" fontId="8" fillId="25" borderId="52" xfId="0" applyFont="1" applyFill="1" applyBorder="1" applyAlignment="1">
      <alignment horizontal="center" vertical="center"/>
    </xf>
    <xf numFmtId="0" fontId="8" fillId="11" borderId="53" xfId="0" applyFont="1" applyFill="1" applyBorder="1" applyAlignment="1">
      <alignment horizontal="center" vertical="center" wrapText="1"/>
    </xf>
    <xf numFmtId="0" fontId="6" fillId="0" borderId="24" xfId="0" applyFont="1" applyBorder="1" applyAlignment="1">
      <alignment horizontal="left" vertical="center"/>
    </xf>
    <xf numFmtId="0" fontId="13" fillId="0" borderId="5" xfId="0" applyFont="1" applyBorder="1" applyAlignment="1">
      <alignment horizontal="left" vertical="center"/>
    </xf>
    <xf numFmtId="0" fontId="13" fillId="0" borderId="5" xfId="0" applyFont="1" applyBorder="1" applyAlignment="1">
      <alignment horizontal="left" vertical="center" wrapText="1"/>
    </xf>
    <xf numFmtId="0" fontId="13" fillId="0" borderId="17" xfId="0" applyFont="1" applyBorder="1" applyAlignment="1">
      <alignment horizontal="left" vertical="center"/>
    </xf>
    <xf numFmtId="0" fontId="6" fillId="0" borderId="21" xfId="0" applyFont="1" applyBorder="1" applyAlignment="1">
      <alignment horizontal="left" vertical="center"/>
    </xf>
    <xf numFmtId="0" fontId="24" fillId="4" borderId="0" xfId="0" applyFont="1" applyFill="1">
      <alignment vertical="center"/>
    </xf>
    <xf numFmtId="0" fontId="9" fillId="26" borderId="3" xfId="0" applyFont="1" applyFill="1" applyBorder="1" applyAlignment="1">
      <alignment horizontal="left" vertical="center" wrapText="1"/>
    </xf>
    <xf numFmtId="0" fontId="42" fillId="0" borderId="2" xfId="0" applyFont="1" applyBorder="1" applyAlignment="1">
      <alignment vertical="center" wrapText="1"/>
    </xf>
    <xf numFmtId="0" fontId="42" fillId="0" borderId="2" xfId="0" applyFont="1" applyBorder="1">
      <alignment vertical="center"/>
    </xf>
    <xf numFmtId="0" fontId="42" fillId="0" borderId="3" xfId="0" applyFont="1" applyBorder="1" applyAlignment="1">
      <alignment horizontal="left" vertical="center" wrapText="1"/>
    </xf>
    <xf numFmtId="0" fontId="9" fillId="0" borderId="54" xfId="0" applyFont="1" applyBorder="1" applyAlignment="1">
      <alignment vertical="center" wrapText="1"/>
    </xf>
    <xf numFmtId="0" fontId="9" fillId="0" borderId="55" xfId="0" applyFont="1" applyBorder="1" applyAlignment="1">
      <alignment vertical="center" wrapText="1"/>
    </xf>
    <xf numFmtId="0" fontId="9" fillId="0" borderId="55" xfId="0" applyFont="1" applyBorder="1">
      <alignment vertical="center"/>
    </xf>
    <xf numFmtId="0" fontId="9" fillId="0" borderId="56" xfId="0" applyFont="1" applyBorder="1" applyAlignment="1">
      <alignment horizontal="left" vertical="center" wrapText="1"/>
    </xf>
    <xf numFmtId="0" fontId="24" fillId="0" borderId="57" xfId="0" applyFont="1" applyBorder="1" applyAlignment="1">
      <alignment horizontal="center" vertical="center"/>
    </xf>
    <xf numFmtId="0" fontId="9" fillId="0" borderId="4" xfId="0" applyFont="1" applyBorder="1">
      <alignment vertical="center"/>
    </xf>
    <xf numFmtId="0" fontId="9" fillId="0" borderId="4" xfId="0" applyFont="1" applyBorder="1" applyAlignment="1">
      <alignment vertical="center" wrapText="1"/>
    </xf>
    <xf numFmtId="0" fontId="9" fillId="0" borderId="5" xfId="0" applyFont="1" applyBorder="1" applyAlignment="1">
      <alignment vertical="center" wrapText="1"/>
    </xf>
    <xf numFmtId="0" fontId="9" fillId="0" borderId="5" xfId="0" applyFont="1" applyBorder="1">
      <alignment vertical="center"/>
    </xf>
    <xf numFmtId="0" fontId="9" fillId="0" borderId="5" xfId="0" applyFont="1" applyBorder="1" applyAlignment="1">
      <alignment horizontal="left" vertical="center" wrapText="1"/>
    </xf>
    <xf numFmtId="0" fontId="41" fillId="0" borderId="3" xfId="0" applyFont="1" applyBorder="1" applyAlignment="1">
      <alignment horizontal="left" vertical="center" wrapText="1"/>
    </xf>
    <xf numFmtId="0" fontId="43" fillId="0" borderId="2" xfId="2" applyFont="1" applyBorder="1" applyAlignment="1">
      <alignment horizontal="center" vertical="center"/>
    </xf>
    <xf numFmtId="0" fontId="43" fillId="0" borderId="2" xfId="2" applyFont="1" applyBorder="1" applyAlignment="1">
      <alignment vertical="center" wrapText="1"/>
    </xf>
    <xf numFmtId="0" fontId="43" fillId="0" borderId="2" xfId="2" applyFont="1" applyBorder="1" applyAlignment="1">
      <alignment vertical="center"/>
    </xf>
    <xf numFmtId="0" fontId="44" fillId="0" borderId="2" xfId="2" applyFont="1" applyBorder="1" applyAlignment="1">
      <alignment horizontal="center" vertical="center"/>
    </xf>
    <xf numFmtId="0" fontId="43" fillId="0" borderId="3" xfId="2" applyFont="1" applyBorder="1" applyAlignment="1">
      <alignment horizontal="left" vertical="center" wrapText="1"/>
    </xf>
    <xf numFmtId="0" fontId="43" fillId="0" borderId="2" xfId="0" applyFont="1" applyBorder="1" applyAlignment="1">
      <alignment vertical="center" wrapText="1"/>
    </xf>
    <xf numFmtId="0" fontId="43" fillId="0" borderId="4" xfId="2" applyFont="1" applyBorder="1" applyAlignment="1">
      <alignment horizontal="left" vertical="center" wrapText="1"/>
    </xf>
    <xf numFmtId="0" fontId="43" fillId="0" borderId="5" xfId="0" applyFont="1" applyBorder="1" applyAlignment="1">
      <alignment horizontal="center" vertical="center"/>
    </xf>
    <xf numFmtId="0" fontId="43" fillId="0" borderId="5" xfId="0" applyFont="1" applyBorder="1">
      <alignment vertical="center"/>
    </xf>
    <xf numFmtId="0" fontId="21" fillId="5" borderId="58" xfId="2" applyFont="1" applyFill="1" applyBorder="1" applyAlignment="1">
      <alignment vertical="center"/>
    </xf>
    <xf numFmtId="0" fontId="21" fillId="5" borderId="59" xfId="2" applyFont="1" applyFill="1" applyBorder="1" applyAlignment="1">
      <alignment horizontal="center" vertical="center"/>
    </xf>
    <xf numFmtId="0" fontId="11" fillId="0" borderId="0" xfId="2" applyAlignment="1">
      <alignment vertical="center"/>
    </xf>
    <xf numFmtId="0" fontId="9" fillId="0" borderId="0" xfId="2" applyFont="1"/>
    <xf numFmtId="0" fontId="9" fillId="0" borderId="0" xfId="2" applyFont="1" applyAlignment="1">
      <alignment horizontal="center"/>
    </xf>
    <xf numFmtId="0" fontId="9" fillId="0" borderId="0" xfId="2" applyFont="1" applyAlignment="1">
      <alignment vertical="center"/>
    </xf>
    <xf numFmtId="0" fontId="9" fillId="0" borderId="0" xfId="2" applyFont="1" applyAlignment="1">
      <alignment horizontal="center" vertical="center"/>
    </xf>
    <xf numFmtId="0" fontId="50" fillId="5" borderId="82" xfId="2" applyFont="1" applyFill="1" applyBorder="1" applyAlignment="1">
      <alignment vertical="center"/>
    </xf>
    <xf numFmtId="0" fontId="50" fillId="5" borderId="58" xfId="2" applyFont="1" applyFill="1" applyBorder="1" applyAlignment="1">
      <alignment vertical="center"/>
    </xf>
    <xf numFmtId="0" fontId="50" fillId="5" borderId="59" xfId="2" applyFont="1" applyFill="1" applyBorder="1" applyAlignment="1">
      <alignment horizontal="center" vertical="center"/>
    </xf>
    <xf numFmtId="0" fontId="50" fillId="5" borderId="83" xfId="2" applyFont="1" applyFill="1" applyBorder="1" applyAlignment="1">
      <alignment vertical="center"/>
    </xf>
    <xf numFmtId="0" fontId="50" fillId="5" borderId="59" xfId="2" applyFont="1" applyFill="1" applyBorder="1" applyAlignment="1">
      <alignment horizontal="center" vertical="center" wrapText="1"/>
    </xf>
    <xf numFmtId="0" fontId="50" fillId="5" borderId="84" xfId="2" applyFont="1" applyFill="1" applyBorder="1" applyAlignment="1">
      <alignment horizontal="center" vertical="center" wrapText="1"/>
    </xf>
    <xf numFmtId="0" fontId="9" fillId="0" borderId="86" xfId="2" applyFont="1" applyBorder="1" applyAlignment="1">
      <alignment horizontal="center" vertical="center"/>
    </xf>
    <xf numFmtId="0" fontId="50" fillId="0" borderId="2" xfId="2" applyFont="1" applyBorder="1" applyAlignment="1">
      <alignment horizontal="center" vertical="center"/>
    </xf>
    <xf numFmtId="0" fontId="9" fillId="0" borderId="87" xfId="2" applyFont="1" applyBorder="1" applyAlignment="1">
      <alignment horizontal="center" vertical="center"/>
    </xf>
    <xf numFmtId="0" fontId="9" fillId="7" borderId="2" xfId="2" applyFont="1" applyFill="1" applyBorder="1" applyAlignment="1">
      <alignment vertical="center" wrapText="1"/>
    </xf>
    <xf numFmtId="0" fontId="9" fillId="7" borderId="2" xfId="2" applyFont="1" applyFill="1" applyBorder="1" applyAlignment="1">
      <alignment horizontal="center" vertical="center"/>
    </xf>
    <xf numFmtId="0" fontId="9" fillId="7" borderId="2" xfId="2" applyFont="1" applyFill="1" applyBorder="1" applyAlignment="1">
      <alignment horizontal="center" vertical="center" wrapText="1"/>
    </xf>
    <xf numFmtId="0" fontId="9" fillId="7" borderId="3" xfId="2" applyFont="1" applyFill="1" applyBorder="1" applyAlignment="1">
      <alignment horizontal="left" vertical="center" wrapText="1"/>
    </xf>
    <xf numFmtId="0" fontId="9" fillId="7" borderId="4" xfId="2" applyFont="1" applyFill="1" applyBorder="1" applyAlignment="1">
      <alignment horizontal="center" vertical="center"/>
    </xf>
    <xf numFmtId="0" fontId="9" fillId="7" borderId="88" xfId="2" applyFont="1" applyFill="1" applyBorder="1" applyAlignment="1">
      <alignment horizontal="center" vertical="center"/>
    </xf>
    <xf numFmtId="0" fontId="9" fillId="7" borderId="89" xfId="2" applyFont="1" applyFill="1" applyBorder="1" applyAlignment="1">
      <alignment horizontal="left" vertical="center" wrapText="1"/>
    </xf>
    <xf numFmtId="0" fontId="9" fillId="0" borderId="90" xfId="2" applyFont="1" applyBorder="1" applyAlignment="1">
      <alignment horizontal="center" vertical="center" wrapText="1"/>
    </xf>
    <xf numFmtId="0" fontId="9" fillId="0" borderId="91" xfId="2" applyFont="1" applyBorder="1" applyAlignment="1">
      <alignment horizontal="center" vertical="center"/>
    </xf>
    <xf numFmtId="0" fontId="9" fillId="0" borderId="2" xfId="4" applyFont="1" applyBorder="1" applyAlignment="1">
      <alignment vertical="center" wrapText="1"/>
    </xf>
    <xf numFmtId="0" fontId="9" fillId="0" borderId="92" xfId="2" applyFont="1" applyBorder="1" applyAlignment="1">
      <alignment horizontal="center" vertical="center"/>
    </xf>
    <xf numFmtId="0" fontId="9" fillId="0" borderId="93" xfId="2" applyFont="1" applyBorder="1" applyAlignment="1">
      <alignment horizontal="center" vertical="center"/>
    </xf>
    <xf numFmtId="0" fontId="9" fillId="0" borderId="2" xfId="2" applyFont="1" applyBorder="1" applyAlignment="1">
      <alignment horizontal="center" vertical="center" wrapText="1"/>
    </xf>
    <xf numFmtId="0" fontId="38" fillId="0" borderId="4" xfId="2" applyFont="1" applyBorder="1" applyAlignment="1">
      <alignment horizontal="left" vertical="center" wrapText="1"/>
    </xf>
    <xf numFmtId="0" fontId="9" fillId="0" borderId="4" xfId="2" applyFont="1" applyBorder="1" applyAlignment="1">
      <alignment horizontal="center" vertical="center"/>
    </xf>
    <xf numFmtId="0" fontId="9" fillId="0" borderId="88" xfId="2" applyFont="1" applyBorder="1" applyAlignment="1">
      <alignment horizontal="center" vertical="center"/>
    </xf>
    <xf numFmtId="0" fontId="9" fillId="0" borderId="89" xfId="2" applyFont="1" applyBorder="1" applyAlignment="1">
      <alignment horizontal="left" vertical="center" wrapText="1"/>
    </xf>
    <xf numFmtId="0" fontId="2" fillId="0" borderId="5" xfId="4" applyBorder="1">
      <alignment vertical="center"/>
    </xf>
    <xf numFmtId="0" fontId="9" fillId="7" borderId="2" xfId="2" applyFont="1" applyFill="1" applyBorder="1" applyAlignment="1">
      <alignment vertical="center"/>
    </xf>
    <xf numFmtId="0" fontId="9" fillId="0" borderId="55" xfId="2" applyFont="1" applyBorder="1" applyAlignment="1">
      <alignment vertical="center" wrapText="1"/>
    </xf>
    <xf numFmtId="0" fontId="9" fillId="0" borderId="89" xfId="2" applyFont="1" applyBorder="1" applyAlignment="1">
      <alignment horizontal="left" vertical="center"/>
    </xf>
    <xf numFmtId="0" fontId="9" fillId="0" borderId="4" xfId="2" applyFont="1" applyBorder="1" applyAlignment="1">
      <alignment horizontal="left" vertical="center"/>
    </xf>
    <xf numFmtId="0" fontId="9" fillId="0" borderId="88" xfId="2" applyFont="1" applyBorder="1" applyAlignment="1">
      <alignment horizontal="left" vertical="center" wrapText="1"/>
    </xf>
    <xf numFmtId="0" fontId="36" fillId="0" borderId="4" xfId="2" applyFont="1" applyBorder="1" applyAlignment="1">
      <alignment horizontal="center" vertical="center"/>
    </xf>
    <xf numFmtId="0" fontId="9" fillId="0" borderId="94" xfId="2" applyFont="1" applyBorder="1" applyAlignment="1">
      <alignment horizontal="center" vertical="center"/>
    </xf>
    <xf numFmtId="0" fontId="9" fillId="0" borderId="58" xfId="2" applyFont="1" applyBorder="1" applyAlignment="1">
      <alignment horizontal="center" vertical="center"/>
    </xf>
    <xf numFmtId="0" fontId="9" fillId="0" borderId="58" xfId="2" applyFont="1" applyBorder="1" applyAlignment="1">
      <alignment horizontal="left" vertical="center"/>
    </xf>
    <xf numFmtId="0" fontId="9" fillId="0" borderId="83" xfId="2" applyFont="1" applyBorder="1" applyAlignment="1">
      <alignment horizontal="center" vertical="center"/>
    </xf>
    <xf numFmtId="0" fontId="9" fillId="0" borderId="58" xfId="2" applyFont="1" applyBorder="1" applyAlignment="1">
      <alignment vertical="center"/>
    </xf>
    <xf numFmtId="0" fontId="9" fillId="0" borderId="95" xfId="2" applyFont="1" applyBorder="1" applyAlignment="1">
      <alignment horizontal="center" vertical="center"/>
    </xf>
    <xf numFmtId="0" fontId="9" fillId="0" borderId="96" xfId="2" applyFont="1" applyBorder="1" applyAlignment="1">
      <alignment horizontal="center" vertical="center"/>
    </xf>
    <xf numFmtId="0" fontId="2" fillId="0" borderId="5" xfId="4" applyBorder="1" applyAlignment="1">
      <alignment horizontal="center" vertical="center"/>
    </xf>
    <xf numFmtId="0" fontId="41" fillId="0" borderId="2" xfId="0" applyFont="1" applyBorder="1" applyAlignment="1">
      <alignment vertical="center" wrapText="1"/>
    </xf>
    <xf numFmtId="0" fontId="31" fillId="27" borderId="5" xfId="0" applyFont="1" applyFill="1" applyBorder="1">
      <alignment vertical="center"/>
    </xf>
    <xf numFmtId="0" fontId="24" fillId="27" borderId="5" xfId="0" applyFont="1" applyFill="1" applyBorder="1" applyAlignment="1">
      <alignment horizontal="center" vertical="center"/>
    </xf>
    <xf numFmtId="0" fontId="31" fillId="27" borderId="5" xfId="0" applyFont="1" applyFill="1" applyBorder="1" applyAlignment="1">
      <alignment horizontal="center" vertical="center"/>
    </xf>
    <xf numFmtId="0" fontId="24" fillId="27" borderId="5" xfId="0" applyFont="1" applyFill="1" applyBorder="1" applyAlignment="1">
      <alignment horizontal="left" vertical="center" wrapText="1"/>
    </xf>
    <xf numFmtId="0" fontId="24" fillId="27" borderId="24" xfId="0" applyFont="1" applyFill="1" applyBorder="1" applyAlignment="1">
      <alignment horizontal="left" vertical="center" wrapText="1"/>
    </xf>
    <xf numFmtId="0" fontId="24" fillId="28" borderId="5" xfId="0" applyFont="1" applyFill="1" applyBorder="1" applyAlignment="1">
      <alignment vertical="center" wrapText="1"/>
    </xf>
    <xf numFmtId="0" fontId="24" fillId="29" borderId="5" xfId="0" applyFont="1" applyFill="1" applyBorder="1" applyAlignment="1">
      <alignment vertical="center" wrapText="1"/>
    </xf>
    <xf numFmtId="0" fontId="53" fillId="0" borderId="23" xfId="0" applyFont="1" applyBorder="1" applyAlignment="1">
      <alignment horizontal="center" vertical="center"/>
    </xf>
    <xf numFmtId="0" fontId="24" fillId="27" borderId="5" xfId="0" applyFont="1" applyFill="1" applyBorder="1" applyAlignment="1">
      <alignment vertical="center" wrapText="1"/>
    </xf>
    <xf numFmtId="0" fontId="36" fillId="27" borderId="2" xfId="2" applyFont="1" applyFill="1" applyBorder="1" applyAlignment="1">
      <alignment horizontal="center" vertical="center"/>
    </xf>
    <xf numFmtId="0" fontId="53" fillId="0" borderId="5" xfId="0" applyFont="1" applyBorder="1">
      <alignment vertical="center"/>
    </xf>
    <xf numFmtId="0" fontId="53" fillId="0" borderId="5" xfId="0" applyFont="1" applyBorder="1" applyAlignment="1">
      <alignment horizontal="center" vertical="center"/>
    </xf>
    <xf numFmtId="0" fontId="53" fillId="0" borderId="5" xfId="0" applyFont="1" applyBorder="1" applyAlignment="1">
      <alignment horizontal="left" vertical="center" wrapText="1"/>
    </xf>
    <xf numFmtId="0" fontId="53" fillId="0" borderId="24" xfId="0" applyFont="1" applyBorder="1" applyAlignment="1">
      <alignment horizontal="left" vertical="center" wrapText="1"/>
    </xf>
    <xf numFmtId="0" fontId="5" fillId="26" borderId="49" xfId="0" applyFont="1" applyFill="1" applyBorder="1" applyAlignment="1">
      <alignment horizontal="center" vertical="center"/>
    </xf>
    <xf numFmtId="0" fontId="54" fillId="0" borderId="0" xfId="1" applyFont="1" applyAlignment="1">
      <alignment vertical="center"/>
    </xf>
    <xf numFmtId="0" fontId="11" fillId="0" borderId="0" xfId="5" applyAlignment="1">
      <alignment vertical="center"/>
    </xf>
    <xf numFmtId="0" fontId="9" fillId="0" borderId="0" xfId="5" applyFont="1"/>
    <xf numFmtId="0" fontId="9" fillId="0" borderId="0" xfId="5" applyFont="1" applyAlignment="1">
      <alignment horizontal="center"/>
    </xf>
    <xf numFmtId="0" fontId="9" fillId="0" borderId="0" xfId="5" applyFont="1" applyAlignment="1">
      <alignment vertical="center"/>
    </xf>
    <xf numFmtId="0" fontId="9" fillId="0" borderId="0" xfId="5" applyFont="1" applyAlignment="1">
      <alignment horizontal="center" vertical="center"/>
    </xf>
    <xf numFmtId="0" fontId="50" fillId="5" borderId="82" xfId="5" applyFont="1" applyFill="1" applyBorder="1" applyAlignment="1">
      <alignment vertical="center"/>
    </xf>
    <xf numFmtId="0" fontId="50" fillId="5" borderId="55" xfId="5" applyFont="1" applyFill="1" applyBorder="1" applyAlignment="1">
      <alignment vertical="center"/>
    </xf>
    <xf numFmtId="0" fontId="50" fillId="5" borderId="59" xfId="5" applyFont="1" applyFill="1" applyBorder="1" applyAlignment="1">
      <alignment horizontal="center" vertical="center"/>
    </xf>
    <xf numFmtId="0" fontId="50" fillId="5" borderId="83" xfId="5" applyFont="1" applyFill="1" applyBorder="1" applyAlignment="1">
      <alignment vertical="center"/>
    </xf>
    <xf numFmtId="0" fontId="50" fillId="5" borderId="58" xfId="5" applyFont="1" applyFill="1" applyBorder="1" applyAlignment="1">
      <alignment vertical="center"/>
    </xf>
    <xf numFmtId="0" fontId="50" fillId="5" borderId="59" xfId="5" applyFont="1" applyFill="1" applyBorder="1" applyAlignment="1">
      <alignment horizontal="center" vertical="center" wrapText="1"/>
    </xf>
    <xf numFmtId="0" fontId="50" fillId="5" borderId="84" xfId="5" applyFont="1" applyFill="1" applyBorder="1" applyAlignment="1">
      <alignment horizontal="center" vertical="center" wrapText="1"/>
    </xf>
    <xf numFmtId="0" fontId="9" fillId="0" borderId="86" xfId="5" applyFont="1" applyBorder="1" applyAlignment="1">
      <alignment horizontal="center" vertical="center"/>
    </xf>
    <xf numFmtId="0" fontId="50" fillId="0" borderId="2" xfId="5" applyFont="1" applyBorder="1" applyAlignment="1">
      <alignment horizontal="center" vertical="center"/>
    </xf>
    <xf numFmtId="0" fontId="9" fillId="0" borderId="2" xfId="5" applyFont="1" applyBorder="1" applyAlignment="1">
      <alignment vertical="center" wrapText="1"/>
    </xf>
    <xf numFmtId="0" fontId="9" fillId="0" borderId="2" xfId="5" applyFont="1" applyBorder="1" applyAlignment="1">
      <alignment vertical="center"/>
    </xf>
    <xf numFmtId="0" fontId="36" fillId="0" borderId="2" xfId="5" applyFont="1" applyBorder="1" applyAlignment="1">
      <alignment horizontal="center" vertical="center"/>
    </xf>
    <xf numFmtId="0" fontId="36" fillId="0" borderId="2" xfId="5" applyFont="1" applyBorder="1" applyAlignment="1">
      <alignment horizontal="right" vertical="center"/>
    </xf>
    <xf numFmtId="0" fontId="9" fillId="0" borderId="3" xfId="5" applyFont="1" applyBorder="1" applyAlignment="1">
      <alignment horizontal="left" vertical="center" wrapText="1"/>
    </xf>
    <xf numFmtId="0" fontId="9" fillId="0" borderId="87" xfId="5" applyFont="1" applyBorder="1" applyAlignment="1">
      <alignment horizontal="center" vertical="center"/>
    </xf>
    <xf numFmtId="0" fontId="9" fillId="7" borderId="2" xfId="5" applyFont="1" applyFill="1" applyBorder="1" applyAlignment="1">
      <alignment vertical="center" wrapText="1"/>
    </xf>
    <xf numFmtId="0" fontId="9" fillId="7" borderId="2" xfId="5" applyFont="1" applyFill="1" applyBorder="1" applyAlignment="1">
      <alignment horizontal="center" vertical="center"/>
    </xf>
    <xf numFmtId="0" fontId="9" fillId="0" borderId="2" xfId="5" applyFont="1" applyBorder="1" applyAlignment="1">
      <alignment horizontal="center" vertical="center" wrapText="1"/>
    </xf>
    <xf numFmtId="0" fontId="9" fillId="0" borderId="2" xfId="5" applyFont="1" applyBorder="1" applyAlignment="1">
      <alignment horizontal="center" vertical="center"/>
    </xf>
    <xf numFmtId="0" fontId="9" fillId="7" borderId="4" xfId="5" applyFont="1" applyFill="1" applyBorder="1" applyAlignment="1">
      <alignment vertical="center" wrapText="1"/>
    </xf>
    <xf numFmtId="0" fontId="9" fillId="7" borderId="4" xfId="5" applyFont="1" applyFill="1" applyBorder="1" applyAlignment="1">
      <alignment horizontal="center" vertical="center"/>
    </xf>
    <xf numFmtId="0" fontId="9" fillId="7" borderId="88" xfId="5" applyFont="1" applyFill="1" applyBorder="1" applyAlignment="1">
      <alignment horizontal="center" vertical="center"/>
    </xf>
    <xf numFmtId="0" fontId="9" fillId="7" borderId="2" xfId="5" applyFont="1" applyFill="1" applyBorder="1" applyAlignment="1">
      <alignment horizontal="left" vertical="center" wrapText="1"/>
    </xf>
    <xf numFmtId="0" fontId="9" fillId="7" borderId="4" xfId="5" applyFont="1" applyFill="1" applyBorder="1" applyAlignment="1">
      <alignment horizontal="left" vertical="center" wrapText="1"/>
    </xf>
    <xf numFmtId="0" fontId="9" fillId="0" borderId="92" xfId="5" applyFont="1" applyBorder="1" applyAlignment="1">
      <alignment horizontal="center" vertical="center"/>
    </xf>
    <xf numFmtId="0" fontId="9" fillId="0" borderId="2" xfId="5" applyFont="1" applyBorder="1" applyAlignment="1">
      <alignment horizontal="right" vertical="center"/>
    </xf>
    <xf numFmtId="0" fontId="9" fillId="0" borderId="4" xfId="5" applyFont="1" applyBorder="1" applyAlignment="1">
      <alignment horizontal="left" vertical="center" wrapText="1"/>
    </xf>
    <xf numFmtId="0" fontId="9" fillId="0" borderId="93" xfId="5" applyFont="1" applyBorder="1" applyAlignment="1">
      <alignment horizontal="center" vertical="center"/>
    </xf>
    <xf numFmtId="0" fontId="9" fillId="0" borderId="4" xfId="5" applyFont="1" applyBorder="1" applyAlignment="1">
      <alignment vertical="center" wrapText="1"/>
    </xf>
    <xf numFmtId="0" fontId="9" fillId="0" borderId="4" xfId="5" applyFont="1" applyBorder="1" applyAlignment="1">
      <alignment horizontal="center" vertical="center"/>
    </xf>
    <xf numFmtId="0" fontId="9" fillId="0" borderId="88" xfId="5" applyFont="1" applyBorder="1" applyAlignment="1">
      <alignment horizontal="center" vertical="center"/>
    </xf>
    <xf numFmtId="0" fontId="10" fillId="0" borderId="2" xfId="5" applyFont="1" applyBorder="1" applyAlignment="1">
      <alignment vertical="center" wrapText="1"/>
    </xf>
    <xf numFmtId="0" fontId="50" fillId="0" borderId="4" xfId="5" applyFont="1" applyBorder="1" applyAlignment="1">
      <alignment horizontal="center" vertical="center" wrapText="1"/>
    </xf>
    <xf numFmtId="0" fontId="9" fillId="7" borderId="2" xfId="5" applyFont="1" applyFill="1" applyBorder="1" applyAlignment="1">
      <alignment vertical="center"/>
    </xf>
    <xf numFmtId="0" fontId="9" fillId="7" borderId="2" xfId="5" applyFont="1" applyFill="1" applyBorder="1" applyAlignment="1">
      <alignment horizontal="center" vertical="center" wrapText="1"/>
    </xf>
    <xf numFmtId="0" fontId="9" fillId="7" borderId="89" xfId="5" applyFont="1" applyFill="1" applyBorder="1" applyAlignment="1">
      <alignment horizontal="left" vertical="center" wrapText="1"/>
    </xf>
    <xf numFmtId="0" fontId="9" fillId="0" borderId="90" xfId="5" applyFont="1" applyBorder="1" applyAlignment="1">
      <alignment horizontal="center" vertical="center" wrapText="1"/>
    </xf>
    <xf numFmtId="0" fontId="9" fillId="7" borderId="3" xfId="5" applyFont="1" applyFill="1" applyBorder="1" applyAlignment="1">
      <alignment horizontal="left" vertical="center" wrapText="1"/>
    </xf>
    <xf numFmtId="0" fontId="9" fillId="7" borderId="4" xfId="5" applyFont="1" applyFill="1" applyBorder="1" applyAlignment="1">
      <alignment horizontal="right" vertical="center"/>
    </xf>
    <xf numFmtId="0" fontId="36" fillId="0" borderId="2" xfId="5" applyFont="1" applyBorder="1" applyAlignment="1">
      <alignment vertical="center"/>
    </xf>
    <xf numFmtId="0" fontId="9" fillId="0" borderId="89" xfId="5" applyFont="1" applyBorder="1" applyAlignment="1">
      <alignment horizontal="left" vertical="center" wrapText="1"/>
    </xf>
    <xf numFmtId="0" fontId="9" fillId="0" borderId="58" xfId="5" applyFont="1" applyBorder="1" applyAlignment="1">
      <alignment horizontal="center" vertical="center"/>
    </xf>
    <xf numFmtId="0" fontId="9" fillId="0" borderId="58" xfId="5" applyFont="1" applyBorder="1" applyAlignment="1">
      <alignment horizontal="left" vertical="center"/>
    </xf>
    <xf numFmtId="0" fontId="9" fillId="0" borderId="58" xfId="5" applyFont="1" applyBorder="1" applyAlignment="1">
      <alignment vertical="center"/>
    </xf>
    <xf numFmtId="0" fontId="9" fillId="0" borderId="95" xfId="5" applyFont="1" applyBorder="1" applyAlignment="1">
      <alignment horizontal="center" vertical="center"/>
    </xf>
    <xf numFmtId="0" fontId="9" fillId="0" borderId="96" xfId="5" applyFont="1" applyBorder="1" applyAlignment="1">
      <alignment horizontal="center" vertical="center"/>
    </xf>
    <xf numFmtId="0" fontId="55" fillId="22" borderId="0" xfId="5" applyFont="1" applyFill="1" applyAlignment="1">
      <alignment horizontal="center"/>
    </xf>
    <xf numFmtId="0" fontId="55" fillId="31" borderId="0" xfId="5" applyFont="1" applyFill="1" applyAlignment="1">
      <alignment horizontal="center"/>
    </xf>
    <xf numFmtId="0" fontId="5" fillId="18" borderId="5" xfId="0" applyFont="1" applyFill="1" applyBorder="1" applyAlignment="1">
      <alignment vertical="center" wrapText="1"/>
    </xf>
    <xf numFmtId="179" fontId="6" fillId="0" borderId="43" xfId="0" applyNumberFormat="1" applyFont="1" applyBorder="1" applyAlignment="1">
      <alignment horizontal="center" vertical="center"/>
    </xf>
    <xf numFmtId="179" fontId="6" fillId="0" borderId="22" xfId="0" applyNumberFormat="1" applyFont="1" applyBorder="1" applyAlignment="1">
      <alignment horizontal="center" vertical="center"/>
    </xf>
    <xf numFmtId="0" fontId="3" fillId="0" borderId="0" xfId="0" applyFont="1" applyAlignment="1">
      <alignment horizontal="center" vertical="center" wrapText="1" readingOrder="1"/>
    </xf>
    <xf numFmtId="0" fontId="5" fillId="4" borderId="111" xfId="0" applyFont="1" applyFill="1" applyBorder="1" applyAlignment="1">
      <alignment horizontal="center" vertical="center"/>
    </xf>
    <xf numFmtId="0" fontId="5" fillId="4" borderId="112" xfId="0" applyFont="1" applyFill="1" applyBorder="1" applyAlignment="1">
      <alignment horizontal="center" vertical="center"/>
    </xf>
    <xf numFmtId="0" fontId="3" fillId="4" borderId="112" xfId="0" applyFont="1" applyFill="1" applyBorder="1" applyAlignment="1">
      <alignment horizontal="center" vertical="center" wrapText="1" readingOrder="1"/>
    </xf>
    <xf numFmtId="0" fontId="5" fillId="4" borderId="112" xfId="0" applyFont="1" applyFill="1" applyBorder="1">
      <alignment vertical="center"/>
    </xf>
    <xf numFmtId="0" fontId="43" fillId="0" borderId="0" xfId="2" applyFont="1" applyAlignment="1">
      <alignment vertical="center"/>
    </xf>
    <xf numFmtId="0" fontId="43" fillId="0" borderId="0" xfId="2" applyFont="1"/>
    <xf numFmtId="0" fontId="43" fillId="0" borderId="0" xfId="2" applyFont="1" applyAlignment="1">
      <alignment horizontal="center"/>
    </xf>
    <xf numFmtId="0" fontId="43" fillId="0" borderId="0" xfId="2" applyFont="1" applyAlignment="1">
      <alignment horizontal="center" vertical="center"/>
    </xf>
    <xf numFmtId="0" fontId="21" fillId="5" borderId="82" xfId="2" applyFont="1" applyFill="1" applyBorder="1" applyAlignment="1">
      <alignment vertical="center"/>
    </xf>
    <xf numFmtId="0" fontId="21" fillId="5" borderId="83" xfId="2" applyFont="1" applyFill="1" applyBorder="1" applyAlignment="1">
      <alignment vertical="center"/>
    </xf>
    <xf numFmtId="0" fontId="21" fillId="5" borderId="59" xfId="2" applyFont="1" applyFill="1" applyBorder="1" applyAlignment="1">
      <alignment horizontal="center" vertical="center" wrapText="1"/>
    </xf>
    <xf numFmtId="0" fontId="21" fillId="5" borderId="84" xfId="2" applyFont="1" applyFill="1" applyBorder="1" applyAlignment="1">
      <alignment horizontal="center" vertical="center" wrapText="1"/>
    </xf>
    <xf numFmtId="0" fontId="43" fillId="4" borderId="0" xfId="2" applyFont="1" applyFill="1" applyAlignment="1">
      <alignment vertical="center"/>
    </xf>
    <xf numFmtId="0" fontId="43" fillId="0" borderId="86" xfId="2" applyFont="1" applyBorder="1" applyAlignment="1">
      <alignment horizontal="center" vertical="center"/>
    </xf>
    <xf numFmtId="0" fontId="21" fillId="0" borderId="2" xfId="2" applyFont="1" applyBorder="1" applyAlignment="1">
      <alignment horizontal="center" vertical="center"/>
    </xf>
    <xf numFmtId="0" fontId="43" fillId="0" borderId="87" xfId="2" applyFont="1" applyBorder="1" applyAlignment="1">
      <alignment horizontal="center" vertical="center"/>
    </xf>
    <xf numFmtId="0" fontId="43" fillId="7" borderId="2" xfId="2" applyFont="1" applyFill="1" applyBorder="1" applyAlignment="1">
      <alignment vertical="center" wrapText="1"/>
    </xf>
    <xf numFmtId="0" fontId="43" fillId="7" borderId="2" xfId="2" applyFont="1" applyFill="1" applyBorder="1" applyAlignment="1">
      <alignment horizontal="center" vertical="center"/>
    </xf>
    <xf numFmtId="0" fontId="43" fillId="7" borderId="2" xfId="2" applyFont="1" applyFill="1" applyBorder="1" applyAlignment="1">
      <alignment horizontal="center" vertical="center" wrapText="1"/>
    </xf>
    <xf numFmtId="0" fontId="43" fillId="7" borderId="3" xfId="2" applyFont="1" applyFill="1" applyBorder="1" applyAlignment="1">
      <alignment horizontal="left" vertical="center" wrapText="1"/>
    </xf>
    <xf numFmtId="0" fontId="43" fillId="7" borderId="4" xfId="2" applyFont="1" applyFill="1" applyBorder="1" applyAlignment="1">
      <alignment horizontal="center" vertical="center"/>
    </xf>
    <xf numFmtId="0" fontId="43" fillId="7" borderId="88" xfId="2" applyFont="1" applyFill="1" applyBorder="1" applyAlignment="1">
      <alignment horizontal="center" vertical="center"/>
    </xf>
    <xf numFmtId="0" fontId="43" fillId="7" borderId="89" xfId="2" applyFont="1" applyFill="1" applyBorder="1" applyAlignment="1">
      <alignment horizontal="left" vertical="center" wrapText="1"/>
    </xf>
    <xf numFmtId="0" fontId="43" fillId="0" borderId="90" xfId="2" applyFont="1" applyBorder="1" applyAlignment="1">
      <alignment horizontal="center" vertical="center" wrapText="1"/>
    </xf>
    <xf numFmtId="0" fontId="43" fillId="0" borderId="91" xfId="2" applyFont="1" applyBorder="1" applyAlignment="1">
      <alignment horizontal="center" vertical="center"/>
    </xf>
    <xf numFmtId="0" fontId="43" fillId="0" borderId="2" xfId="6" applyFont="1" applyBorder="1" applyAlignment="1">
      <alignment vertical="center" wrapText="1"/>
    </xf>
    <xf numFmtId="0" fontId="43" fillId="0" borderId="92" xfId="2" applyFont="1" applyBorder="1" applyAlignment="1">
      <alignment horizontal="center" vertical="center"/>
    </xf>
    <xf numFmtId="0" fontId="43" fillId="0" borderId="93" xfId="2" applyFont="1" applyBorder="1" applyAlignment="1">
      <alignment horizontal="center" vertical="center"/>
    </xf>
    <xf numFmtId="0" fontId="43" fillId="0" borderId="2" xfId="2" applyFont="1" applyBorder="1" applyAlignment="1">
      <alignment horizontal="center" vertical="center" wrapText="1"/>
    </xf>
    <xf numFmtId="0" fontId="43" fillId="0" borderId="4" xfId="2" applyFont="1" applyBorder="1" applyAlignment="1">
      <alignment horizontal="center" vertical="center"/>
    </xf>
    <xf numFmtId="0" fontId="43" fillId="0" borderId="88" xfId="2" applyFont="1" applyBorder="1" applyAlignment="1">
      <alignment horizontal="center" vertical="center"/>
    </xf>
    <xf numFmtId="0" fontId="43" fillId="0" borderId="89" xfId="2" applyFont="1" applyBorder="1" applyAlignment="1">
      <alignment horizontal="left" vertical="center" wrapText="1"/>
    </xf>
    <xf numFmtId="0" fontId="43" fillId="0" borderId="5" xfId="2" applyFont="1" applyBorder="1" applyAlignment="1">
      <alignment vertical="center" wrapText="1"/>
    </xf>
    <xf numFmtId="0" fontId="43" fillId="0" borderId="5" xfId="2" applyFont="1" applyBorder="1" applyAlignment="1">
      <alignment horizontal="left" vertical="center" wrapText="1"/>
    </xf>
    <xf numFmtId="0" fontId="21" fillId="0" borderId="4" xfId="2" applyFont="1" applyBorder="1" applyAlignment="1">
      <alignment horizontal="center" vertical="center" wrapText="1"/>
    </xf>
    <xf numFmtId="0" fontId="43" fillId="7" borderId="2" xfId="2" applyFont="1" applyFill="1" applyBorder="1" applyAlignment="1">
      <alignment vertical="center"/>
    </xf>
    <xf numFmtId="0" fontId="43" fillId="0" borderId="55" xfId="2" applyFont="1" applyBorder="1" applyAlignment="1">
      <alignment vertical="center" wrapText="1"/>
    </xf>
    <xf numFmtId="0" fontId="44" fillId="0" borderId="2" xfId="2" applyFont="1" applyBorder="1" applyAlignment="1">
      <alignment vertical="center"/>
    </xf>
    <xf numFmtId="0" fontId="43" fillId="0" borderId="2" xfId="2" applyFont="1" applyBorder="1" applyAlignment="1">
      <alignment horizontal="left" vertical="center"/>
    </xf>
    <xf numFmtId="0" fontId="43" fillId="0" borderId="89" xfId="2" applyFont="1" applyBorder="1" applyAlignment="1">
      <alignment horizontal="left" vertical="center"/>
    </xf>
    <xf numFmtId="0" fontId="43" fillId="0" borderId="4" xfId="2" applyFont="1" applyBorder="1" applyAlignment="1">
      <alignment horizontal="left" vertical="center"/>
    </xf>
    <xf numFmtId="0" fontId="43" fillId="0" borderId="88" xfId="2" applyFont="1" applyBorder="1" applyAlignment="1">
      <alignment horizontal="left" vertical="center" wrapText="1"/>
    </xf>
    <xf numFmtId="0" fontId="44" fillId="0" borderId="4" xfId="2" applyFont="1" applyBorder="1" applyAlignment="1">
      <alignment horizontal="center" vertical="center"/>
    </xf>
    <xf numFmtId="0" fontId="43" fillId="0" borderId="94" xfId="2" applyFont="1" applyBorder="1" applyAlignment="1">
      <alignment horizontal="center" vertical="center"/>
    </xf>
    <xf numFmtId="0" fontId="43" fillId="0" borderId="58" xfId="2" applyFont="1" applyBorder="1" applyAlignment="1">
      <alignment horizontal="center" vertical="center"/>
    </xf>
    <xf numFmtId="0" fontId="43" fillId="0" borderId="58" xfId="2" applyFont="1" applyBorder="1" applyAlignment="1">
      <alignment horizontal="left" vertical="center"/>
    </xf>
    <xf numFmtId="0" fontId="43" fillId="0" borderId="83" xfId="2" applyFont="1" applyBorder="1" applyAlignment="1">
      <alignment horizontal="center" vertical="center"/>
    </xf>
    <xf numFmtId="0" fontId="43" fillId="0" borderId="58" xfId="2" applyFont="1" applyBorder="1" applyAlignment="1">
      <alignment vertical="center"/>
    </xf>
    <xf numFmtId="0" fontId="43" fillId="0" borderId="95" xfId="2" applyFont="1" applyBorder="1" applyAlignment="1">
      <alignment horizontal="center" vertical="center"/>
    </xf>
    <xf numFmtId="0" fontId="43" fillId="0" borderId="96" xfId="2" applyFont="1" applyBorder="1" applyAlignment="1">
      <alignment horizontal="center" vertical="center"/>
    </xf>
    <xf numFmtId="0" fontId="43" fillId="0" borderId="3" xfId="2" applyFont="1" applyBorder="1" applyAlignment="1">
      <alignment horizontal="left" vertical="center"/>
    </xf>
    <xf numFmtId="0" fontId="58" fillId="0" borderId="2" xfId="2" applyFont="1" applyBorder="1" applyAlignment="1">
      <alignment vertical="center" wrapText="1"/>
    </xf>
    <xf numFmtId="0" fontId="58" fillId="0" borderId="2" xfId="2" applyFont="1" applyBorder="1" applyAlignment="1">
      <alignment vertical="center"/>
    </xf>
    <xf numFmtId="0" fontId="60" fillId="0" borderId="2" xfId="2" applyFont="1" applyBorder="1" applyAlignment="1">
      <alignment horizontal="center" vertical="center"/>
    </xf>
    <xf numFmtId="0" fontId="60" fillId="0" borderId="2" xfId="2" applyFont="1" applyBorder="1" applyAlignment="1">
      <alignment vertical="center" wrapText="1"/>
    </xf>
    <xf numFmtId="0" fontId="60" fillId="0" borderId="2" xfId="2" applyFont="1" applyBorder="1" applyAlignment="1">
      <alignment vertical="center"/>
    </xf>
    <xf numFmtId="0" fontId="60" fillId="0" borderId="3" xfId="2" applyFont="1" applyBorder="1" applyAlignment="1">
      <alignment horizontal="left" vertical="center" wrapText="1"/>
    </xf>
    <xf numFmtId="0" fontId="60" fillId="0" borderId="4" xfId="2" applyFont="1" applyBorder="1" applyAlignment="1">
      <alignment horizontal="center" vertical="center"/>
    </xf>
    <xf numFmtId="0" fontId="43" fillId="0" borderId="5" xfId="2" applyFont="1" applyBorder="1" applyAlignment="1">
      <alignment vertical="center"/>
    </xf>
    <xf numFmtId="0" fontId="44" fillId="0" borderId="5" xfId="2" applyFont="1" applyBorder="1" applyAlignment="1">
      <alignment horizontal="center" vertical="center"/>
    </xf>
    <xf numFmtId="0" fontId="60" fillId="0" borderId="5" xfId="2" applyFont="1" applyBorder="1" applyAlignment="1">
      <alignment horizontal="center" vertical="center"/>
    </xf>
    <xf numFmtId="0" fontId="58" fillId="0" borderId="5" xfId="2" applyFont="1" applyBorder="1" applyAlignment="1">
      <alignment vertical="center"/>
    </xf>
    <xf numFmtId="0" fontId="43" fillId="0" borderId="5" xfId="2" applyFont="1" applyBorder="1" applyAlignment="1">
      <alignment horizontal="center" vertical="center"/>
    </xf>
    <xf numFmtId="0" fontId="43" fillId="0" borderId="4" xfId="2" applyFont="1" applyBorder="1" applyAlignment="1">
      <alignment vertical="center" wrapText="1"/>
    </xf>
    <xf numFmtId="0" fontId="60" fillId="0" borderId="4" xfId="2" applyFont="1" applyBorder="1" applyAlignment="1">
      <alignment vertical="center"/>
    </xf>
    <xf numFmtId="0" fontId="61" fillId="0" borderId="23" xfId="0" applyFont="1" applyBorder="1">
      <alignment vertical="center"/>
    </xf>
    <xf numFmtId="0" fontId="61" fillId="0" borderId="39" xfId="0" applyFont="1" applyBorder="1">
      <alignment vertical="center"/>
    </xf>
    <xf numFmtId="0" fontId="61" fillId="0" borderId="39" xfId="0" applyFont="1" applyBorder="1" applyAlignment="1">
      <alignment vertical="center" wrapText="1"/>
    </xf>
    <xf numFmtId="0" fontId="61" fillId="0" borderId="57" xfId="0" applyFont="1" applyBorder="1">
      <alignment vertical="center"/>
    </xf>
    <xf numFmtId="0" fontId="61" fillId="0" borderId="115" xfId="0" applyFont="1" applyBorder="1">
      <alignment vertical="center"/>
    </xf>
    <xf numFmtId="0" fontId="61" fillId="0" borderId="116" xfId="0" applyFont="1" applyBorder="1">
      <alignment vertical="center"/>
    </xf>
    <xf numFmtId="0" fontId="61" fillId="0" borderId="115" xfId="0" applyFont="1" applyBorder="1" applyAlignment="1">
      <alignment vertical="center" wrapText="1"/>
    </xf>
    <xf numFmtId="0" fontId="61" fillId="0" borderId="5" xfId="0" applyFont="1" applyBorder="1">
      <alignment vertical="center"/>
    </xf>
    <xf numFmtId="0" fontId="61" fillId="32" borderId="39" xfId="0" applyFont="1" applyFill="1" applyBorder="1" applyAlignment="1">
      <alignment vertical="center" wrapText="1"/>
    </xf>
    <xf numFmtId="0" fontId="61" fillId="32" borderId="39" xfId="0" applyFont="1" applyFill="1" applyBorder="1">
      <alignment vertical="center"/>
    </xf>
    <xf numFmtId="0" fontId="61" fillId="0" borderId="117" xfId="0" applyFont="1" applyBorder="1">
      <alignment vertical="center"/>
    </xf>
    <xf numFmtId="0" fontId="61" fillId="32" borderId="116" xfId="0" applyFont="1" applyFill="1" applyBorder="1" applyAlignment="1">
      <alignment vertical="center" wrapText="1"/>
    </xf>
    <xf numFmtId="0" fontId="61" fillId="32" borderId="116" xfId="0" applyFont="1" applyFill="1" applyBorder="1">
      <alignment vertical="center"/>
    </xf>
    <xf numFmtId="0" fontId="24" fillId="4" borderId="5" xfId="0" applyFont="1" applyFill="1" applyBorder="1" applyAlignment="1">
      <alignment horizontal="center" vertical="center"/>
    </xf>
    <xf numFmtId="0" fontId="31" fillId="4" borderId="5" xfId="0" applyFont="1" applyFill="1" applyBorder="1" applyAlignment="1">
      <alignment horizontal="center" vertical="center"/>
    </xf>
    <xf numFmtId="0" fontId="3" fillId="0" borderId="0" xfId="0" applyFont="1">
      <alignment vertical="center"/>
    </xf>
    <xf numFmtId="0" fontId="61" fillId="32" borderId="5" xfId="0" applyFont="1" applyFill="1" applyBorder="1" applyAlignment="1">
      <alignment vertical="center" wrapText="1"/>
    </xf>
    <xf numFmtId="0" fontId="61" fillId="0" borderId="3" xfId="0" applyFont="1" applyBorder="1" applyAlignment="1">
      <alignment vertical="center" wrapText="1"/>
    </xf>
    <xf numFmtId="0" fontId="61" fillId="0" borderId="4" xfId="0" applyFont="1" applyBorder="1" applyAlignment="1">
      <alignment vertical="center" wrapText="1"/>
    </xf>
    <xf numFmtId="0" fontId="61" fillId="0" borderId="4" xfId="0" applyFont="1" applyBorder="1">
      <alignment vertical="center"/>
    </xf>
    <xf numFmtId="0" fontId="61" fillId="32" borderId="117" xfId="0" applyFont="1" applyFill="1" applyBorder="1" applyAlignment="1">
      <alignment vertical="center" wrapText="1"/>
    </xf>
    <xf numFmtId="0" fontId="36" fillId="0" borderId="4" xfId="0" applyFont="1" applyBorder="1" applyAlignment="1">
      <alignment vertical="center" wrapText="1"/>
    </xf>
    <xf numFmtId="0" fontId="61" fillId="0" borderId="116" xfId="0" applyFont="1" applyBorder="1" applyAlignment="1">
      <alignment vertical="center" wrapText="1"/>
    </xf>
    <xf numFmtId="0" fontId="62" fillId="0" borderId="4" xfId="0" applyFont="1" applyBorder="1" applyAlignment="1">
      <alignment vertical="center" wrapText="1"/>
    </xf>
    <xf numFmtId="0" fontId="36" fillId="0" borderId="3" xfId="0" applyFont="1" applyBorder="1" applyAlignment="1">
      <alignment vertical="center" wrapText="1"/>
    </xf>
    <xf numFmtId="0" fontId="63" fillId="0" borderId="3" xfId="0" applyFont="1" applyBorder="1" applyAlignment="1">
      <alignment vertical="center" wrapText="1"/>
    </xf>
    <xf numFmtId="0" fontId="61" fillId="33" borderId="117" xfId="0" applyFont="1" applyFill="1" applyBorder="1" applyAlignment="1">
      <alignment vertical="center" wrapText="1"/>
    </xf>
    <xf numFmtId="0" fontId="61" fillId="0" borderId="54" xfId="0" applyFont="1" applyBorder="1" applyAlignment="1">
      <alignment vertical="center" wrapText="1"/>
    </xf>
    <xf numFmtId="0" fontId="62" fillId="0" borderId="3" xfId="0" applyFont="1" applyBorder="1" applyAlignment="1">
      <alignment vertical="center" wrapText="1"/>
    </xf>
    <xf numFmtId="0" fontId="63" fillId="0" borderId="54" xfId="0" applyFont="1" applyBorder="1" applyAlignment="1">
      <alignment vertical="center" wrapText="1"/>
    </xf>
    <xf numFmtId="0" fontId="36" fillId="0" borderId="54" xfId="0" applyFont="1" applyBorder="1">
      <alignment vertical="center"/>
    </xf>
    <xf numFmtId="0" fontId="36" fillId="0" borderId="3" xfId="0" applyFont="1" applyBorder="1">
      <alignment vertical="center"/>
    </xf>
    <xf numFmtId="0" fontId="36" fillId="0" borderId="2" xfId="0" applyFont="1" applyBorder="1" applyAlignment="1">
      <alignment vertical="center" wrapText="1"/>
    </xf>
    <xf numFmtId="0" fontId="61" fillId="0" borderId="0" xfId="0" applyFont="1">
      <alignment vertical="center"/>
    </xf>
    <xf numFmtId="0" fontId="36" fillId="0" borderId="4" xfId="0" applyFont="1" applyBorder="1">
      <alignment vertical="center"/>
    </xf>
    <xf numFmtId="0" fontId="61" fillId="0" borderId="117" xfId="0" applyFont="1" applyBorder="1" applyAlignment="1">
      <alignment vertical="center" wrapText="1"/>
    </xf>
    <xf numFmtId="0" fontId="64" fillId="0" borderId="3" xfId="0" applyFont="1" applyBorder="1" applyAlignment="1">
      <alignment vertical="center" wrapText="1"/>
    </xf>
    <xf numFmtId="0" fontId="36" fillId="0" borderId="55" xfId="0" applyFont="1" applyBorder="1" applyAlignment="1">
      <alignment vertical="center" wrapText="1"/>
    </xf>
    <xf numFmtId="0" fontId="36" fillId="0" borderId="56" xfId="0" applyFont="1" applyBorder="1" applyAlignment="1">
      <alignment vertical="center" wrapText="1"/>
    </xf>
    <xf numFmtId="0" fontId="36" fillId="0" borderId="54" xfId="0" applyFont="1" applyBorder="1" applyAlignment="1">
      <alignment vertical="center" wrapText="1"/>
    </xf>
    <xf numFmtId="0" fontId="36" fillId="0" borderId="5" xfId="0" applyFont="1" applyBorder="1" applyAlignment="1">
      <alignment vertical="center" wrapText="1"/>
    </xf>
    <xf numFmtId="0" fontId="36" fillId="0" borderId="39" xfId="0" applyFont="1" applyBorder="1" applyAlignment="1">
      <alignment vertical="center" wrapText="1"/>
    </xf>
    <xf numFmtId="0" fontId="36" fillId="0" borderId="117" xfId="0" applyFont="1" applyBorder="1" applyAlignment="1">
      <alignment vertical="center" wrapText="1"/>
    </xf>
    <xf numFmtId="0" fontId="36" fillId="0" borderId="116" xfId="0" applyFont="1" applyBorder="1" applyAlignment="1">
      <alignment vertical="center" wrapText="1"/>
    </xf>
    <xf numFmtId="0" fontId="65" fillId="0" borderId="117" xfId="0" applyFont="1" applyBorder="1">
      <alignment vertical="center"/>
    </xf>
    <xf numFmtId="0" fontId="36" fillId="32" borderId="2" xfId="0" applyFont="1" applyFill="1" applyBorder="1" applyAlignment="1">
      <alignment vertical="center" wrapText="1"/>
    </xf>
    <xf numFmtId="0" fontId="36" fillId="32" borderId="54" xfId="0" applyFont="1" applyFill="1" applyBorder="1">
      <alignment vertical="center"/>
    </xf>
    <xf numFmtId="0" fontId="36" fillId="32" borderId="54" xfId="0" applyFont="1" applyFill="1" applyBorder="1" applyAlignment="1">
      <alignment vertical="center" wrapText="1"/>
    </xf>
    <xf numFmtId="0" fontId="36" fillId="32" borderId="4" xfId="0" applyFont="1" applyFill="1" applyBorder="1" applyAlignment="1">
      <alignment vertical="center" wrapText="1"/>
    </xf>
    <xf numFmtId="0" fontId="36" fillId="32" borderId="3" xfId="0" applyFont="1" applyFill="1" applyBorder="1">
      <alignment vertical="center"/>
    </xf>
    <xf numFmtId="0" fontId="36" fillId="32" borderId="3" xfId="0" applyFont="1" applyFill="1" applyBorder="1" applyAlignment="1">
      <alignment vertical="center" wrapText="1"/>
    </xf>
    <xf numFmtId="0" fontId="5" fillId="0" borderId="5" xfId="0" applyFont="1" applyBorder="1" applyAlignment="1">
      <alignment horizontal="center" vertical="center"/>
    </xf>
    <xf numFmtId="0" fontId="9" fillId="0" borderId="118" xfId="2" applyFont="1" applyBorder="1" applyAlignment="1">
      <alignment horizontal="left" vertical="center" wrapText="1"/>
    </xf>
    <xf numFmtId="0" fontId="9" fillId="0" borderId="55" xfId="2" applyFont="1" applyBorder="1" applyAlignment="1">
      <alignment vertical="center"/>
    </xf>
    <xf numFmtId="0" fontId="36" fillId="0" borderId="55" xfId="2" applyFont="1" applyBorder="1" applyAlignment="1">
      <alignment horizontal="center" vertical="center"/>
    </xf>
    <xf numFmtId="0" fontId="9" fillId="0" borderId="55" xfId="2" applyFont="1" applyBorder="1" applyAlignment="1">
      <alignment horizontal="center" vertical="center"/>
    </xf>
    <xf numFmtId="0" fontId="38" fillId="0" borderId="55" xfId="2" applyFont="1" applyBorder="1" applyAlignment="1">
      <alignment vertical="center" wrapText="1"/>
    </xf>
    <xf numFmtId="0" fontId="24" fillId="0" borderId="9" xfId="0" applyFont="1" applyBorder="1" applyAlignment="1">
      <alignment vertical="center" wrapText="1"/>
    </xf>
    <xf numFmtId="0" fontId="24" fillId="0" borderId="9" xfId="0" applyFont="1" applyBorder="1" applyAlignment="1">
      <alignment horizontal="center" vertical="center"/>
    </xf>
    <xf numFmtId="0" fontId="31" fillId="0" borderId="9" xfId="0" applyFont="1" applyBorder="1" applyAlignment="1">
      <alignment horizontal="center" vertical="center"/>
    </xf>
    <xf numFmtId="0" fontId="24" fillId="0" borderId="9" xfId="0" applyFont="1" applyBorder="1" applyAlignment="1">
      <alignment horizontal="left" vertical="center" wrapText="1"/>
    </xf>
    <xf numFmtId="0" fontId="24" fillId="0" borderId="13" xfId="0" applyFont="1" applyBorder="1" applyAlignment="1">
      <alignment horizontal="left" vertical="center" wrapText="1"/>
    </xf>
    <xf numFmtId="0" fontId="24" fillId="0" borderId="7" xfId="0" applyFont="1" applyBorder="1">
      <alignment vertical="center"/>
    </xf>
    <xf numFmtId="0" fontId="66" fillId="34" borderId="119" xfId="7" quotePrefix="1" applyNumberFormat="1" applyAlignment="1">
      <alignment vertical="center"/>
    </xf>
    <xf numFmtId="0" fontId="67" fillId="20" borderId="9" xfId="0" applyFont="1" applyFill="1" applyBorder="1">
      <alignment vertical="center"/>
    </xf>
    <xf numFmtId="0" fontId="67" fillId="20" borderId="17" xfId="0" applyFont="1" applyFill="1" applyBorder="1">
      <alignment vertical="center"/>
    </xf>
    <xf numFmtId="0" fontId="32" fillId="5" borderId="5" xfId="0" applyFont="1" applyFill="1" applyBorder="1" applyAlignment="1">
      <alignment horizontal="center" vertical="center"/>
    </xf>
    <xf numFmtId="0" fontId="32" fillId="5" borderId="5" xfId="0" applyFont="1" applyFill="1" applyBorder="1" applyAlignment="1">
      <alignment horizontal="center" vertical="center" wrapText="1"/>
    </xf>
    <xf numFmtId="0" fontId="5" fillId="7" borderId="5" xfId="0" applyFont="1" applyFill="1" applyBorder="1" applyAlignment="1">
      <alignment horizontal="left" vertical="center" wrapText="1"/>
    </xf>
    <xf numFmtId="0" fontId="5" fillId="7" borderId="5" xfId="0" applyFont="1" applyFill="1" applyBorder="1" applyAlignment="1">
      <alignment horizontal="center" vertical="center"/>
    </xf>
    <xf numFmtId="0" fontId="5" fillId="0" borderId="24" xfId="0" applyFont="1" applyBorder="1" applyAlignment="1">
      <alignment horizontal="center" vertical="center" wrapText="1"/>
    </xf>
    <xf numFmtId="0" fontId="5" fillId="4" borderId="5" xfId="0" applyFont="1" applyFill="1" applyBorder="1" applyAlignment="1">
      <alignment horizontal="left" vertical="center" wrapText="1"/>
    </xf>
    <xf numFmtId="0" fontId="5" fillId="4" borderId="24" xfId="0" applyFont="1" applyFill="1" applyBorder="1" applyAlignment="1">
      <alignment horizontal="left" vertical="center" wrapText="1"/>
    </xf>
    <xf numFmtId="0" fontId="5" fillId="0" borderId="5" xfId="0" applyFont="1" applyBorder="1" applyAlignment="1">
      <alignment horizontal="left" vertical="center" wrapText="1"/>
    </xf>
    <xf numFmtId="0" fontId="5" fillId="11" borderId="5" xfId="0" applyFont="1" applyFill="1" applyBorder="1" applyAlignment="1">
      <alignment horizontal="left" vertical="center" wrapText="1"/>
    </xf>
    <xf numFmtId="0" fontId="5" fillId="23" borderId="5" xfId="0" applyFont="1" applyFill="1" applyBorder="1" applyAlignment="1">
      <alignment horizontal="center" vertical="center"/>
    </xf>
    <xf numFmtId="0" fontId="5" fillId="23" borderId="5" xfId="0" applyFont="1" applyFill="1" applyBorder="1" applyAlignment="1">
      <alignment horizontal="left" vertical="center" wrapText="1"/>
    </xf>
    <xf numFmtId="0" fontId="5" fillId="11" borderId="24" xfId="0" applyFont="1" applyFill="1" applyBorder="1" applyAlignment="1">
      <alignment horizontal="center" vertical="center" wrapText="1"/>
    </xf>
    <xf numFmtId="0" fontId="5" fillId="0" borderId="17" xfId="0" applyFont="1" applyBorder="1" applyAlignment="1">
      <alignment horizontal="center" vertical="center"/>
    </xf>
    <xf numFmtId="0" fontId="5" fillId="0" borderId="21" xfId="0" applyFont="1" applyBorder="1" applyAlignment="1">
      <alignment horizontal="center" vertical="center"/>
    </xf>
    <xf numFmtId="0" fontId="5" fillId="0" borderId="0" xfId="0" applyFont="1" applyAlignment="1">
      <alignment horizontal="center"/>
    </xf>
    <xf numFmtId="0" fontId="5" fillId="0" borderId="0" xfId="0" applyFont="1" applyAlignment="1"/>
    <xf numFmtId="0" fontId="56" fillId="18" borderId="0" xfId="1" applyFont="1" applyFill="1" applyAlignment="1">
      <alignment vertical="center"/>
    </xf>
    <xf numFmtId="0" fontId="24" fillId="0" borderId="5" xfId="0" quotePrefix="1" applyFont="1" applyBorder="1" applyAlignment="1">
      <alignment horizontal="left" vertical="center" wrapText="1"/>
    </xf>
    <xf numFmtId="0" fontId="9" fillId="0" borderId="0" xfId="2" applyFont="1" applyAlignment="1">
      <alignment horizontal="left" vertical="center" wrapText="1"/>
    </xf>
    <xf numFmtId="0" fontId="36" fillId="0" borderId="0" xfId="2" applyFont="1" applyAlignment="1">
      <alignment horizontal="center" vertical="center"/>
    </xf>
    <xf numFmtId="0" fontId="38" fillId="0" borderId="0" xfId="2" applyFont="1" applyAlignment="1">
      <alignment vertical="center" wrapText="1"/>
    </xf>
    <xf numFmtId="0" fontId="9" fillId="26" borderId="4" xfId="2" applyFont="1" applyFill="1" applyBorder="1" applyAlignment="1">
      <alignment horizontal="left" vertical="center" wrapText="1"/>
    </xf>
    <xf numFmtId="0" fontId="9" fillId="26" borderId="2" xfId="2" applyFont="1" applyFill="1" applyBorder="1" applyAlignment="1">
      <alignment vertical="center"/>
    </xf>
    <xf numFmtId="0" fontId="9" fillId="26" borderId="2" xfId="2" applyFont="1" applyFill="1" applyBorder="1" applyAlignment="1">
      <alignment horizontal="center" vertical="center"/>
    </xf>
    <xf numFmtId="0" fontId="9" fillId="26" borderId="2" xfId="2" applyFont="1" applyFill="1" applyBorder="1" applyAlignment="1">
      <alignment vertical="center" wrapText="1"/>
    </xf>
    <xf numFmtId="0" fontId="24" fillId="26" borderId="0" xfId="0" applyFont="1" applyFill="1">
      <alignment vertical="center"/>
    </xf>
    <xf numFmtId="0" fontId="69" fillId="0" borderId="0" xfId="2" applyFont="1" applyAlignment="1">
      <alignment horizontal="center" vertical="center"/>
    </xf>
    <xf numFmtId="0" fontId="68" fillId="0" borderId="5" xfId="0" applyFont="1" applyBorder="1" applyAlignment="1">
      <alignment horizontal="center" vertical="center"/>
    </xf>
    <xf numFmtId="0" fontId="70" fillId="0" borderId="0" xfId="2" applyFont="1" applyAlignment="1">
      <alignment horizontal="center" vertical="center" wrapText="1"/>
    </xf>
    <xf numFmtId="0" fontId="68" fillId="0" borderId="0" xfId="0" applyFont="1" applyAlignment="1">
      <alignment horizontal="center" vertical="center"/>
    </xf>
    <xf numFmtId="0" fontId="83" fillId="0" borderId="0" xfId="0" applyFont="1">
      <alignment vertical="center"/>
    </xf>
    <xf numFmtId="0" fontId="33" fillId="0" borderId="24" xfId="0" applyFont="1" applyBorder="1" applyAlignment="1">
      <alignment horizontal="left" vertical="center" wrapText="1"/>
    </xf>
    <xf numFmtId="0" fontId="33" fillId="0" borderId="5" xfId="0" applyFont="1" applyBorder="1" applyAlignment="1">
      <alignment vertical="center" wrapText="1"/>
    </xf>
    <xf numFmtId="0" fontId="33" fillId="0" borderId="5" xfId="0" applyFont="1" applyBorder="1" applyAlignment="1">
      <alignment horizontal="center" vertical="center"/>
    </xf>
    <xf numFmtId="0" fontId="84" fillId="18" borderId="0" xfId="1" applyFont="1" applyFill="1" applyAlignment="1">
      <alignment vertical="center"/>
    </xf>
    <xf numFmtId="0" fontId="24" fillId="0" borderId="0" xfId="2" applyFont="1" applyAlignment="1">
      <alignment vertical="center"/>
    </xf>
    <xf numFmtId="0" fontId="23" fillId="0" borderId="0" xfId="2" applyFont="1" applyAlignment="1">
      <alignment vertical="center"/>
    </xf>
    <xf numFmtId="0" fontId="24" fillId="0" borderId="0" xfId="2" applyFont="1"/>
    <xf numFmtId="0" fontId="24" fillId="0" borderId="0" xfId="2" applyFont="1" applyAlignment="1">
      <alignment horizontal="center"/>
    </xf>
    <xf numFmtId="0" fontId="24" fillId="0" borderId="0" xfId="2" applyFont="1" applyAlignment="1">
      <alignment horizontal="center" vertical="center"/>
    </xf>
    <xf numFmtId="0" fontId="16" fillId="5" borderId="82" xfId="2" applyFont="1" applyFill="1" applyBorder="1" applyAlignment="1">
      <alignment vertical="center"/>
    </xf>
    <xf numFmtId="0" fontId="16" fillId="5" borderId="58" xfId="2" applyFont="1" applyFill="1" applyBorder="1" applyAlignment="1">
      <alignment vertical="center"/>
    </xf>
    <xf numFmtId="0" fontId="16" fillId="5" borderId="59" xfId="2" applyFont="1" applyFill="1" applyBorder="1" applyAlignment="1">
      <alignment horizontal="center" vertical="center"/>
    </xf>
    <xf numFmtId="0" fontId="16" fillId="5" borderId="83" xfId="2" applyFont="1" applyFill="1" applyBorder="1" applyAlignment="1">
      <alignment vertical="center"/>
    </xf>
    <xf numFmtId="0" fontId="16" fillId="5" borderId="59" xfId="2" applyFont="1" applyFill="1" applyBorder="1" applyAlignment="1">
      <alignment horizontal="center" vertical="center" wrapText="1"/>
    </xf>
    <xf numFmtId="0" fontId="16" fillId="5" borderId="84" xfId="2" applyFont="1" applyFill="1" applyBorder="1" applyAlignment="1">
      <alignment horizontal="center" vertical="center" wrapText="1"/>
    </xf>
    <xf numFmtId="0" fontId="24" fillId="0" borderId="86" xfId="2" applyFont="1" applyBorder="1" applyAlignment="1">
      <alignment horizontal="center" vertical="center"/>
    </xf>
    <xf numFmtId="0" fontId="24" fillId="0" borderId="2" xfId="2" applyFont="1" applyBorder="1" applyAlignment="1">
      <alignment horizontal="center" vertical="center"/>
    </xf>
    <xf numFmtId="0" fontId="24" fillId="0" borderId="2" xfId="2" applyFont="1" applyBorder="1" applyAlignment="1">
      <alignment vertical="center"/>
    </xf>
    <xf numFmtId="0" fontId="24" fillId="0" borderId="2" xfId="2" applyFont="1" applyBorder="1" applyAlignment="1">
      <alignment vertical="center" wrapText="1"/>
    </xf>
    <xf numFmtId="0" fontId="31" fillId="0" borderId="2" xfId="2" applyFont="1" applyBorder="1" applyAlignment="1">
      <alignment horizontal="center" vertical="center"/>
    </xf>
    <xf numFmtId="0" fontId="24" fillId="0" borderId="3" xfId="2" applyFont="1" applyBorder="1" applyAlignment="1">
      <alignment horizontal="left" vertical="center" wrapText="1"/>
    </xf>
    <xf numFmtId="0" fontId="16" fillId="0" borderId="2" xfId="2" applyFont="1" applyBorder="1" applyAlignment="1">
      <alignment horizontal="center" vertical="center"/>
    </xf>
    <xf numFmtId="0" fontId="24" fillId="7" borderId="2" xfId="2" applyFont="1" applyFill="1" applyBorder="1" applyAlignment="1">
      <alignment vertical="center" wrapText="1"/>
    </xf>
    <xf numFmtId="0" fontId="24" fillId="7" borderId="2" xfId="2" applyFont="1" applyFill="1" applyBorder="1" applyAlignment="1">
      <alignment horizontal="center" vertical="center"/>
    </xf>
    <xf numFmtId="0" fontId="24" fillId="7" borderId="2" xfId="2" applyFont="1" applyFill="1" applyBorder="1" applyAlignment="1">
      <alignment horizontal="center" vertical="center" wrapText="1"/>
    </xf>
    <xf numFmtId="0" fontId="24" fillId="7" borderId="3" xfId="2" applyFont="1" applyFill="1" applyBorder="1" applyAlignment="1">
      <alignment horizontal="left" vertical="center" wrapText="1"/>
    </xf>
    <xf numFmtId="0" fontId="24" fillId="7" borderId="4" xfId="2" applyFont="1" applyFill="1" applyBorder="1" applyAlignment="1">
      <alignment horizontal="center" vertical="center"/>
    </xf>
    <xf numFmtId="0" fontId="24" fillId="7" borderId="88" xfId="2" applyFont="1" applyFill="1" applyBorder="1" applyAlignment="1">
      <alignment horizontal="center" vertical="center"/>
    </xf>
    <xf numFmtId="0" fontId="24" fillId="7" borderId="89" xfId="2" applyFont="1" applyFill="1" applyBorder="1" applyAlignment="1">
      <alignment horizontal="left" vertical="center" wrapText="1"/>
    </xf>
    <xf numFmtId="0" fontId="24" fillId="0" borderId="90" xfId="2" applyFont="1" applyBorder="1" applyAlignment="1">
      <alignment horizontal="center" vertical="center" wrapText="1"/>
    </xf>
    <xf numFmtId="0" fontId="24" fillId="0" borderId="92" xfId="2" applyFont="1" applyBorder="1" applyAlignment="1">
      <alignment horizontal="center" vertical="center"/>
    </xf>
    <xf numFmtId="0" fontId="24" fillId="0" borderId="4" xfId="2" applyFont="1" applyBorder="1" applyAlignment="1">
      <alignment horizontal="left" vertical="center" wrapText="1"/>
    </xf>
    <xf numFmtId="0" fontId="24" fillId="0" borderId="2" xfId="2" applyFont="1" applyBorder="1" applyAlignment="1">
      <alignment horizontal="center" vertical="center" wrapText="1"/>
    </xf>
    <xf numFmtId="0" fontId="24" fillId="0" borderId="4" xfId="2" applyFont="1" applyBorder="1" applyAlignment="1">
      <alignment horizontal="center" vertical="center"/>
    </xf>
    <xf numFmtId="0" fontId="24" fillId="0" borderId="88" xfId="2" applyFont="1" applyBorder="1" applyAlignment="1">
      <alignment horizontal="center" vertical="center"/>
    </xf>
    <xf numFmtId="0" fontId="24" fillId="0" borderId="89" xfId="2" applyFont="1" applyBorder="1" applyAlignment="1">
      <alignment horizontal="left" vertical="center" wrapText="1"/>
    </xf>
    <xf numFmtId="0" fontId="24" fillId="7" borderId="2" xfId="2" applyFont="1" applyFill="1" applyBorder="1" applyAlignment="1">
      <alignment vertical="center"/>
    </xf>
    <xf numFmtId="0" fontId="24" fillId="0" borderId="3" xfId="2" applyFont="1" applyBorder="1" applyAlignment="1">
      <alignment horizontal="left" vertical="center"/>
    </xf>
    <xf numFmtId="0" fontId="23" fillId="0" borderId="92" xfId="2" applyFont="1" applyBorder="1" applyAlignment="1">
      <alignment horizontal="center" vertical="center"/>
    </xf>
    <xf numFmtId="0" fontId="23" fillId="0" borderId="2" xfId="2" applyFont="1" applyBorder="1" applyAlignment="1">
      <alignment horizontal="center" vertical="center"/>
    </xf>
    <xf numFmtId="0" fontId="23" fillId="0" borderId="2" xfId="2" applyFont="1" applyBorder="1" applyAlignment="1">
      <alignment vertical="center" wrapText="1"/>
    </xf>
    <xf numFmtId="0" fontId="23" fillId="0" borderId="2" xfId="2" applyFont="1" applyBorder="1" applyAlignment="1">
      <alignment vertical="center"/>
    </xf>
    <xf numFmtId="0" fontId="23" fillId="0" borderId="4" xfId="2" applyFont="1" applyBorder="1" applyAlignment="1">
      <alignment horizontal="left" vertical="center" wrapText="1"/>
    </xf>
    <xf numFmtId="0" fontId="22" fillId="0" borderId="2" xfId="2" applyFont="1" applyBorder="1" applyAlignment="1">
      <alignment horizontal="center" vertical="center"/>
    </xf>
    <xf numFmtId="0" fontId="23" fillId="0" borderId="2" xfId="2" applyFont="1" applyBorder="1" applyAlignment="1">
      <alignment horizontal="center" vertical="center" wrapText="1"/>
    </xf>
    <xf numFmtId="0" fontId="23" fillId="7" borderId="4" xfId="2" applyFont="1" applyFill="1" applyBorder="1" applyAlignment="1">
      <alignment horizontal="center" vertical="center"/>
    </xf>
    <xf numFmtId="0" fontId="23" fillId="7" borderId="88" xfId="2" applyFont="1" applyFill="1" applyBorder="1" applyAlignment="1">
      <alignment horizontal="center" vertical="center"/>
    </xf>
    <xf numFmtId="0" fontId="23" fillId="7" borderId="89" xfId="2" applyFont="1" applyFill="1" applyBorder="1" applyAlignment="1">
      <alignment horizontal="left" vertical="center" wrapText="1"/>
    </xf>
    <xf numFmtId="0" fontId="23" fillId="0" borderId="90" xfId="2" applyFont="1" applyBorder="1" applyAlignment="1">
      <alignment horizontal="center" vertical="center" wrapText="1"/>
    </xf>
    <xf numFmtId="0" fontId="53" fillId="0" borderId="2" xfId="2" applyFont="1" applyBorder="1" applyAlignment="1">
      <alignment horizontal="center" vertical="center"/>
    </xf>
    <xf numFmtId="0" fontId="53" fillId="0" borderId="2" xfId="2" applyFont="1" applyBorder="1" applyAlignment="1">
      <alignment vertical="center" wrapText="1"/>
    </xf>
    <xf numFmtId="0" fontId="53" fillId="0" borderId="2" xfId="2" applyFont="1" applyBorder="1" applyAlignment="1">
      <alignment vertical="center"/>
    </xf>
    <xf numFmtId="0" fontId="53" fillId="0" borderId="4" xfId="2" applyFont="1" applyBorder="1" applyAlignment="1">
      <alignment horizontal="left" vertical="center" wrapText="1"/>
    </xf>
    <xf numFmtId="0" fontId="53" fillId="0" borderId="3" xfId="2" applyFont="1" applyBorder="1" applyAlignment="1">
      <alignment horizontal="left" vertical="center" wrapText="1"/>
    </xf>
    <xf numFmtId="0" fontId="53" fillId="0" borderId="4" xfId="2" applyFont="1" applyBorder="1" applyAlignment="1">
      <alignment vertical="center" wrapText="1"/>
    </xf>
    <xf numFmtId="0" fontId="53" fillId="0" borderId="4" xfId="2" applyFont="1" applyBorder="1" applyAlignment="1">
      <alignment horizontal="center" vertical="center"/>
    </xf>
    <xf numFmtId="0" fontId="24" fillId="0" borderId="55" xfId="2" applyFont="1" applyBorder="1" applyAlignment="1">
      <alignment vertical="center" wrapText="1"/>
    </xf>
    <xf numFmtId="0" fontId="24" fillId="0" borderId="94" xfId="2" applyFont="1" applyBorder="1" applyAlignment="1">
      <alignment horizontal="center" vertical="center"/>
    </xf>
    <xf numFmtId="0" fontId="24" fillId="0" borderId="58" xfId="2" applyFont="1" applyBorder="1" applyAlignment="1">
      <alignment horizontal="center" vertical="center"/>
    </xf>
    <xf numFmtId="0" fontId="24" fillId="0" borderId="58" xfId="2" applyFont="1" applyBorder="1" applyAlignment="1">
      <alignment horizontal="left" vertical="center"/>
    </xf>
    <xf numFmtId="0" fontId="24" fillId="0" borderId="58" xfId="2" applyFont="1" applyBorder="1" applyAlignment="1">
      <alignment vertical="center"/>
    </xf>
    <xf numFmtId="0" fontId="24" fillId="0" borderId="95" xfId="2" applyFont="1" applyBorder="1" applyAlignment="1">
      <alignment horizontal="center" vertical="center"/>
    </xf>
    <xf numFmtId="0" fontId="24" fillId="0" borderId="96" xfId="2" applyFont="1" applyBorder="1" applyAlignment="1">
      <alignment horizontal="center" vertical="center"/>
    </xf>
    <xf numFmtId="0" fontId="61" fillId="32" borderId="2" xfId="0" applyFont="1" applyFill="1" applyBorder="1" applyAlignment="1">
      <alignment vertical="center" wrapText="1"/>
    </xf>
    <xf numFmtId="0" fontId="24" fillId="0" borderId="2" xfId="2" applyFont="1" applyBorder="1" applyAlignment="1">
      <alignment horizontal="left" vertical="center"/>
    </xf>
    <xf numFmtId="0" fontId="61" fillId="32" borderId="54" xfId="0" applyFont="1" applyFill="1" applyBorder="1">
      <alignment vertical="center"/>
    </xf>
    <xf numFmtId="0" fontId="61" fillId="32" borderId="54" xfId="0" applyFont="1" applyFill="1" applyBorder="1" applyAlignment="1">
      <alignment vertical="center" wrapText="1"/>
    </xf>
    <xf numFmtId="0" fontId="61" fillId="32" borderId="3" xfId="0" applyFont="1" applyFill="1" applyBorder="1" applyAlignment="1">
      <alignment vertical="center" wrapText="1"/>
    </xf>
    <xf numFmtId="0" fontId="61" fillId="32" borderId="4" xfId="0" applyFont="1" applyFill="1" applyBorder="1" applyAlignment="1">
      <alignment vertical="center" wrapText="1"/>
    </xf>
    <xf numFmtId="0" fontId="61" fillId="32" borderId="3" xfId="0" applyFont="1" applyFill="1" applyBorder="1">
      <alignment vertical="center"/>
    </xf>
    <xf numFmtId="0" fontId="61" fillId="0" borderId="3" xfId="0" applyFont="1" applyBorder="1">
      <alignment vertical="center"/>
    </xf>
    <xf numFmtId="0" fontId="61" fillId="0" borderId="118" xfId="0" applyFont="1" applyBorder="1" applyAlignment="1">
      <alignment vertical="center" wrapText="1"/>
    </xf>
    <xf numFmtId="0" fontId="61" fillId="0" borderId="55" xfId="0" applyFont="1" applyBorder="1" applyAlignment="1">
      <alignment vertical="center" wrapText="1"/>
    </xf>
    <xf numFmtId="0" fontId="61" fillId="0" borderId="2" xfId="0" applyFont="1" applyBorder="1">
      <alignment vertical="center"/>
    </xf>
    <xf numFmtId="0" fontId="61" fillId="32" borderId="4" xfId="0" applyFont="1" applyFill="1" applyBorder="1">
      <alignment vertical="center"/>
    </xf>
    <xf numFmtId="0" fontId="61" fillId="0" borderId="2" xfId="0" applyFont="1" applyBorder="1" applyAlignment="1">
      <alignment vertical="center" wrapText="1"/>
    </xf>
    <xf numFmtId="0" fontId="86" fillId="0" borderId="4" xfId="0" applyFont="1" applyBorder="1" applyAlignment="1">
      <alignment vertical="center" wrapText="1"/>
    </xf>
    <xf numFmtId="0" fontId="86" fillId="0" borderId="3" xfId="0" applyFont="1" applyBorder="1">
      <alignment vertical="center"/>
    </xf>
    <xf numFmtId="0" fontId="24" fillId="0" borderId="5" xfId="2" applyFont="1" applyBorder="1" applyAlignment="1">
      <alignment vertical="center" wrapText="1"/>
    </xf>
    <xf numFmtId="0" fontId="24" fillId="0" borderId="5" xfId="2" applyFont="1" applyBorder="1" applyAlignment="1">
      <alignment vertical="center"/>
    </xf>
    <xf numFmtId="0" fontId="31" fillId="0" borderId="5" xfId="2" applyFont="1" applyBorder="1" applyAlignment="1">
      <alignment horizontal="center" vertical="center"/>
    </xf>
    <xf numFmtId="0" fontId="53" fillId="0" borderId="5" xfId="2" applyFont="1" applyBorder="1" applyAlignment="1">
      <alignment horizontal="center" vertical="center"/>
    </xf>
    <xf numFmtId="0" fontId="23" fillId="0" borderId="5" xfId="2" applyFont="1" applyBorder="1" applyAlignment="1">
      <alignment vertical="center"/>
    </xf>
    <xf numFmtId="0" fontId="24" fillId="0" borderId="5" xfId="2" applyFont="1" applyBorder="1" applyAlignment="1">
      <alignment horizontal="center" vertical="center"/>
    </xf>
    <xf numFmtId="0" fontId="24" fillId="0" borderId="4" xfId="2" applyFont="1" applyBorder="1" applyAlignment="1">
      <alignment vertical="center" wrapText="1"/>
    </xf>
    <xf numFmtId="0" fontId="53" fillId="0" borderId="4" xfId="2" applyFont="1" applyBorder="1" applyAlignment="1">
      <alignment vertical="center"/>
    </xf>
    <xf numFmtId="0" fontId="31" fillId="0" borderId="4" xfId="2" applyFont="1" applyBorder="1" applyAlignment="1">
      <alignment horizontal="center" vertical="center"/>
    </xf>
    <xf numFmtId="0" fontId="87" fillId="0" borderId="2" xfId="2" applyFont="1" applyBorder="1" applyAlignment="1">
      <alignment horizontal="center" vertical="center"/>
    </xf>
    <xf numFmtId="0" fontId="87" fillId="0" borderId="2" xfId="2" applyFont="1" applyBorder="1" applyAlignment="1">
      <alignment vertical="center" wrapText="1"/>
    </xf>
    <xf numFmtId="0" fontId="88" fillId="0" borderId="2" xfId="2" applyFont="1" applyBorder="1" applyAlignment="1">
      <alignment horizontal="center" vertical="center"/>
    </xf>
    <xf numFmtId="0" fontId="87" fillId="0" borderId="4" xfId="2" applyFont="1" applyBorder="1" applyAlignment="1">
      <alignment horizontal="left" vertical="center" wrapText="1"/>
    </xf>
    <xf numFmtId="0" fontId="89" fillId="0" borderId="3" xfId="0" applyFont="1" applyBorder="1" applyAlignment="1">
      <alignment vertical="center" wrapText="1"/>
    </xf>
    <xf numFmtId="0" fontId="90" fillId="3" borderId="1" xfId="0" applyFont="1" applyFill="1" applyBorder="1" applyAlignment="1">
      <alignment horizontal="center" vertical="center" wrapText="1" readingOrder="1"/>
    </xf>
    <xf numFmtId="0" fontId="45" fillId="0" borderId="60" xfId="3" applyBorder="1" applyAlignment="1">
      <alignment vertical="center"/>
    </xf>
    <xf numFmtId="0" fontId="87" fillId="0" borderId="2" xfId="2" applyFont="1" applyBorder="1" applyAlignment="1">
      <alignment vertical="center"/>
    </xf>
    <xf numFmtId="0" fontId="88" fillId="0" borderId="2" xfId="2" applyFont="1" applyBorder="1" applyAlignment="1">
      <alignment vertical="center"/>
    </xf>
    <xf numFmtId="0" fontId="87" fillId="7" borderId="2" xfId="2" applyFont="1" applyFill="1" applyBorder="1" applyAlignment="1">
      <alignment vertical="center" wrapText="1"/>
    </xf>
    <xf numFmtId="0" fontId="87" fillId="7" borderId="2" xfId="2" applyFont="1" applyFill="1" applyBorder="1" applyAlignment="1">
      <alignment horizontal="center" vertical="center"/>
    </xf>
    <xf numFmtId="0" fontId="87" fillId="7" borderId="2" xfId="2" applyFont="1" applyFill="1" applyBorder="1" applyAlignment="1">
      <alignment horizontal="center" vertical="center" wrapText="1"/>
    </xf>
    <xf numFmtId="0" fontId="87" fillId="7" borderId="3" xfId="2" applyFont="1" applyFill="1" applyBorder="1" applyAlignment="1">
      <alignment horizontal="left" vertical="center" wrapText="1"/>
    </xf>
    <xf numFmtId="0" fontId="91" fillId="0" borderId="2" xfId="2" applyFont="1" applyBorder="1" applyAlignment="1">
      <alignment horizontal="center" vertical="center"/>
    </xf>
    <xf numFmtId="0" fontId="91" fillId="0" borderId="2" xfId="2" applyFont="1" applyBorder="1" applyAlignment="1">
      <alignment vertical="center"/>
    </xf>
    <xf numFmtId="0" fontId="91" fillId="0" borderId="2" xfId="2" applyFont="1" applyBorder="1" applyAlignment="1">
      <alignment vertical="center" wrapText="1"/>
    </xf>
    <xf numFmtId="0" fontId="92" fillId="0" borderId="2" xfId="2" applyFont="1" applyBorder="1" applyAlignment="1">
      <alignment horizontal="center" vertical="center"/>
    </xf>
    <xf numFmtId="0" fontId="91" fillId="7" borderId="2" xfId="2" applyFont="1" applyFill="1" applyBorder="1" applyAlignment="1">
      <alignment vertical="center" wrapText="1"/>
    </xf>
    <xf numFmtId="0" fontId="91" fillId="7" borderId="2" xfId="2" applyFont="1" applyFill="1" applyBorder="1" applyAlignment="1">
      <alignment horizontal="center" vertical="center"/>
    </xf>
    <xf numFmtId="0" fontId="91" fillId="7" borderId="2" xfId="2" applyFont="1" applyFill="1" applyBorder="1" applyAlignment="1">
      <alignment horizontal="center" vertical="center" wrapText="1"/>
    </xf>
    <xf numFmtId="0" fontId="91" fillId="7" borderId="3" xfId="2" applyFont="1" applyFill="1" applyBorder="1" applyAlignment="1">
      <alignment horizontal="left" vertical="center" wrapText="1"/>
    </xf>
    <xf numFmtId="0" fontId="33" fillId="0" borderId="2" xfId="2" applyFont="1" applyBorder="1" applyAlignment="1">
      <alignment vertical="center"/>
    </xf>
    <xf numFmtId="0" fontId="0" fillId="0" borderId="0" xfId="0" applyAlignment="1">
      <alignment horizontal="center" vertical="center"/>
    </xf>
    <xf numFmtId="0" fontId="43" fillId="0" borderId="0" xfId="2" applyFont="1" applyAlignment="1">
      <alignment horizontal="right" vertical="center"/>
    </xf>
    <xf numFmtId="0" fontId="57" fillId="18" borderId="0" xfId="1" applyFont="1" applyFill="1" applyAlignment="1">
      <alignment vertical="center"/>
    </xf>
    <xf numFmtId="0" fontId="43" fillId="0" borderId="0" xfId="0" applyFont="1">
      <alignment vertical="center"/>
    </xf>
    <xf numFmtId="0" fontId="95" fillId="20" borderId="9" xfId="0" applyFont="1" applyFill="1" applyBorder="1">
      <alignment vertical="center"/>
    </xf>
    <xf numFmtId="0" fontId="43" fillId="0" borderId="0" xfId="0" applyFont="1" applyAlignment="1">
      <alignment vertical="center" wrapText="1"/>
    </xf>
    <xf numFmtId="0" fontId="95" fillId="20" borderId="17" xfId="0" applyFont="1" applyFill="1" applyBorder="1">
      <alignment vertical="center"/>
    </xf>
    <xf numFmtId="0" fontId="21" fillId="0" borderId="0" xfId="0" applyFont="1">
      <alignment vertical="center"/>
    </xf>
    <xf numFmtId="0" fontId="43" fillId="0" borderId="0" xfId="0" applyFont="1" applyAlignment="1">
      <alignment horizontal="center" vertical="center"/>
    </xf>
    <xf numFmtId="0" fontId="21" fillId="5" borderId="23" xfId="0" applyFont="1" applyFill="1" applyBorder="1" applyAlignment="1">
      <alignment horizontal="center" vertical="center" wrapText="1"/>
    </xf>
    <xf numFmtId="0" fontId="21" fillId="5" borderId="39" xfId="0" applyFont="1" applyFill="1" applyBorder="1" applyAlignment="1">
      <alignment horizontal="center" vertical="center" wrapText="1"/>
    </xf>
    <xf numFmtId="0" fontId="43" fillId="0" borderId="5" xfId="0" applyFont="1" applyBorder="1" applyAlignment="1">
      <alignment vertical="center" wrapText="1"/>
    </xf>
    <xf numFmtId="0" fontId="21" fillId="5" borderId="23" xfId="0" applyFont="1" applyFill="1" applyBorder="1" applyAlignment="1">
      <alignment horizontal="center" vertical="center"/>
    </xf>
    <xf numFmtId="0" fontId="21" fillId="5" borderId="5" xfId="0" applyFont="1" applyFill="1" applyBorder="1" applyAlignment="1">
      <alignment horizontal="center" vertical="center"/>
    </xf>
    <xf numFmtId="0" fontId="21" fillId="5" borderId="24" xfId="0" applyFont="1" applyFill="1" applyBorder="1" applyAlignment="1">
      <alignment horizontal="center" vertical="center"/>
    </xf>
    <xf numFmtId="0" fontId="21" fillId="5" borderId="39" xfId="0" applyFont="1" applyFill="1" applyBorder="1" applyAlignment="1">
      <alignment horizontal="center" vertical="center"/>
    </xf>
    <xf numFmtId="0" fontId="21" fillId="5" borderId="5" xfId="0" applyFont="1" applyFill="1" applyBorder="1" applyAlignment="1">
      <alignment horizontal="center" vertical="center" wrapText="1"/>
    </xf>
    <xf numFmtId="0" fontId="43" fillId="0" borderId="23" xfId="0" applyFont="1" applyBorder="1" applyAlignment="1">
      <alignment horizontal="center" vertical="center"/>
    </xf>
    <xf numFmtId="0" fontId="44" fillId="32" borderId="5" xfId="0" applyFont="1" applyFill="1" applyBorder="1" applyAlignment="1">
      <alignment vertical="center" wrapText="1"/>
    </xf>
    <xf numFmtId="0" fontId="44" fillId="32" borderId="39" xfId="0" applyFont="1" applyFill="1" applyBorder="1">
      <alignment vertical="center"/>
    </xf>
    <xf numFmtId="0" fontId="44" fillId="32" borderId="39" xfId="0" applyFont="1" applyFill="1" applyBorder="1" applyAlignment="1">
      <alignment vertical="center" wrapText="1"/>
    </xf>
    <xf numFmtId="0" fontId="43" fillId="7" borderId="5" xfId="0" applyFont="1" applyFill="1" applyBorder="1" applyAlignment="1">
      <alignment horizontal="center" vertical="center"/>
    </xf>
    <xf numFmtId="0" fontId="43" fillId="7" borderId="5" xfId="0" applyFont="1" applyFill="1" applyBorder="1" applyAlignment="1">
      <alignment horizontal="left" vertical="center" wrapText="1"/>
    </xf>
    <xf numFmtId="0" fontId="43" fillId="0" borderId="24" xfId="0" applyFont="1" applyBorder="1" applyAlignment="1">
      <alignment horizontal="center" vertical="center" wrapText="1"/>
    </xf>
    <xf numFmtId="0" fontId="44" fillId="32" borderId="117" xfId="0" applyFont="1" applyFill="1" applyBorder="1" applyAlignment="1">
      <alignment vertical="center" wrapText="1"/>
    </xf>
    <xf numFmtId="0" fontId="44" fillId="0" borderId="116" xfId="0" applyFont="1" applyBorder="1">
      <alignment vertical="center"/>
    </xf>
    <xf numFmtId="0" fontId="44" fillId="32" borderId="116" xfId="0" applyFont="1" applyFill="1" applyBorder="1" applyAlignment="1">
      <alignment vertical="center" wrapText="1"/>
    </xf>
    <xf numFmtId="0" fontId="44" fillId="32" borderId="116" xfId="0" applyFont="1" applyFill="1" applyBorder="1">
      <alignment vertical="center"/>
    </xf>
    <xf numFmtId="0" fontId="44" fillId="33" borderId="117" xfId="0" applyFont="1" applyFill="1" applyBorder="1" applyAlignment="1">
      <alignment vertical="center" wrapText="1"/>
    </xf>
    <xf numFmtId="0" fontId="44" fillId="0" borderId="116" xfId="0" applyFont="1" applyBorder="1" applyAlignment="1">
      <alignment vertical="center" wrapText="1"/>
    </xf>
    <xf numFmtId="0" fontId="43" fillId="0" borderId="5" xfId="0" applyFont="1" applyBorder="1" applyAlignment="1">
      <alignment horizontal="left" vertical="center" wrapText="1"/>
    </xf>
    <xf numFmtId="0" fontId="43" fillId="6" borderId="5" xfId="0" applyFont="1" applyFill="1" applyBorder="1" applyAlignment="1">
      <alignment vertical="center" wrapText="1"/>
    </xf>
    <xf numFmtId="0" fontId="43" fillId="7" borderId="5" xfId="0" applyFont="1" applyFill="1" applyBorder="1" applyAlignment="1">
      <alignment vertical="center" wrapText="1"/>
    </xf>
    <xf numFmtId="0" fontId="43" fillId="7" borderId="5" xfId="0" applyFont="1" applyFill="1" applyBorder="1">
      <alignment vertical="center"/>
    </xf>
    <xf numFmtId="0" fontId="43" fillId="7" borderId="5" xfId="0" applyFont="1" applyFill="1" applyBorder="1" applyAlignment="1">
      <alignment horizontal="center" vertical="center" wrapText="1"/>
    </xf>
    <xf numFmtId="0" fontId="44" fillId="0" borderId="5" xfId="0" applyFont="1" applyBorder="1">
      <alignment vertical="center"/>
    </xf>
    <xf numFmtId="0" fontId="44" fillId="0" borderId="5" xfId="0" applyFont="1" applyBorder="1" applyAlignment="1">
      <alignment horizontal="center" vertical="center"/>
    </xf>
    <xf numFmtId="0" fontId="43" fillId="0" borderId="24" xfId="0" applyFont="1" applyBorder="1" applyAlignment="1">
      <alignment horizontal="left" vertical="center" wrapText="1"/>
    </xf>
    <xf numFmtId="0" fontId="43" fillId="0" borderId="43" xfId="0" applyFont="1" applyBorder="1" applyAlignment="1">
      <alignment horizontal="center" vertical="center"/>
    </xf>
    <xf numFmtId="0" fontId="43" fillId="0" borderId="17" xfId="0" applyFont="1" applyBorder="1" applyAlignment="1">
      <alignment horizontal="left" vertical="center"/>
    </xf>
    <xf numFmtId="0" fontId="43" fillId="0" borderId="17" xfId="0" applyFont="1" applyBorder="1" applyAlignment="1">
      <alignment horizontal="center" vertical="center"/>
    </xf>
    <xf numFmtId="0" fontId="43" fillId="0" borderId="21" xfId="0" applyFont="1" applyBorder="1" applyAlignment="1">
      <alignment horizontal="left" vertical="center"/>
    </xf>
    <xf numFmtId="0" fontId="43" fillId="0" borderId="20" xfId="0" applyFont="1" applyBorder="1" applyAlignment="1">
      <alignment horizontal="center" vertical="center"/>
    </xf>
    <xf numFmtId="0" fontId="43" fillId="0" borderId="21" xfId="0" applyFont="1" applyBorder="1" applyAlignment="1">
      <alignment horizontal="center" vertical="center"/>
    </xf>
    <xf numFmtId="0" fontId="43" fillId="0" borderId="0" xfId="0" applyFont="1" applyAlignment="1"/>
    <xf numFmtId="0" fontId="43" fillId="0" borderId="0" xfId="0" applyFont="1" applyAlignment="1">
      <alignment horizontal="center"/>
    </xf>
    <xf numFmtId="0" fontId="89" fillId="32" borderId="116" xfId="0" applyFont="1" applyFill="1" applyBorder="1" applyAlignment="1">
      <alignment vertical="center" wrapText="1"/>
    </xf>
    <xf numFmtId="0" fontId="89" fillId="32" borderId="116" xfId="0" applyFont="1" applyFill="1" applyBorder="1">
      <alignment vertical="center"/>
    </xf>
    <xf numFmtId="0" fontId="24" fillId="4" borderId="2" xfId="2" applyFont="1" applyFill="1" applyBorder="1" applyAlignment="1">
      <alignment vertical="center" wrapText="1"/>
    </xf>
    <xf numFmtId="0" fontId="33" fillId="0" borderId="2" xfId="2" applyFont="1" applyBorder="1" applyAlignment="1">
      <alignment horizontal="center" vertical="center"/>
    </xf>
    <xf numFmtId="0" fontId="33" fillId="4" borderId="2" xfId="2" applyFont="1" applyFill="1" applyBorder="1" applyAlignment="1">
      <alignment vertical="center" wrapText="1"/>
    </xf>
    <xf numFmtId="0" fontId="33" fillId="0" borderId="3" xfId="2" applyFont="1" applyBorder="1" applyAlignment="1">
      <alignment horizontal="left" vertical="center" wrapText="1"/>
    </xf>
    <xf numFmtId="0" fontId="96" fillId="0" borderId="2" xfId="2" applyFont="1" applyBorder="1" applyAlignment="1">
      <alignment horizontal="center" vertical="center"/>
    </xf>
    <xf numFmtId="0" fontId="97" fillId="0" borderId="55" xfId="0" applyFont="1" applyBorder="1" applyAlignment="1">
      <alignment vertical="center" wrapText="1"/>
    </xf>
    <xf numFmtId="0" fontId="97" fillId="0" borderId="3" xfId="0" applyFont="1" applyBorder="1">
      <alignment vertical="center"/>
    </xf>
    <xf numFmtId="0" fontId="97" fillId="32" borderId="3" xfId="0" applyFont="1" applyFill="1" applyBorder="1" applyAlignment="1">
      <alignment vertical="center" wrapText="1"/>
    </xf>
    <xf numFmtId="0" fontId="97" fillId="32" borderId="3" xfId="0" applyFont="1" applyFill="1" applyBorder="1">
      <alignment vertical="center"/>
    </xf>
    <xf numFmtId="0" fontId="97" fillId="0" borderId="3" xfId="0" applyFont="1" applyBorder="1" applyAlignment="1">
      <alignment vertical="center" wrapText="1"/>
    </xf>
    <xf numFmtId="0" fontId="33" fillId="7" borderId="4" xfId="2" applyFont="1" applyFill="1" applyBorder="1" applyAlignment="1">
      <alignment horizontal="center" vertical="center"/>
    </xf>
    <xf numFmtId="0" fontId="24" fillId="20" borderId="2" xfId="2" applyFont="1" applyFill="1" applyBorder="1" applyAlignment="1">
      <alignment vertical="center" wrapText="1"/>
    </xf>
    <xf numFmtId="0" fontId="24" fillId="20" borderId="2" xfId="2" applyFont="1" applyFill="1" applyBorder="1" applyAlignment="1">
      <alignment vertical="center"/>
    </xf>
    <xf numFmtId="0" fontId="31" fillId="20" borderId="2" xfId="2" applyFont="1" applyFill="1" applyBorder="1" applyAlignment="1">
      <alignment horizontal="center" vertical="center"/>
    </xf>
    <xf numFmtId="0" fontId="24" fillId="20" borderId="2" xfId="2" applyFont="1" applyFill="1" applyBorder="1" applyAlignment="1">
      <alignment horizontal="center" vertical="center"/>
    </xf>
    <xf numFmtId="0" fontId="24" fillId="20" borderId="4" xfId="2" applyFont="1" applyFill="1" applyBorder="1" applyAlignment="1">
      <alignment horizontal="left" vertical="center" wrapText="1"/>
    </xf>
    <xf numFmtId="0" fontId="24" fillId="20" borderId="0" xfId="0" applyFont="1" applyFill="1">
      <alignment vertical="center"/>
    </xf>
    <xf numFmtId="0" fontId="60" fillId="20" borderId="4" xfId="2" applyFont="1" applyFill="1" applyBorder="1" applyAlignment="1">
      <alignment vertical="center" wrapText="1"/>
    </xf>
    <xf numFmtId="0" fontId="60" fillId="20" borderId="2" xfId="2" applyFont="1" applyFill="1" applyBorder="1" applyAlignment="1">
      <alignment horizontal="center" vertical="center"/>
    </xf>
    <xf numFmtId="0" fontId="60" fillId="20" borderId="2" xfId="2" applyFont="1" applyFill="1" applyBorder="1" applyAlignment="1">
      <alignment vertical="center"/>
    </xf>
    <xf numFmtId="0" fontId="60" fillId="20" borderId="5" xfId="0" applyFont="1" applyFill="1" applyBorder="1" applyAlignment="1">
      <alignment horizontal="center" vertical="center"/>
    </xf>
    <xf numFmtId="0" fontId="60" fillId="20" borderId="5" xfId="0" applyFont="1" applyFill="1" applyBorder="1" applyAlignment="1">
      <alignment horizontal="center" vertical="center" wrapText="1"/>
    </xf>
    <xf numFmtId="0" fontId="60" fillId="20" borderId="5" xfId="0" applyFont="1" applyFill="1" applyBorder="1">
      <alignment vertical="center"/>
    </xf>
    <xf numFmtId="0" fontId="60" fillId="0" borderId="4" xfId="2" applyFont="1" applyBorder="1" applyAlignment="1">
      <alignment vertical="center" wrapText="1"/>
    </xf>
    <xf numFmtId="0" fontId="60" fillId="0" borderId="5" xfId="0" applyFont="1" applyBorder="1" applyAlignment="1">
      <alignment horizontal="center" vertical="center"/>
    </xf>
    <xf numFmtId="0" fontId="60" fillId="0" borderId="5" xfId="0" applyFont="1" applyBorder="1" applyAlignment="1">
      <alignment horizontal="center" vertical="center" wrapText="1"/>
    </xf>
    <xf numFmtId="0" fontId="60" fillId="0" borderId="5" xfId="0" applyFont="1" applyBorder="1">
      <alignment vertical="center"/>
    </xf>
    <xf numFmtId="0" fontId="69" fillId="0" borderId="3" xfId="2" applyFont="1" applyBorder="1" applyAlignment="1">
      <alignment horizontal="left" vertical="center" wrapText="1"/>
    </xf>
    <xf numFmtId="0" fontId="69" fillId="0" borderId="4" xfId="2" applyFont="1" applyBorder="1" applyAlignment="1">
      <alignment horizontal="left" vertical="center" wrapText="1"/>
    </xf>
    <xf numFmtId="0" fontId="69" fillId="0" borderId="2" xfId="2" applyFont="1" applyBorder="1" applyAlignment="1">
      <alignment vertical="center"/>
    </xf>
    <xf numFmtId="0" fontId="69" fillId="0" borderId="2" xfId="2" applyFont="1" applyBorder="1" applyAlignment="1">
      <alignment horizontal="center" vertical="center"/>
    </xf>
    <xf numFmtId="0" fontId="97" fillId="0" borderId="2" xfId="2" applyFont="1" applyBorder="1" applyAlignment="1">
      <alignment vertical="center" wrapText="1"/>
    </xf>
    <xf numFmtId="0" fontId="99" fillId="0" borderId="2" xfId="2" applyFont="1" applyBorder="1" applyAlignment="1">
      <alignment vertical="center" wrapText="1"/>
    </xf>
    <xf numFmtId="0" fontId="100" fillId="0" borderId="2" xfId="2" applyFont="1" applyBorder="1" applyAlignment="1">
      <alignment vertical="center" wrapText="1"/>
    </xf>
    <xf numFmtId="0" fontId="100" fillId="0" borderId="2" xfId="2" applyFont="1" applyBorder="1" applyAlignment="1">
      <alignment vertical="center"/>
    </xf>
    <xf numFmtId="0" fontId="100" fillId="0" borderId="2" xfId="2" applyFont="1" applyBorder="1" applyAlignment="1">
      <alignment horizontal="center" vertical="center"/>
    </xf>
    <xf numFmtId="0" fontId="100" fillId="0" borderId="4" xfId="2" applyFont="1" applyBorder="1" applyAlignment="1">
      <alignment horizontal="left" vertical="center" wrapText="1"/>
    </xf>
    <xf numFmtId="0" fontId="100" fillId="0" borderId="3" xfId="2" applyFont="1" applyBorder="1" applyAlignment="1">
      <alignment horizontal="left" vertical="center" wrapText="1"/>
    </xf>
    <xf numFmtId="0" fontId="69" fillId="0" borderId="2" xfId="2" applyFont="1" applyBorder="1" applyAlignment="1">
      <alignment vertical="center" wrapText="1"/>
    </xf>
    <xf numFmtId="0" fontId="97" fillId="0" borderId="4" xfId="2" applyFont="1" applyBorder="1" applyAlignment="1">
      <alignment horizontal="left" vertical="center" wrapText="1"/>
    </xf>
    <xf numFmtId="0" fontId="83" fillId="0" borderId="5" xfId="0" applyFont="1" applyBorder="1">
      <alignment vertical="center"/>
    </xf>
    <xf numFmtId="0" fontId="33" fillId="0" borderId="5" xfId="0" applyFont="1" applyBorder="1">
      <alignment vertical="center"/>
    </xf>
    <xf numFmtId="0" fontId="99" fillId="0" borderId="4" xfId="2" applyFont="1" applyBorder="1" applyAlignment="1">
      <alignment horizontal="left" vertical="center" wrapText="1"/>
    </xf>
    <xf numFmtId="0" fontId="98" fillId="0" borderId="2" xfId="2" applyFont="1" applyBorder="1" applyAlignment="1">
      <alignment horizontal="center" vertical="center"/>
    </xf>
    <xf numFmtId="0" fontId="98" fillId="0" borderId="2" xfId="2" applyFont="1" applyBorder="1" applyAlignment="1">
      <alignment vertical="center" wrapText="1"/>
    </xf>
    <xf numFmtId="0" fontId="98" fillId="0" borderId="3" xfId="0" applyFont="1" applyBorder="1" applyAlignment="1">
      <alignment vertical="center" wrapText="1"/>
    </xf>
    <xf numFmtId="0" fontId="60" fillId="6" borderId="5" xfId="0" applyFont="1" applyFill="1" applyBorder="1" applyAlignment="1">
      <alignment vertical="center" wrapText="1"/>
    </xf>
    <xf numFmtId="0" fontId="60" fillId="7" borderId="5" xfId="0" applyFont="1" applyFill="1" applyBorder="1" applyAlignment="1">
      <alignment vertical="center" wrapText="1"/>
    </xf>
    <xf numFmtId="0" fontId="60" fillId="20" borderId="4" xfId="2" applyFont="1" applyFill="1" applyBorder="1" applyAlignment="1">
      <alignment horizontal="left" vertical="center" wrapText="1"/>
    </xf>
    <xf numFmtId="0" fontId="60" fillId="20" borderId="2" xfId="2" applyFont="1" applyFill="1" applyBorder="1" applyAlignment="1">
      <alignment vertical="center" wrapText="1"/>
    </xf>
    <xf numFmtId="0" fontId="60" fillId="20" borderId="3" xfId="2" applyFont="1" applyFill="1" applyBorder="1" applyAlignment="1">
      <alignment horizontal="left" vertical="center" wrapText="1"/>
    </xf>
    <xf numFmtId="0" fontId="60" fillId="20" borderId="24" xfId="0" applyFont="1" applyFill="1" applyBorder="1" applyAlignment="1">
      <alignment horizontal="left" vertical="center" wrapText="1"/>
    </xf>
    <xf numFmtId="0" fontId="60" fillId="20" borderId="54" xfId="2" applyFont="1" applyFill="1" applyBorder="1" applyAlignment="1">
      <alignment vertical="center" wrapText="1"/>
    </xf>
    <xf numFmtId="0" fontId="60" fillId="20" borderId="39" xfId="0" applyFont="1" applyFill="1" applyBorder="1">
      <alignment vertical="center"/>
    </xf>
    <xf numFmtId="0" fontId="43" fillId="0" borderId="41" xfId="0" applyFont="1" applyBorder="1" applyAlignment="1">
      <alignment horizontal="center" vertical="center"/>
    </xf>
    <xf numFmtId="0" fontId="44" fillId="0" borderId="55" xfId="2" applyFont="1" applyBorder="1" applyAlignment="1">
      <alignment horizontal="center" vertical="center"/>
    </xf>
    <xf numFmtId="0" fontId="43" fillId="0" borderId="55" xfId="2" applyFont="1" applyBorder="1" applyAlignment="1">
      <alignment horizontal="center" vertical="center"/>
    </xf>
    <xf numFmtId="0" fontId="60" fillId="20" borderId="4" xfId="2" applyFont="1" applyFill="1" applyBorder="1" applyAlignment="1">
      <alignment horizontal="center" vertical="center"/>
    </xf>
    <xf numFmtId="0" fontId="43" fillId="0" borderId="124" xfId="0" applyFont="1" applyBorder="1" applyAlignment="1">
      <alignment horizontal="center" vertical="center"/>
    </xf>
    <xf numFmtId="0" fontId="60" fillId="0" borderId="5" xfId="2" applyFont="1" applyBorder="1" applyAlignment="1">
      <alignment horizontal="left" vertical="center" wrapText="1"/>
    </xf>
    <xf numFmtId="0" fontId="60" fillId="0" borderId="5" xfId="2" applyFont="1" applyBorder="1" applyAlignment="1">
      <alignment vertical="center"/>
    </xf>
    <xf numFmtId="0" fontId="60" fillId="20" borderId="5" xfId="2" applyFont="1" applyFill="1" applyBorder="1" applyAlignment="1">
      <alignment horizontal="left" vertical="center" wrapText="1"/>
    </xf>
    <xf numFmtId="0" fontId="60" fillId="20" borderId="5" xfId="2" applyFont="1" applyFill="1" applyBorder="1" applyAlignment="1">
      <alignment vertical="center" wrapText="1"/>
    </xf>
    <xf numFmtId="0" fontId="60" fillId="20" borderId="5" xfId="2" applyFont="1" applyFill="1" applyBorder="1" applyAlignment="1">
      <alignment vertical="center"/>
    </xf>
    <xf numFmtId="0" fontId="60" fillId="20" borderId="5" xfId="2" applyFont="1" applyFill="1" applyBorder="1" applyAlignment="1">
      <alignment horizontal="center" vertical="center"/>
    </xf>
    <xf numFmtId="0" fontId="102" fillId="18" borderId="0" xfId="46" applyFont="1" applyFill="1">
      <alignment vertical="center"/>
    </xf>
    <xf numFmtId="0" fontId="24" fillId="7" borderId="88" xfId="2" applyFont="1" applyFill="1" applyBorder="1" applyAlignment="1">
      <alignment horizontal="left" vertical="center" wrapText="1"/>
    </xf>
    <xf numFmtId="0" fontId="24" fillId="0" borderId="132" xfId="2" applyFont="1" applyBorder="1" applyAlignment="1">
      <alignment horizontal="center" vertical="center" wrapText="1"/>
    </xf>
    <xf numFmtId="0" fontId="24" fillId="0" borderId="5" xfId="2" applyFont="1" applyBorder="1" applyAlignment="1">
      <alignment horizontal="left" vertical="center" wrapText="1"/>
    </xf>
    <xf numFmtId="0" fontId="5" fillId="4" borderId="113" xfId="0" applyFont="1" applyFill="1" applyBorder="1" applyAlignment="1">
      <alignment horizontal="left" vertical="center"/>
    </xf>
    <xf numFmtId="0" fontId="5" fillId="4" borderId="114" xfId="0" applyFont="1" applyFill="1" applyBorder="1" applyAlignment="1">
      <alignment horizontal="center" vertical="center"/>
    </xf>
    <xf numFmtId="0" fontId="5" fillId="4" borderId="113" xfId="0" applyFont="1" applyFill="1" applyBorder="1" applyAlignment="1">
      <alignment horizontal="center" vertical="center"/>
    </xf>
    <xf numFmtId="0" fontId="5" fillId="4" borderId="125" xfId="0" applyFont="1" applyFill="1" applyBorder="1" applyAlignment="1">
      <alignment horizontal="center" vertical="center"/>
    </xf>
    <xf numFmtId="0" fontId="90" fillId="4" borderId="49" xfId="0" applyFont="1" applyFill="1" applyBorder="1" applyAlignment="1">
      <alignment horizontal="center" vertical="center" wrapText="1" readingOrder="1"/>
    </xf>
    <xf numFmtId="0" fontId="94" fillId="4" borderId="49" xfId="46" applyFont="1" applyFill="1" applyBorder="1" applyAlignment="1">
      <alignment horizontal="left" vertical="center"/>
    </xf>
    <xf numFmtId="0" fontId="5" fillId="4" borderId="127" xfId="0" applyFont="1" applyFill="1" applyBorder="1" applyAlignment="1">
      <alignment horizontal="center" vertical="center"/>
    </xf>
    <xf numFmtId="0" fontId="5" fillId="4" borderId="128" xfId="0" applyFont="1" applyFill="1" applyBorder="1" applyAlignment="1">
      <alignment horizontal="center" vertical="center"/>
    </xf>
    <xf numFmtId="0" fontId="5" fillId="4" borderId="129" xfId="0" applyFont="1" applyFill="1" applyBorder="1" applyAlignment="1">
      <alignment horizontal="center" vertical="center"/>
    </xf>
    <xf numFmtId="0" fontId="90" fillId="4" borderId="128" xfId="0" applyFont="1" applyFill="1" applyBorder="1" applyAlignment="1">
      <alignment horizontal="center" vertical="center" wrapText="1" readingOrder="1"/>
    </xf>
    <xf numFmtId="0" fontId="94" fillId="4" borderId="128" xfId="46" applyFont="1" applyFill="1" applyBorder="1">
      <alignment vertical="center"/>
    </xf>
    <xf numFmtId="0" fontId="5" fillId="4" borderId="130" xfId="0" applyFont="1" applyFill="1" applyBorder="1" applyAlignment="1">
      <alignment horizontal="center" vertical="center"/>
    </xf>
    <xf numFmtId="0" fontId="5" fillId="4" borderId="128" xfId="0" applyFont="1" applyFill="1" applyBorder="1">
      <alignment vertical="center"/>
    </xf>
    <xf numFmtId="0" fontId="5" fillId="4" borderId="129" xfId="0" applyFont="1" applyFill="1" applyBorder="1" applyAlignment="1">
      <alignment horizontal="left" vertical="center"/>
    </xf>
    <xf numFmtId="0" fontId="5" fillId="4" borderId="131" xfId="0" applyFont="1" applyFill="1" applyBorder="1" applyAlignment="1">
      <alignment horizontal="center" vertical="center"/>
    </xf>
    <xf numFmtId="0" fontId="5" fillId="4" borderId="133" xfId="0" applyFont="1" applyFill="1" applyBorder="1" applyAlignment="1">
      <alignment horizontal="left" vertical="center"/>
    </xf>
    <xf numFmtId="0" fontId="5" fillId="4" borderId="134" xfId="0" applyFont="1" applyFill="1" applyBorder="1" applyAlignment="1">
      <alignment horizontal="left" vertical="center"/>
    </xf>
    <xf numFmtId="0" fontId="5" fillId="4" borderId="114" xfId="0" applyFont="1" applyFill="1" applyBorder="1" applyAlignment="1">
      <alignment horizontal="left" vertical="center"/>
    </xf>
    <xf numFmtId="0" fontId="5" fillId="4" borderId="131" xfId="0" applyFont="1" applyFill="1" applyBorder="1" applyAlignment="1">
      <alignment horizontal="left" vertical="center"/>
    </xf>
    <xf numFmtId="0" fontId="3" fillId="22" borderId="135" xfId="0" applyFont="1" applyFill="1" applyBorder="1" applyAlignment="1">
      <alignment horizontal="left" vertical="center" wrapText="1" readingOrder="1"/>
    </xf>
    <xf numFmtId="0" fontId="3" fillId="22" borderId="136" xfId="0" applyFont="1" applyFill="1" applyBorder="1" applyAlignment="1">
      <alignment horizontal="left" vertical="center" wrapText="1" readingOrder="1"/>
    </xf>
    <xf numFmtId="0" fontId="5" fillId="4" borderId="114" xfId="0" applyFont="1" applyFill="1" applyBorder="1" applyAlignment="1">
      <alignment horizontal="center" vertical="center" wrapText="1"/>
    </xf>
    <xf numFmtId="0" fontId="94" fillId="3" borderId="1" xfId="1" applyFont="1" applyFill="1" applyBorder="1" applyAlignment="1">
      <alignment horizontal="left" vertical="center" wrapText="1" readingOrder="1"/>
    </xf>
    <xf numFmtId="0" fontId="94" fillId="16" borderId="1" xfId="1" applyFont="1" applyFill="1" applyBorder="1" applyAlignment="1">
      <alignment horizontal="left" vertical="center" wrapText="1" readingOrder="1"/>
    </xf>
    <xf numFmtId="0" fontId="94" fillId="17" borderId="1" xfId="46" applyFont="1" applyFill="1" applyBorder="1" applyAlignment="1">
      <alignment horizontal="left" vertical="center" wrapText="1" readingOrder="1"/>
    </xf>
    <xf numFmtId="0" fontId="94" fillId="17" borderId="1" xfId="1" applyFont="1" applyFill="1" applyBorder="1" applyAlignment="1">
      <alignment horizontal="left" vertical="center" wrapText="1" readingOrder="1"/>
    </xf>
    <xf numFmtId="0" fontId="94" fillId="21" borderId="1" xfId="1" applyFont="1" applyFill="1" applyBorder="1" applyAlignment="1">
      <alignment horizontal="left" vertical="center" wrapText="1" readingOrder="1"/>
    </xf>
    <xf numFmtId="0" fontId="94" fillId="21" borderId="47" xfId="1" applyFont="1" applyFill="1" applyBorder="1" applyAlignment="1">
      <alignment horizontal="left" vertical="center" wrapText="1" readingOrder="1"/>
    </xf>
    <xf numFmtId="0" fontId="94" fillId="4" borderId="49" xfId="1" applyFont="1" applyFill="1" applyBorder="1" applyAlignment="1">
      <alignment horizontal="left" vertical="center"/>
    </xf>
    <xf numFmtId="0" fontId="94" fillId="4" borderId="112" xfId="1" applyFont="1" applyFill="1" applyBorder="1" applyAlignment="1">
      <alignment horizontal="left" vertical="center"/>
    </xf>
    <xf numFmtId="0" fontId="94" fillId="0" borderId="0" xfId="1" applyFont="1" applyFill="1" applyBorder="1" applyAlignment="1">
      <alignment horizontal="left" vertical="center"/>
    </xf>
    <xf numFmtId="0" fontId="105" fillId="0" borderId="0" xfId="0" applyFont="1">
      <alignment vertical="center"/>
    </xf>
    <xf numFmtId="0" fontId="106" fillId="20" borderId="49" xfId="0" applyFont="1" applyFill="1" applyBorder="1" applyAlignment="1">
      <alignment horizontal="center" vertical="center" wrapText="1" readingOrder="1"/>
    </xf>
    <xf numFmtId="0" fontId="107" fillId="20" borderId="49" xfId="1" applyFont="1" applyFill="1" applyBorder="1" applyAlignment="1">
      <alignment horizontal="left" vertical="center" wrapText="1" readingOrder="1"/>
    </xf>
    <xf numFmtId="0" fontId="106" fillId="20" borderId="49" xfId="0" applyFont="1" applyFill="1" applyBorder="1" applyAlignment="1">
      <alignment horizontal="left" vertical="center" wrapText="1" readingOrder="1"/>
    </xf>
    <xf numFmtId="0" fontId="106" fillId="0" borderId="23" xfId="0" applyFont="1" applyBorder="1" applyAlignment="1">
      <alignment horizontal="center" vertical="center"/>
    </xf>
    <xf numFmtId="0" fontId="106" fillId="0" borderId="5" xfId="0" applyFont="1" applyBorder="1" applyAlignment="1">
      <alignment horizontal="center" vertical="center"/>
    </xf>
    <xf numFmtId="0" fontId="106" fillId="0" borderId="126" xfId="0" applyFont="1" applyBorder="1" applyAlignment="1">
      <alignment horizontal="center" vertical="center"/>
    </xf>
    <xf numFmtId="0" fontId="106" fillId="0" borderId="22" xfId="0" applyFont="1" applyBorder="1" applyAlignment="1">
      <alignment horizontal="center" vertical="center"/>
    </xf>
    <xf numFmtId="0" fontId="106" fillId="0" borderId="9" xfId="0" applyFont="1" applyBorder="1" applyAlignment="1">
      <alignment horizontal="center" vertical="center"/>
    </xf>
    <xf numFmtId="0" fontId="105" fillId="0" borderId="9" xfId="0" applyFont="1" applyBorder="1">
      <alignment vertical="center"/>
    </xf>
    <xf numFmtId="0" fontId="105" fillId="0" borderId="13" xfId="0" applyFont="1" applyBorder="1">
      <alignment vertical="center"/>
    </xf>
    <xf numFmtId="0" fontId="68" fillId="20" borderId="49" xfId="0" applyFont="1" applyFill="1" applyBorder="1" applyAlignment="1">
      <alignment horizontal="left" vertical="center" wrapText="1" readingOrder="1"/>
    </xf>
    <xf numFmtId="0" fontId="105" fillId="0" borderId="5" xfId="0" applyFont="1" applyBorder="1">
      <alignment vertical="center"/>
    </xf>
    <xf numFmtId="0" fontId="105" fillId="0" borderId="24" xfId="0" applyFont="1" applyBorder="1">
      <alignment vertical="center"/>
    </xf>
    <xf numFmtId="0" fontId="106" fillId="0" borderId="0" xfId="0" applyFont="1">
      <alignment vertical="center"/>
    </xf>
    <xf numFmtId="0" fontId="106" fillId="0" borderId="5" xfId="0" applyFont="1" applyBorder="1">
      <alignment vertical="center"/>
    </xf>
    <xf numFmtId="0" fontId="106" fillId="0" borderId="5" xfId="0" applyFont="1" applyBorder="1" applyAlignment="1">
      <alignment horizontal="right" vertical="center"/>
    </xf>
    <xf numFmtId="0" fontId="106" fillId="0" borderId="5" xfId="0" applyFont="1" applyBorder="1" applyAlignment="1">
      <alignment horizontal="left" vertical="center"/>
    </xf>
    <xf numFmtId="0" fontId="106" fillId="0" borderId="24" xfId="0" applyFont="1" applyBorder="1" applyAlignment="1">
      <alignment horizontal="left" vertical="center"/>
    </xf>
    <xf numFmtId="0" fontId="106" fillId="0" borderId="23" xfId="0" applyFont="1" applyBorder="1" applyAlignment="1">
      <alignment horizontal="center" vertical="center" wrapText="1"/>
    </xf>
    <xf numFmtId="0" fontId="106" fillId="0" borderId="5" xfId="0" quotePrefix="1" applyFont="1" applyBorder="1" applyAlignment="1">
      <alignment vertical="top" wrapText="1"/>
    </xf>
    <xf numFmtId="0" fontId="106" fillId="0" borderId="5" xfId="0" quotePrefix="1" applyFont="1" applyBorder="1" applyAlignment="1">
      <alignment horizontal="right" vertical="top" wrapText="1"/>
    </xf>
    <xf numFmtId="0" fontId="106" fillId="0" borderId="5" xfId="0" applyFont="1" applyBorder="1" applyAlignment="1">
      <alignment horizontal="left" vertical="center" wrapText="1"/>
    </xf>
    <xf numFmtId="0" fontId="106" fillId="0" borderId="5" xfId="0" quotePrefix="1" applyFont="1" applyBorder="1" applyAlignment="1">
      <alignment vertical="center" wrapText="1"/>
    </xf>
    <xf numFmtId="0" fontId="106" fillId="0" borderId="24" xfId="0" quotePrefix="1" applyFont="1" applyBorder="1" applyAlignment="1">
      <alignment horizontal="left" vertical="center"/>
    </xf>
    <xf numFmtId="0" fontId="105" fillId="20" borderId="49" xfId="0" applyFont="1" applyFill="1" applyBorder="1" applyAlignment="1">
      <alignment horizontal="center" vertical="center"/>
    </xf>
    <xf numFmtId="0" fontId="108" fillId="20" borderId="49" xfId="0" applyFont="1" applyFill="1" applyBorder="1" applyAlignment="1">
      <alignment horizontal="left" vertical="center"/>
    </xf>
    <xf numFmtId="0" fontId="105" fillId="20" borderId="49" xfId="0" applyFont="1" applyFill="1" applyBorder="1">
      <alignment vertical="center"/>
    </xf>
    <xf numFmtId="0" fontId="105" fillId="20" borderId="49" xfId="0" applyFont="1" applyFill="1" applyBorder="1" applyAlignment="1">
      <alignment horizontal="left" vertical="center"/>
    </xf>
    <xf numFmtId="0" fontId="105" fillId="20" borderId="49" xfId="0" applyFont="1" applyFill="1" applyBorder="1" applyAlignment="1">
      <alignment horizontal="center" vertical="center" wrapText="1"/>
    </xf>
    <xf numFmtId="0" fontId="105" fillId="0" borderId="22" xfId="0" applyFont="1" applyBorder="1">
      <alignment vertical="center"/>
    </xf>
    <xf numFmtId="0" fontId="105" fillId="0" borderId="10" xfId="0" applyFont="1" applyBorder="1">
      <alignment vertical="center"/>
    </xf>
    <xf numFmtId="0" fontId="105" fillId="0" borderId="23" xfId="0" applyFont="1" applyBorder="1" applyAlignment="1">
      <alignment horizontal="center" vertical="center"/>
    </xf>
    <xf numFmtId="0" fontId="105" fillId="0" borderId="5" xfId="0" applyFont="1" applyBorder="1" applyAlignment="1">
      <alignment horizontal="center" vertical="center"/>
    </xf>
    <xf numFmtId="0" fontId="105" fillId="18" borderId="5" xfId="0" applyFont="1" applyFill="1" applyBorder="1">
      <alignment vertical="center"/>
    </xf>
    <xf numFmtId="0" fontId="105" fillId="0" borderId="23" xfId="0" applyFont="1" applyBorder="1">
      <alignment vertical="center"/>
    </xf>
    <xf numFmtId="0" fontId="105" fillId="0" borderId="126" xfId="0" applyFont="1" applyBorder="1">
      <alignment vertical="center"/>
    </xf>
    <xf numFmtId="0" fontId="109" fillId="20" borderId="49" xfId="0" applyFont="1" applyFill="1" applyBorder="1" applyAlignment="1">
      <alignment horizontal="center" vertical="center"/>
    </xf>
    <xf numFmtId="0" fontId="110" fillId="20" borderId="49" xfId="0" applyFont="1" applyFill="1" applyBorder="1" applyAlignment="1">
      <alignment horizontal="left" vertical="center"/>
    </xf>
    <xf numFmtId="0" fontId="107" fillId="20" borderId="49" xfId="1" applyFont="1" applyFill="1" applyBorder="1" applyAlignment="1">
      <alignment horizontal="left" vertical="center"/>
    </xf>
    <xf numFmtId="0" fontId="111" fillId="20" borderId="49" xfId="0" applyFont="1" applyFill="1" applyBorder="1" applyAlignment="1">
      <alignment horizontal="center" vertical="center" wrapText="1" readingOrder="1"/>
    </xf>
    <xf numFmtId="0" fontId="112" fillId="20" borderId="49" xfId="1" applyFont="1" applyFill="1" applyBorder="1" applyAlignment="1">
      <alignment horizontal="left" vertical="center"/>
    </xf>
    <xf numFmtId="0" fontId="109" fillId="20" borderId="49" xfId="0" applyFont="1" applyFill="1" applyBorder="1">
      <alignment vertical="center"/>
    </xf>
    <xf numFmtId="0" fontId="109" fillId="20" borderId="49" xfId="0" applyFont="1" applyFill="1" applyBorder="1" applyAlignment="1">
      <alignment horizontal="left" vertical="center"/>
    </xf>
    <xf numFmtId="0" fontId="109" fillId="20" borderId="49" xfId="0" applyFont="1" applyFill="1" applyBorder="1" applyAlignment="1">
      <alignment horizontal="center" vertical="center" wrapText="1"/>
    </xf>
    <xf numFmtId="0" fontId="105" fillId="0" borderId="5" xfId="0" applyFont="1" applyBorder="1" applyAlignment="1">
      <alignment vertical="center" wrapText="1"/>
    </xf>
    <xf numFmtId="0" fontId="105" fillId="0" borderId="43" xfId="0" applyFont="1" applyBorder="1">
      <alignment vertical="center"/>
    </xf>
    <xf numFmtId="0" fontId="105" fillId="0" borderId="17" xfId="0" applyFont="1" applyBorder="1">
      <alignment vertical="center"/>
    </xf>
    <xf numFmtId="0" fontId="105" fillId="0" borderId="21" xfId="0" applyFont="1" applyBorder="1">
      <alignment vertical="center"/>
    </xf>
    <xf numFmtId="0" fontId="113" fillId="32" borderId="117" xfId="0" applyFont="1" applyFill="1" applyBorder="1" applyAlignment="1">
      <alignment vertical="center" wrapText="1"/>
    </xf>
    <xf numFmtId="0" fontId="113" fillId="0" borderId="116" xfId="0" applyFont="1" applyBorder="1">
      <alignment vertical="center"/>
    </xf>
    <xf numFmtId="0" fontId="113" fillId="32" borderId="116" xfId="0" applyFont="1" applyFill="1" applyBorder="1" applyAlignment="1">
      <alignment vertical="center" wrapText="1"/>
    </xf>
    <xf numFmtId="0" fontId="113" fillId="32" borderId="116" xfId="0" applyFont="1" applyFill="1" applyBorder="1">
      <alignment vertical="center"/>
    </xf>
    <xf numFmtId="0" fontId="92" fillId="33" borderId="117" xfId="0" applyFont="1" applyFill="1" applyBorder="1" applyAlignment="1">
      <alignment vertical="center" wrapText="1"/>
    </xf>
    <xf numFmtId="0" fontId="92" fillId="0" borderId="116" xfId="0" applyFont="1" applyBorder="1">
      <alignment vertical="center"/>
    </xf>
    <xf numFmtId="0" fontId="92" fillId="32" borderId="116" xfId="0" applyFont="1" applyFill="1" applyBorder="1" applyAlignment="1">
      <alignment vertical="center" wrapText="1"/>
    </xf>
    <xf numFmtId="0" fontId="92" fillId="32" borderId="116" xfId="0" applyFont="1" applyFill="1" applyBorder="1">
      <alignment vertical="center"/>
    </xf>
    <xf numFmtId="0" fontId="92" fillId="0" borderId="116" xfId="0" applyFont="1" applyBorder="1" applyAlignment="1">
      <alignment vertical="center" wrapText="1"/>
    </xf>
    <xf numFmtId="0" fontId="57" fillId="18" borderId="0" xfId="46" applyFont="1" applyFill="1">
      <alignment vertical="center"/>
    </xf>
    <xf numFmtId="0" fontId="98" fillId="0" borderId="5" xfId="2" applyFont="1" applyBorder="1" applyAlignment="1">
      <alignment horizontal="center" vertical="center"/>
    </xf>
    <xf numFmtId="0" fontId="98" fillId="0" borderId="3" xfId="2" applyFont="1" applyBorder="1" applyAlignment="1">
      <alignment horizontal="left" vertical="center" wrapText="1"/>
    </xf>
    <xf numFmtId="0" fontId="98" fillId="0" borderId="5" xfId="2" applyFont="1" applyBorder="1" applyAlignment="1">
      <alignment horizontal="left" vertical="center" wrapText="1"/>
    </xf>
    <xf numFmtId="0" fontId="98" fillId="6" borderId="5" xfId="0" applyFont="1" applyFill="1" applyBorder="1" applyAlignment="1">
      <alignment vertical="center" wrapText="1"/>
    </xf>
    <xf numFmtId="0" fontId="98" fillId="0" borderId="5" xfId="2" applyFont="1" applyBorder="1" applyAlignment="1">
      <alignment vertical="center"/>
    </xf>
    <xf numFmtId="0" fontId="98" fillId="7" borderId="5" xfId="0" applyFont="1" applyFill="1" applyBorder="1" applyAlignment="1">
      <alignment vertical="center" wrapText="1"/>
    </xf>
    <xf numFmtId="0" fontId="24" fillId="0" borderId="137" xfId="0" applyFont="1" applyBorder="1" applyAlignment="1">
      <alignment horizontal="center" vertical="center"/>
    </xf>
    <xf numFmtId="0" fontId="90" fillId="0" borderId="0" xfId="0" applyFont="1" applyAlignment="1">
      <alignment horizontal="center" vertical="center" wrapText="1" readingOrder="1"/>
    </xf>
    <xf numFmtId="0" fontId="94" fillId="0" borderId="0" xfId="46" applyFont="1" applyFill="1" applyBorder="1">
      <alignment vertical="center"/>
    </xf>
    <xf numFmtId="0" fontId="5" fillId="0" borderId="0" xfId="0" applyFont="1" applyAlignment="1">
      <alignment horizontal="left" vertical="center"/>
    </xf>
    <xf numFmtId="0" fontId="56" fillId="18" borderId="0" xfId="46" applyFill="1">
      <alignment vertical="center"/>
    </xf>
    <xf numFmtId="0" fontId="0" fillId="27" borderId="5" xfId="0" applyFill="1" applyBorder="1">
      <alignment vertical="center"/>
    </xf>
    <xf numFmtId="0" fontId="5" fillId="4" borderId="133" xfId="0" applyFont="1" applyFill="1" applyBorder="1" applyAlignment="1">
      <alignment horizontal="center" vertical="center"/>
    </xf>
    <xf numFmtId="0" fontId="90" fillId="4" borderId="112" xfId="0" applyFont="1" applyFill="1" applyBorder="1" applyAlignment="1">
      <alignment horizontal="center" vertical="center" wrapText="1" readingOrder="1"/>
    </xf>
    <xf numFmtId="0" fontId="94" fillId="4" borderId="112" xfId="46" applyFont="1" applyFill="1" applyBorder="1">
      <alignment vertical="center"/>
    </xf>
    <xf numFmtId="0" fontId="5" fillId="4" borderId="138" xfId="0" applyFont="1" applyFill="1" applyBorder="1" applyAlignment="1">
      <alignment horizontal="center" vertical="center"/>
    </xf>
    <xf numFmtId="0" fontId="5" fillId="4" borderId="139" xfId="0" applyFont="1" applyFill="1" applyBorder="1" applyAlignment="1">
      <alignment horizontal="left" vertical="center"/>
    </xf>
    <xf numFmtId="0" fontId="5" fillId="4" borderId="139" xfId="0" applyFont="1" applyFill="1" applyBorder="1" applyAlignment="1">
      <alignment horizontal="center" vertical="center"/>
    </xf>
    <xf numFmtId="0" fontId="18" fillId="2" borderId="140" xfId="0" applyFont="1" applyFill="1" applyBorder="1" applyAlignment="1">
      <alignment horizontal="center" vertical="center" wrapText="1" readingOrder="1"/>
    </xf>
    <xf numFmtId="0" fontId="18" fillId="2" borderId="141" xfId="0" applyFont="1" applyFill="1" applyBorder="1" applyAlignment="1">
      <alignment horizontal="center" vertical="center" wrapText="1" readingOrder="1"/>
    </xf>
    <xf numFmtId="0" fontId="104" fillId="2" borderId="141" xfId="0" applyFont="1" applyFill="1" applyBorder="1" applyAlignment="1">
      <alignment horizontal="center" vertical="center" wrapText="1" readingOrder="1"/>
    </xf>
    <xf numFmtId="0" fontId="18" fillId="2" borderId="142" xfId="0" applyFont="1" applyFill="1" applyBorder="1" applyAlignment="1">
      <alignment horizontal="center" vertical="center" wrapText="1" readingOrder="1"/>
    </xf>
    <xf numFmtId="0" fontId="18" fillId="2" borderId="143" xfId="0" applyFont="1" applyFill="1" applyBorder="1" applyAlignment="1">
      <alignment horizontal="center" vertical="center" wrapText="1" readingOrder="1"/>
    </xf>
    <xf numFmtId="0" fontId="3" fillId="3" borderId="145" xfId="0" applyFont="1" applyFill="1" applyBorder="1" applyAlignment="1">
      <alignment horizontal="center" vertical="center" wrapText="1" readingOrder="1"/>
    </xf>
    <xf numFmtId="0" fontId="94" fillId="3" borderId="145" xfId="1" applyFont="1" applyFill="1" applyBorder="1" applyAlignment="1">
      <alignment horizontal="left" vertical="center" wrapText="1" readingOrder="1"/>
    </xf>
    <xf numFmtId="0" fontId="3" fillId="0" borderId="145" xfId="0" applyFont="1" applyBorder="1" applyAlignment="1">
      <alignment horizontal="center" vertical="center" wrapText="1" readingOrder="1"/>
    </xf>
    <xf numFmtId="0" fontId="3" fillId="0" borderId="145" xfId="0" applyFont="1" applyBorder="1" applyAlignment="1">
      <alignment horizontal="left" vertical="center" wrapText="1" readingOrder="1"/>
    </xf>
    <xf numFmtId="0" fontId="3" fillId="22" borderId="146" xfId="0" applyFont="1" applyFill="1" applyBorder="1" applyAlignment="1">
      <alignment horizontal="left" vertical="center" wrapText="1" readingOrder="1"/>
    </xf>
    <xf numFmtId="0" fontId="3" fillId="22" borderId="147" xfId="0" applyFont="1" applyFill="1" applyBorder="1" applyAlignment="1">
      <alignment horizontal="left" vertical="center" wrapText="1" readingOrder="1"/>
    </xf>
    <xf numFmtId="0" fontId="24" fillId="0" borderId="124" xfId="0" applyFont="1" applyBorder="1" applyAlignment="1">
      <alignment horizontal="center" vertic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31" fillId="0" borderId="117" xfId="0" applyFont="1" applyBorder="1">
      <alignment vertical="center"/>
    </xf>
    <xf numFmtId="0" fontId="24" fillId="0" borderId="117" xfId="0" applyFont="1" applyBorder="1" applyAlignment="1">
      <alignment horizontal="center" vertical="center"/>
    </xf>
    <xf numFmtId="0" fontId="31" fillId="0" borderId="117" xfId="0" applyFont="1" applyBorder="1" applyAlignment="1">
      <alignment horizontal="center" vertical="center"/>
    </xf>
    <xf numFmtId="0" fontId="24" fillId="0" borderId="117" xfId="0" applyFont="1" applyBorder="1" applyAlignment="1">
      <alignment horizontal="left" vertical="center" wrapText="1"/>
    </xf>
    <xf numFmtId="0" fontId="24" fillId="0" borderId="148" xfId="0" applyFont="1" applyBorder="1" applyAlignment="1">
      <alignment horizontal="left" vertical="center" wrapText="1"/>
    </xf>
    <xf numFmtId="0" fontId="0" fillId="4" borderId="5" xfId="0" applyFill="1" applyBorder="1">
      <alignment vertical="center"/>
    </xf>
    <xf numFmtId="0" fontId="24" fillId="0" borderId="126" xfId="0" applyFont="1" applyBorder="1" applyAlignment="1">
      <alignment horizontal="center" vertical="center"/>
    </xf>
    <xf numFmtId="0" fontId="24" fillId="0" borderId="39" xfId="0" applyFont="1" applyBorder="1" applyAlignment="1">
      <alignment horizontal="left" vertical="center" wrapText="1"/>
    </xf>
    <xf numFmtId="0" fontId="24" fillId="0" borderId="41" xfId="0" applyFont="1" applyBorder="1">
      <alignment vertical="center"/>
    </xf>
    <xf numFmtId="0" fontId="0" fillId="0" borderId="117" xfId="0" applyBorder="1">
      <alignment vertical="center"/>
    </xf>
    <xf numFmtId="0" fontId="24" fillId="4" borderId="5" xfId="0" applyFont="1" applyFill="1" applyBorder="1">
      <alignment vertical="center"/>
    </xf>
    <xf numFmtId="0" fontId="114" fillId="2" borderId="142" xfId="0" applyFont="1" applyFill="1" applyBorder="1" applyAlignment="1">
      <alignment horizontal="center" vertical="center" wrapText="1" readingOrder="1"/>
    </xf>
    <xf numFmtId="0" fontId="24" fillId="20" borderId="5" xfId="0" applyFont="1" applyFill="1" applyBorder="1" applyAlignment="1">
      <alignment horizontal="left" vertical="center" wrapText="1"/>
    </xf>
    <xf numFmtId="0" fontId="87" fillId="27" borderId="24" xfId="0" applyFont="1" applyFill="1" applyBorder="1" applyAlignment="1">
      <alignment horizontal="left" vertical="center" wrapText="1"/>
    </xf>
    <xf numFmtId="0" fontId="88" fillId="0" borderId="5" xfId="0" applyFont="1" applyBorder="1">
      <alignment vertical="center"/>
    </xf>
    <xf numFmtId="0" fontId="87" fillId="0" borderId="5" xfId="0" applyFont="1" applyBorder="1" applyAlignment="1">
      <alignment horizontal="center" vertical="center"/>
    </xf>
    <xf numFmtId="0" fontId="88" fillId="0" borderId="5" xfId="0" applyFont="1" applyBorder="1" applyAlignment="1">
      <alignment horizontal="center" vertical="center"/>
    </xf>
    <xf numFmtId="0" fontId="87" fillId="20" borderId="5" xfId="0" applyFont="1" applyFill="1" applyBorder="1" applyAlignment="1">
      <alignment horizontal="left" vertical="center" wrapText="1"/>
    </xf>
    <xf numFmtId="0" fontId="87" fillId="20" borderId="24" xfId="0" applyFont="1" applyFill="1" applyBorder="1" applyAlignment="1">
      <alignment horizontal="left" vertical="center" wrapText="1"/>
    </xf>
    <xf numFmtId="0" fontId="87" fillId="0" borderId="39" xfId="0" applyFont="1" applyBorder="1" applyAlignment="1">
      <alignment horizontal="center" vertical="center"/>
    </xf>
    <xf numFmtId="0" fontId="87" fillId="0" borderId="5" xfId="0" applyFont="1" applyBorder="1" applyAlignment="1">
      <alignment vertical="center" wrapText="1"/>
    </xf>
    <xf numFmtId="0" fontId="87" fillId="7" borderId="5" xfId="0" applyFont="1" applyFill="1" applyBorder="1" applyAlignment="1">
      <alignment horizontal="center" vertical="center" wrapText="1"/>
    </xf>
    <xf numFmtId="0" fontId="87" fillId="7" borderId="5" xfId="0" applyFont="1" applyFill="1" applyBorder="1" applyAlignment="1">
      <alignment horizontal="center" vertical="center"/>
    </xf>
    <xf numFmtId="0" fontId="87" fillId="7" borderId="5" xfId="0" applyFont="1" applyFill="1" applyBorder="1" applyAlignment="1">
      <alignment horizontal="left" vertical="center" wrapText="1"/>
    </xf>
    <xf numFmtId="0" fontId="5" fillId="26" borderId="0" xfId="0" applyFont="1" applyFill="1">
      <alignment vertical="center"/>
    </xf>
    <xf numFmtId="0" fontId="24" fillId="0" borderId="5" xfId="2" applyFont="1" applyBorder="1" applyAlignment="1">
      <alignment horizontal="left" vertical="center"/>
    </xf>
    <xf numFmtId="0" fontId="90" fillId="50" borderId="149" xfId="0" applyFont="1" applyFill="1" applyBorder="1" applyAlignment="1">
      <alignment horizontal="center" vertical="center" wrapText="1" readingOrder="1"/>
    </xf>
    <xf numFmtId="0" fontId="3" fillId="21" borderId="150" xfId="0" applyFont="1" applyFill="1" applyBorder="1" applyAlignment="1">
      <alignment horizontal="center" vertical="center" wrapText="1" readingOrder="1"/>
    </xf>
    <xf numFmtId="0" fontId="5" fillId="0" borderId="151" xfId="0" applyFont="1" applyBorder="1" applyAlignment="1">
      <alignment horizontal="center" vertical="center"/>
    </xf>
    <xf numFmtId="0" fontId="5" fillId="0" borderId="49" xfId="0" applyFont="1" applyBorder="1" applyAlignment="1">
      <alignment horizontal="center" vertical="center"/>
    </xf>
    <xf numFmtId="0" fontId="115" fillId="0" borderId="2" xfId="2" applyFont="1" applyBorder="1" applyAlignment="1">
      <alignment horizontal="center" vertical="center"/>
    </xf>
    <xf numFmtId="0" fontId="23" fillId="20" borderId="2" xfId="2" applyFont="1" applyFill="1" applyBorder="1" applyAlignment="1">
      <alignment vertical="center" wrapText="1"/>
    </xf>
    <xf numFmtId="0" fontId="23" fillId="20" borderId="2" xfId="2" applyFont="1" applyFill="1" applyBorder="1" applyAlignment="1">
      <alignment vertical="center"/>
    </xf>
    <xf numFmtId="0" fontId="116" fillId="20" borderId="2" xfId="2" applyFont="1" applyFill="1" applyBorder="1" applyAlignment="1">
      <alignment vertical="center"/>
    </xf>
    <xf numFmtId="0" fontId="23" fillId="20" borderId="2" xfId="2" applyFont="1" applyFill="1" applyBorder="1" applyAlignment="1">
      <alignment horizontal="center" vertical="center"/>
    </xf>
    <xf numFmtId="0" fontId="23" fillId="20" borderId="4" xfId="2" applyFont="1" applyFill="1" applyBorder="1" applyAlignment="1">
      <alignment horizontal="left" vertical="center" wrapText="1"/>
    </xf>
    <xf numFmtId="0" fontId="24" fillId="20" borderId="5" xfId="0" applyFont="1" applyFill="1" applyBorder="1" applyAlignment="1">
      <alignment horizontal="center" vertical="center"/>
    </xf>
    <xf numFmtId="0" fontId="24" fillId="6" borderId="5" xfId="0" applyFont="1" applyFill="1" applyBorder="1">
      <alignment vertical="center"/>
    </xf>
    <xf numFmtId="0" fontId="24" fillId="6" borderId="41" xfId="0" applyFont="1" applyFill="1" applyBorder="1">
      <alignment vertical="center"/>
    </xf>
    <xf numFmtId="0" fontId="24" fillId="6" borderId="5" xfId="0" applyFont="1" applyFill="1" applyBorder="1" applyAlignment="1">
      <alignment horizontal="center" vertical="center"/>
    </xf>
    <xf numFmtId="0" fontId="0" fillId="6" borderId="5" xfId="0" applyFill="1" applyBorder="1">
      <alignment vertical="center"/>
    </xf>
    <xf numFmtId="0" fontId="60" fillId="7" borderId="2" xfId="2" applyFont="1" applyFill="1" applyBorder="1" applyAlignment="1">
      <alignment horizontal="center" vertical="center" wrapText="1"/>
    </xf>
    <xf numFmtId="0" fontId="60" fillId="7" borderId="2" xfId="2" applyFont="1" applyFill="1" applyBorder="1" applyAlignment="1">
      <alignment horizontal="center" vertical="center"/>
    </xf>
    <xf numFmtId="0" fontId="16" fillId="20" borderId="5" xfId="0" applyFont="1" applyFill="1" applyBorder="1" applyAlignment="1">
      <alignment horizontal="left" vertical="center" wrapText="1"/>
    </xf>
    <xf numFmtId="0" fontId="9" fillId="4" borderId="3" xfId="0" applyFont="1" applyFill="1" applyBorder="1" applyAlignment="1">
      <alignment horizontal="left" vertical="center" wrapText="1"/>
    </xf>
    <xf numFmtId="0" fontId="9" fillId="0" borderId="5" xfId="2" applyFont="1" applyBorder="1" applyAlignment="1">
      <alignment vertical="center" wrapText="1"/>
    </xf>
    <xf numFmtId="0" fontId="9" fillId="0" borderId="5" xfId="2" applyFont="1" applyBorder="1" applyAlignment="1">
      <alignment vertical="center"/>
    </xf>
    <xf numFmtId="0" fontId="36" fillId="0" borderId="5" xfId="2" applyFont="1" applyBorder="1" applyAlignment="1">
      <alignment horizontal="center" vertical="center"/>
    </xf>
    <xf numFmtId="0" fontId="9" fillId="0" borderId="5" xfId="2" applyFont="1" applyBorder="1" applyAlignment="1">
      <alignment horizontal="left" vertical="center" wrapText="1"/>
    </xf>
    <xf numFmtId="0" fontId="9" fillId="0" borderId="5" xfId="2" applyFont="1" applyBorder="1" applyAlignment="1">
      <alignment horizontal="center" vertical="center"/>
    </xf>
    <xf numFmtId="0" fontId="53" fillId="0" borderId="5" xfId="2" applyFont="1" applyBorder="1" applyAlignment="1">
      <alignment vertical="center"/>
    </xf>
    <xf numFmtId="0" fontId="99" fillId="0" borderId="5" xfId="2" applyFont="1" applyBorder="1" applyAlignment="1">
      <alignment vertical="center" wrapText="1"/>
    </xf>
    <xf numFmtId="0" fontId="89" fillId="0" borderId="5" xfId="0" applyFont="1" applyBorder="1" applyAlignment="1">
      <alignment vertical="center" wrapText="1"/>
    </xf>
    <xf numFmtId="0" fontId="89" fillId="0" borderId="5" xfId="0" applyFont="1" applyBorder="1">
      <alignment vertical="center"/>
    </xf>
    <xf numFmtId="0" fontId="3" fillId="51" borderId="114" xfId="0" applyFont="1" applyFill="1" applyBorder="1">
      <alignment vertical="center"/>
    </xf>
    <xf numFmtId="0" fontId="3" fillId="51" borderId="152" xfId="0" applyFont="1" applyFill="1" applyBorder="1">
      <alignment vertical="center"/>
    </xf>
    <xf numFmtId="0" fontId="30" fillId="9" borderId="5" xfId="0" applyFont="1" applyFill="1" applyBorder="1" applyAlignment="1">
      <alignment horizontal="center" vertical="center"/>
    </xf>
    <xf numFmtId="0" fontId="24" fillId="10" borderId="30" xfId="0" applyFont="1" applyFill="1" applyBorder="1" applyAlignment="1">
      <alignment horizontal="center" vertical="center"/>
    </xf>
    <xf numFmtId="0" fontId="24" fillId="10" borderId="31" xfId="0" applyFont="1" applyFill="1" applyBorder="1" applyAlignment="1">
      <alignment horizontal="center" vertical="center"/>
    </xf>
    <xf numFmtId="0" fontId="16" fillId="5" borderId="22" xfId="0" quotePrefix="1" applyFont="1" applyFill="1" applyBorder="1" applyAlignment="1">
      <alignment horizontal="center" vertical="center"/>
    </xf>
    <xf numFmtId="0" fontId="25" fillId="0" borderId="9" xfId="0" applyFont="1" applyBorder="1">
      <alignment vertical="center"/>
    </xf>
    <xf numFmtId="0" fontId="25" fillId="0" borderId="13" xfId="0" applyFont="1" applyBorder="1">
      <alignment vertical="center"/>
    </xf>
    <xf numFmtId="0" fontId="16" fillId="5" borderId="12" xfId="0" applyFont="1" applyFill="1" applyBorder="1" applyAlignment="1">
      <alignment horizontal="center" vertical="center"/>
    </xf>
    <xf numFmtId="0" fontId="16" fillId="5" borderId="9" xfId="0" applyFont="1" applyFill="1" applyBorder="1" applyAlignment="1">
      <alignment horizontal="center" vertical="center" wrapText="1"/>
    </xf>
    <xf numFmtId="0" fontId="25" fillId="0" borderId="5" xfId="0" applyFont="1" applyBorder="1">
      <alignment vertical="center"/>
    </xf>
    <xf numFmtId="0" fontId="16" fillId="5" borderId="13" xfId="0" applyFont="1" applyFill="1" applyBorder="1" applyAlignment="1">
      <alignment horizontal="center" vertical="center" wrapText="1"/>
    </xf>
    <xf numFmtId="0" fontId="25" fillId="0" borderId="24" xfId="0" applyFont="1" applyBorder="1">
      <alignment vertical="center"/>
    </xf>
    <xf numFmtId="0" fontId="24" fillId="0" borderId="5" xfId="0" applyFont="1" applyBorder="1" applyAlignment="1">
      <alignment horizontal="center" vertical="center" wrapText="1"/>
    </xf>
    <xf numFmtId="0" fontId="24" fillId="0" borderId="5" xfId="0" applyFont="1" applyBorder="1" applyAlignment="1">
      <alignment vertical="center" wrapText="1"/>
    </xf>
    <xf numFmtId="0" fontId="25" fillId="0" borderId="32" xfId="0" applyFont="1" applyBorder="1" applyAlignment="1">
      <alignment horizontal="center" vertical="center"/>
    </xf>
    <xf numFmtId="0" fontId="25" fillId="0" borderId="33" xfId="0" applyFont="1" applyBorder="1" applyAlignment="1">
      <alignment horizontal="center" vertical="center"/>
    </xf>
    <xf numFmtId="0" fontId="25" fillId="0" borderId="34" xfId="0" applyFont="1" applyBorder="1" applyAlignment="1">
      <alignment horizontal="center" vertical="center"/>
    </xf>
    <xf numFmtId="0" fontId="21" fillId="19" borderId="6" xfId="0" applyFont="1" applyFill="1" applyBorder="1" applyAlignment="1">
      <alignment horizontal="center" vertical="center" wrapText="1"/>
    </xf>
    <xf numFmtId="0" fontId="21" fillId="19" borderId="7" xfId="0" applyFont="1" applyFill="1" applyBorder="1" applyAlignment="1">
      <alignment horizontal="center" vertical="center" wrapText="1"/>
    </xf>
    <xf numFmtId="0" fontId="21" fillId="19" borderId="8" xfId="0" applyFont="1" applyFill="1" applyBorder="1" applyAlignment="1">
      <alignment horizontal="center" vertical="center" wrapText="1"/>
    </xf>
    <xf numFmtId="0" fontId="21" fillId="19" borderId="14" xfId="0" applyFont="1" applyFill="1" applyBorder="1" applyAlignment="1">
      <alignment horizontal="center" vertical="center" wrapText="1"/>
    </xf>
    <xf numFmtId="0" fontId="21" fillId="19" borderId="15" xfId="0" applyFont="1" applyFill="1" applyBorder="1" applyAlignment="1">
      <alignment horizontal="center" vertical="center" wrapText="1"/>
    </xf>
    <xf numFmtId="0" fontId="21" fillId="19" borderId="16" xfId="0" applyFont="1" applyFill="1" applyBorder="1" applyAlignment="1">
      <alignment horizontal="center" vertical="center" wrapText="1"/>
    </xf>
    <xf numFmtId="0" fontId="23" fillId="0" borderId="10" xfId="0" applyFont="1" applyBorder="1" applyAlignment="1">
      <alignment horizontal="center" vertical="center"/>
    </xf>
    <xf numFmtId="0" fontId="23" fillId="0" borderId="11" xfId="0" applyFont="1" applyBorder="1" applyAlignment="1">
      <alignment horizontal="center" vertical="center"/>
    </xf>
    <xf numFmtId="0" fontId="23" fillId="0" borderId="12" xfId="0" applyFont="1" applyBorder="1" applyAlignment="1">
      <alignment horizontal="center" vertical="center"/>
    </xf>
    <xf numFmtId="0" fontId="23" fillId="0" borderId="9" xfId="0" applyFont="1" applyBorder="1" applyAlignment="1">
      <alignment horizontal="center" vertical="center"/>
    </xf>
    <xf numFmtId="0" fontId="23" fillId="0" borderId="13" xfId="0" applyFont="1" applyBorder="1" applyAlignment="1">
      <alignment horizontal="center" vertical="center"/>
    </xf>
    <xf numFmtId="0" fontId="23" fillId="0" borderId="18" xfId="0" applyFont="1" applyBorder="1" applyAlignment="1">
      <alignment horizontal="center" vertical="center"/>
    </xf>
    <xf numFmtId="0" fontId="23" fillId="0" borderId="19" xfId="0" applyFont="1" applyBorder="1" applyAlignment="1">
      <alignment horizontal="center" vertical="center"/>
    </xf>
    <xf numFmtId="0" fontId="23" fillId="0" borderId="20" xfId="0" applyFont="1" applyBorder="1" applyAlignment="1">
      <alignment horizontal="center" vertical="center"/>
    </xf>
    <xf numFmtId="0" fontId="23" fillId="0" borderId="17" xfId="0" applyFont="1" applyBorder="1" applyAlignment="1">
      <alignment horizontal="center" vertical="center"/>
    </xf>
    <xf numFmtId="0" fontId="23" fillId="0" borderId="21" xfId="0" applyFont="1" applyBorder="1" applyAlignment="1">
      <alignment horizontal="center" vertical="center"/>
    </xf>
    <xf numFmtId="0" fontId="24" fillId="10" borderId="35" xfId="0" applyFont="1" applyFill="1" applyBorder="1" applyAlignment="1">
      <alignment horizontal="center" vertical="center"/>
    </xf>
    <xf numFmtId="0" fontId="24" fillId="10" borderId="36" xfId="0" applyFont="1" applyFill="1" applyBorder="1" applyAlignment="1">
      <alignment horizontal="center" vertical="center"/>
    </xf>
    <xf numFmtId="0" fontId="25" fillId="0" borderId="35" xfId="0" applyFont="1" applyBorder="1" applyAlignment="1">
      <alignment horizontal="center" vertical="center"/>
    </xf>
    <xf numFmtId="0" fontId="25" fillId="0" borderId="37" xfId="0" applyFont="1" applyBorder="1" applyAlignment="1">
      <alignment horizontal="center" vertical="center"/>
    </xf>
    <xf numFmtId="0" fontId="25" fillId="0" borderId="38" xfId="0" applyFont="1" applyBorder="1" applyAlignment="1">
      <alignment horizontal="center" vertical="center"/>
    </xf>
    <xf numFmtId="0" fontId="25" fillId="0" borderId="5" xfId="0" applyFont="1" applyBorder="1" applyAlignment="1">
      <alignment horizontal="left" vertical="center"/>
    </xf>
    <xf numFmtId="0" fontId="30" fillId="9" borderId="5" xfId="0" applyFont="1" applyFill="1" applyBorder="1" applyAlignment="1">
      <alignment horizontal="center" vertical="center" wrapText="1"/>
    </xf>
    <xf numFmtId="0" fontId="16" fillId="5" borderId="39" xfId="0" applyFont="1" applyFill="1" applyBorder="1" applyAlignment="1">
      <alignment horizontal="center" vertical="center"/>
    </xf>
    <xf numFmtId="0" fontId="16" fillId="5" borderId="5" xfId="0" applyFont="1" applyFill="1" applyBorder="1" applyAlignment="1">
      <alignment horizontal="center" vertical="center" wrapText="1"/>
    </xf>
    <xf numFmtId="0" fontId="16" fillId="5" borderId="22" xfId="0" applyFont="1" applyFill="1" applyBorder="1" applyAlignment="1">
      <alignment horizontal="center" vertical="center"/>
    </xf>
    <xf numFmtId="0" fontId="32" fillId="5" borderId="9" xfId="0" applyFont="1" applyFill="1" applyBorder="1" applyAlignment="1">
      <alignment horizontal="center" vertical="center" wrapText="1"/>
    </xf>
    <xf numFmtId="0" fontId="34" fillId="0" borderId="5" xfId="0" applyFont="1" applyBorder="1">
      <alignment vertical="center"/>
    </xf>
    <xf numFmtId="0" fontId="32" fillId="5" borderId="13" xfId="0" applyFont="1" applyFill="1" applyBorder="1" applyAlignment="1">
      <alignment horizontal="center" vertical="center" wrapText="1"/>
    </xf>
    <xf numFmtId="0" fontId="34" fillId="0" borderId="24" xfId="0" applyFont="1" applyBorder="1">
      <alignment vertical="center"/>
    </xf>
    <xf numFmtId="0" fontId="34" fillId="0" borderId="9" xfId="0" applyFont="1" applyBorder="1" applyAlignment="1">
      <alignment horizontal="center" vertical="center"/>
    </xf>
    <xf numFmtId="0" fontId="34" fillId="0" borderId="13" xfId="0" applyFont="1" applyBorder="1" applyAlignment="1">
      <alignment horizontal="center" vertical="center"/>
    </xf>
    <xf numFmtId="0" fontId="34" fillId="0" borderId="17" xfId="0" applyFont="1" applyBorder="1" applyAlignment="1">
      <alignment horizontal="center" vertical="center"/>
    </xf>
    <xf numFmtId="0" fontId="34" fillId="0" borderId="21" xfId="0" applyFont="1" applyBorder="1" applyAlignment="1">
      <alignment horizontal="center" vertical="center"/>
    </xf>
    <xf numFmtId="0" fontId="51" fillId="9" borderId="97" xfId="5" applyFont="1" applyFill="1" applyBorder="1" applyAlignment="1">
      <alignment horizontal="center" vertical="center"/>
    </xf>
    <xf numFmtId="0" fontId="49" fillId="0" borderId="98" xfId="5" applyFont="1" applyBorder="1" applyAlignment="1">
      <alignment vertical="center"/>
    </xf>
    <xf numFmtId="0" fontId="51" fillId="9" borderId="99" xfId="5" applyFont="1" applyFill="1" applyBorder="1" applyAlignment="1">
      <alignment horizontal="center" vertical="center"/>
    </xf>
    <xf numFmtId="0" fontId="49" fillId="0" borderId="100" xfId="5" applyFont="1" applyBorder="1" applyAlignment="1">
      <alignment vertical="center"/>
    </xf>
    <xf numFmtId="0" fontId="49" fillId="0" borderId="101" xfId="5" applyFont="1" applyBorder="1" applyAlignment="1">
      <alignment vertical="center"/>
    </xf>
    <xf numFmtId="0" fontId="9" fillId="10" borderId="102" xfId="5" applyFont="1" applyFill="1" applyBorder="1" applyAlignment="1">
      <alignment horizontal="center" vertical="center"/>
    </xf>
    <xf numFmtId="0" fontId="49" fillId="0" borderId="54" xfId="5" applyFont="1" applyBorder="1" applyAlignment="1">
      <alignment vertical="center"/>
    </xf>
    <xf numFmtId="0" fontId="48" fillId="5" borderId="61" xfId="5" applyFont="1" applyFill="1" applyBorder="1" applyAlignment="1">
      <alignment horizontal="center" vertical="center" wrapText="1"/>
    </xf>
    <xf numFmtId="0" fontId="49" fillId="0" borderId="62" xfId="5" applyFont="1" applyBorder="1" applyAlignment="1">
      <alignment vertical="center"/>
    </xf>
    <xf numFmtId="0" fontId="49" fillId="0" borderId="66" xfId="5" applyFont="1" applyBorder="1" applyAlignment="1">
      <alignment vertical="center"/>
    </xf>
    <xf numFmtId="0" fontId="11" fillId="0" borderId="0" xfId="5" applyAlignment="1">
      <alignment vertical="center"/>
    </xf>
    <xf numFmtId="0" fontId="49" fillId="0" borderId="0" xfId="5" applyFont="1" applyAlignment="1">
      <alignment vertical="center"/>
    </xf>
    <xf numFmtId="0" fontId="49" fillId="0" borderId="70" xfId="5" applyFont="1" applyBorder="1" applyAlignment="1">
      <alignment vertical="center"/>
    </xf>
    <xf numFmtId="0" fontId="49" fillId="0" borderId="60" xfId="5" applyFont="1" applyBorder="1" applyAlignment="1">
      <alignment vertical="center"/>
    </xf>
    <xf numFmtId="177" fontId="9" fillId="0" borderId="63" xfId="5" applyNumberFormat="1" applyFont="1" applyBorder="1" applyAlignment="1">
      <alignment horizontal="center" vertical="center"/>
    </xf>
    <xf numFmtId="0" fontId="49" fillId="0" borderId="64" xfId="5" applyFont="1" applyBorder="1" applyAlignment="1">
      <alignment vertical="center"/>
    </xf>
    <xf numFmtId="0" fontId="49" fillId="0" borderId="65" xfId="5" applyFont="1" applyBorder="1" applyAlignment="1">
      <alignment vertical="center"/>
    </xf>
    <xf numFmtId="0" fontId="9" fillId="0" borderId="67" xfId="5" applyFont="1" applyBorder="1" applyAlignment="1">
      <alignment horizontal="center" vertical="center"/>
    </xf>
    <xf numFmtId="0" fontId="49" fillId="0" borderId="68" xfId="5" applyFont="1" applyBorder="1" applyAlignment="1">
      <alignment vertical="center"/>
    </xf>
    <xf numFmtId="0" fontId="49" fillId="0" borderId="69" xfId="5" applyFont="1" applyBorder="1" applyAlignment="1">
      <alignment vertical="center"/>
    </xf>
    <xf numFmtId="0" fontId="49" fillId="0" borderId="71" xfId="5" applyFont="1" applyBorder="1" applyAlignment="1">
      <alignment vertical="center"/>
    </xf>
    <xf numFmtId="0" fontId="49" fillId="0" borderId="72" xfId="5" applyFont="1" applyBorder="1" applyAlignment="1">
      <alignment vertical="center"/>
    </xf>
    <xf numFmtId="0" fontId="50" fillId="5" borderId="61" xfId="5" quotePrefix="1" applyFont="1" applyFill="1" applyBorder="1" applyAlignment="1">
      <alignment horizontal="center" vertical="center"/>
    </xf>
    <xf numFmtId="0" fontId="50" fillId="5" borderId="61" xfId="5" applyFont="1" applyFill="1" applyBorder="1" applyAlignment="1">
      <alignment horizontal="center" vertical="center"/>
    </xf>
    <xf numFmtId="0" fontId="50" fillId="5" borderId="73" xfId="5" applyFont="1" applyFill="1" applyBorder="1" applyAlignment="1">
      <alignment horizontal="center" vertical="center" wrapText="1"/>
    </xf>
    <xf numFmtId="0" fontId="49" fillId="0" borderId="80" xfId="5" applyFont="1" applyBorder="1" applyAlignment="1">
      <alignment vertical="center"/>
    </xf>
    <xf numFmtId="0" fontId="49" fillId="0" borderId="85" xfId="5" applyFont="1" applyBorder="1" applyAlignment="1">
      <alignment vertical="center"/>
    </xf>
    <xf numFmtId="0" fontId="50" fillId="5" borderId="74" xfId="5" applyFont="1" applyFill="1" applyBorder="1" applyAlignment="1">
      <alignment horizontal="center" vertical="center" wrapText="1"/>
    </xf>
    <xf numFmtId="0" fontId="49" fillId="0" borderId="81" xfId="5" applyFont="1" applyBorder="1" applyAlignment="1">
      <alignment vertical="center"/>
    </xf>
    <xf numFmtId="0" fontId="50" fillId="5" borderId="75" xfId="5" applyFont="1" applyFill="1" applyBorder="1" applyAlignment="1">
      <alignment horizontal="center" vertical="center" wrapText="1"/>
    </xf>
    <xf numFmtId="0" fontId="49" fillId="0" borderId="76" xfId="5" applyFont="1" applyBorder="1" applyAlignment="1">
      <alignment vertical="center"/>
    </xf>
    <xf numFmtId="0" fontId="9" fillId="30" borderId="77" xfId="5" applyFont="1" applyFill="1" applyBorder="1" applyAlignment="1">
      <alignment horizontal="center" vertical="center" wrapText="1"/>
    </xf>
    <xf numFmtId="0" fontId="49" fillId="0" borderId="78" xfId="5" applyFont="1" applyBorder="1" applyAlignment="1">
      <alignment vertical="center"/>
    </xf>
    <xf numFmtId="0" fontId="49" fillId="0" borderId="79" xfId="5" applyFont="1" applyBorder="1" applyAlignment="1">
      <alignment vertical="center"/>
    </xf>
    <xf numFmtId="0" fontId="50" fillId="5" borderId="76" xfId="5" applyFont="1" applyFill="1" applyBorder="1" applyAlignment="1">
      <alignment horizontal="center" vertical="center" wrapText="1"/>
    </xf>
    <xf numFmtId="0" fontId="9" fillId="0" borderId="89" xfId="5" applyFont="1" applyBorder="1" applyAlignment="1">
      <alignment horizontal="left" vertical="center" wrapText="1"/>
    </xf>
    <xf numFmtId="0" fontId="49" fillId="0" borderId="103" xfId="5" applyFont="1" applyBorder="1" applyAlignment="1">
      <alignment vertical="center"/>
    </xf>
    <xf numFmtId="0" fontId="9" fillId="10" borderId="104" xfId="5" applyFont="1" applyFill="1" applyBorder="1" applyAlignment="1">
      <alignment horizontal="center" vertical="center"/>
    </xf>
    <xf numFmtId="0" fontId="49" fillId="0" borderId="105" xfId="5" applyFont="1" applyBorder="1" applyAlignment="1">
      <alignment vertical="center"/>
    </xf>
    <xf numFmtId="178" fontId="9" fillId="0" borderId="95" xfId="5" applyNumberFormat="1" applyFont="1" applyBorder="1" applyAlignment="1">
      <alignment horizontal="left" vertical="center" wrapText="1"/>
    </xf>
    <xf numFmtId="0" fontId="49" fillId="0" borderId="106" xfId="5" applyFont="1" applyBorder="1" applyAlignment="1">
      <alignment vertical="center"/>
    </xf>
    <xf numFmtId="0" fontId="49" fillId="0" borderId="107" xfId="5" applyFont="1" applyBorder="1" applyAlignment="1">
      <alignment vertical="center"/>
    </xf>
    <xf numFmtId="0" fontId="51" fillId="9" borderId="104" xfId="5" applyFont="1" applyFill="1" applyBorder="1" applyAlignment="1">
      <alignment horizontal="center" vertical="center"/>
    </xf>
    <xf numFmtId="0" fontId="9" fillId="0" borderId="95" xfId="5" applyFont="1" applyBorder="1" applyAlignment="1">
      <alignment vertical="center" wrapText="1"/>
    </xf>
    <xf numFmtId="0" fontId="51" fillId="9" borderId="97" xfId="5" applyFont="1" applyFill="1" applyBorder="1" applyAlignment="1">
      <alignment horizontal="center" vertical="center" wrapText="1"/>
    </xf>
    <xf numFmtId="0" fontId="52" fillId="0" borderId="99" xfId="5" applyFont="1" applyBorder="1" applyAlignment="1">
      <alignment vertical="center" wrapText="1"/>
    </xf>
    <xf numFmtId="0" fontId="51" fillId="9" borderId="102" xfId="5" applyFont="1" applyFill="1" applyBorder="1" applyAlignment="1">
      <alignment horizontal="center" vertical="center"/>
    </xf>
    <xf numFmtId="0" fontId="51" fillId="9" borderId="108" xfId="5" applyFont="1" applyFill="1" applyBorder="1" applyAlignment="1">
      <alignment horizontal="center" vertical="center"/>
    </xf>
    <xf numFmtId="0" fontId="49" fillId="0" borderId="3" xfId="5" applyFont="1" applyBorder="1" applyAlignment="1">
      <alignment vertical="center"/>
    </xf>
    <xf numFmtId="0" fontId="9" fillId="0" borderId="88" xfId="5" applyFont="1" applyBorder="1" applyAlignment="1">
      <alignment vertical="center" wrapText="1"/>
    </xf>
    <xf numFmtId="0" fontId="49" fillId="0" borderId="109" xfId="5" applyFont="1" applyBorder="1" applyAlignment="1">
      <alignment vertical="center"/>
    </xf>
    <xf numFmtId="0" fontId="49" fillId="0" borderId="110" xfId="5" applyFont="1" applyBorder="1" applyAlignment="1">
      <alignment vertical="center"/>
    </xf>
    <xf numFmtId="0" fontId="34" fillId="0" borderId="32" xfId="0" applyFont="1" applyBorder="1" applyAlignment="1">
      <alignment horizontal="center" vertical="center"/>
    </xf>
    <xf numFmtId="0" fontId="34" fillId="0" borderId="33" xfId="0" applyFont="1" applyBorder="1" applyAlignment="1">
      <alignment horizontal="center" vertical="center"/>
    </xf>
    <xf numFmtId="0" fontId="34" fillId="0" borderId="34" xfId="0" applyFont="1" applyBorder="1" applyAlignment="1">
      <alignment horizontal="center" vertical="center"/>
    </xf>
    <xf numFmtId="0" fontId="34" fillId="0" borderId="35" xfId="0" applyFont="1" applyBorder="1" applyAlignment="1">
      <alignment horizontal="center" vertical="center"/>
    </xf>
    <xf numFmtId="0" fontId="34" fillId="0" borderId="37" xfId="0" applyFont="1" applyBorder="1" applyAlignment="1">
      <alignment horizontal="center" vertical="center"/>
    </xf>
    <xf numFmtId="0" fontId="34" fillId="0" borderId="38" xfId="0" applyFont="1" applyBorder="1" applyAlignment="1">
      <alignment horizontal="center" vertical="center"/>
    </xf>
    <xf numFmtId="0" fontId="34" fillId="0" borderId="5" xfId="0" applyFont="1" applyBorder="1" applyAlignment="1">
      <alignment horizontal="left" vertical="center"/>
    </xf>
    <xf numFmtId="0" fontId="34" fillId="0" borderId="5" xfId="0" applyFont="1" applyBorder="1" applyAlignment="1">
      <alignment horizontal="left" vertical="center" wrapText="1"/>
    </xf>
    <xf numFmtId="0" fontId="43" fillId="10" borderId="35" xfId="0" applyFont="1" applyFill="1" applyBorder="1" applyAlignment="1">
      <alignment horizontal="center" vertical="center"/>
    </xf>
    <xf numFmtId="0" fontId="43" fillId="10" borderId="36" xfId="0" applyFont="1" applyFill="1" applyBorder="1" applyAlignment="1">
      <alignment horizontal="center" vertical="center"/>
    </xf>
    <xf numFmtId="0" fontId="58" fillId="0" borderId="35" xfId="0" applyFont="1" applyBorder="1" applyAlignment="1">
      <alignment horizontal="center" vertical="center"/>
    </xf>
    <xf numFmtId="0" fontId="58" fillId="0" borderId="37" xfId="0" applyFont="1" applyBorder="1" applyAlignment="1">
      <alignment horizontal="center" vertical="center"/>
    </xf>
    <xf numFmtId="0" fontId="58" fillId="0" borderId="38" xfId="0" applyFont="1" applyBorder="1" applyAlignment="1">
      <alignment horizontal="center" vertical="center"/>
    </xf>
    <xf numFmtId="0" fontId="59" fillId="9" borderId="5" xfId="0" applyFont="1" applyFill="1" applyBorder="1" applyAlignment="1">
      <alignment horizontal="center" vertical="center"/>
    </xf>
    <xf numFmtId="0" fontId="58" fillId="0" borderId="5" xfId="0" applyFont="1" applyBorder="1" applyAlignment="1">
      <alignment horizontal="left" vertical="center"/>
    </xf>
    <xf numFmtId="0" fontId="59" fillId="9" borderId="5" xfId="0" applyFont="1" applyFill="1" applyBorder="1" applyAlignment="1">
      <alignment horizontal="center" vertical="center" wrapText="1"/>
    </xf>
    <xf numFmtId="0" fontId="58" fillId="0" borderId="10" xfId="0" applyFont="1" applyBorder="1" applyAlignment="1">
      <alignment horizontal="center" vertical="center"/>
    </xf>
    <xf numFmtId="0" fontId="58" fillId="0" borderId="11" xfId="0" applyFont="1" applyBorder="1" applyAlignment="1">
      <alignment horizontal="center" vertical="center"/>
    </xf>
    <xf numFmtId="0" fontId="58" fillId="0" borderId="12" xfId="0" applyFont="1" applyBorder="1" applyAlignment="1">
      <alignment horizontal="center" vertical="center"/>
    </xf>
    <xf numFmtId="0" fontId="58" fillId="0" borderId="9" xfId="0" applyFont="1" applyBorder="1" applyAlignment="1">
      <alignment horizontal="center" vertical="center"/>
    </xf>
    <xf numFmtId="0" fontId="58" fillId="0" borderId="13" xfId="0" applyFont="1" applyBorder="1" applyAlignment="1">
      <alignment horizontal="center" vertical="center"/>
    </xf>
    <xf numFmtId="0" fontId="58" fillId="0" borderId="18" xfId="0" applyFont="1" applyBorder="1" applyAlignment="1">
      <alignment horizontal="center" vertical="center"/>
    </xf>
    <xf numFmtId="0" fontId="58" fillId="0" borderId="19" xfId="0" applyFont="1" applyBorder="1" applyAlignment="1">
      <alignment horizontal="center" vertical="center"/>
    </xf>
    <xf numFmtId="0" fontId="58" fillId="0" borderId="20" xfId="0" applyFont="1" applyBorder="1" applyAlignment="1">
      <alignment horizontal="center" vertical="center"/>
    </xf>
    <xf numFmtId="0" fontId="58" fillId="0" borderId="17" xfId="0" applyFont="1" applyBorder="1" applyAlignment="1">
      <alignment horizontal="center" vertical="center"/>
    </xf>
    <xf numFmtId="0" fontId="58" fillId="0" borderId="21" xfId="0" applyFont="1" applyBorder="1" applyAlignment="1">
      <alignment horizontal="center" vertical="center"/>
    </xf>
    <xf numFmtId="0" fontId="43" fillId="10" borderId="30" xfId="0" applyFont="1" applyFill="1" applyBorder="1" applyAlignment="1">
      <alignment horizontal="center" vertical="center"/>
    </xf>
    <xf numFmtId="0" fontId="43" fillId="10" borderId="31" xfId="0" applyFont="1" applyFill="1" applyBorder="1" applyAlignment="1">
      <alignment horizontal="center" vertical="center"/>
    </xf>
    <xf numFmtId="0" fontId="21" fillId="5" borderId="22" xfId="0" quotePrefix="1" applyFont="1" applyFill="1" applyBorder="1" applyAlignment="1">
      <alignment horizontal="center" vertical="center"/>
    </xf>
    <xf numFmtId="0" fontId="58" fillId="0" borderId="9" xfId="0" applyFont="1" applyBorder="1">
      <alignment vertical="center"/>
    </xf>
    <xf numFmtId="0" fontId="58" fillId="0" borderId="13" xfId="0" applyFont="1" applyBorder="1">
      <alignment vertical="center"/>
    </xf>
    <xf numFmtId="0" fontId="21" fillId="5" borderId="12" xfId="0" applyFont="1" applyFill="1" applyBorder="1" applyAlignment="1">
      <alignment horizontal="center" vertical="center"/>
    </xf>
    <xf numFmtId="0" fontId="21" fillId="5" borderId="9" xfId="0" applyFont="1" applyFill="1" applyBorder="1" applyAlignment="1">
      <alignment horizontal="center" vertical="center" wrapText="1"/>
    </xf>
    <xf numFmtId="0" fontId="58" fillId="0" borderId="5" xfId="0" applyFont="1" applyBorder="1">
      <alignment vertical="center"/>
    </xf>
    <xf numFmtId="0" fontId="21" fillId="5" borderId="13" xfId="0" applyFont="1" applyFill="1" applyBorder="1" applyAlignment="1">
      <alignment horizontal="center" vertical="center" wrapText="1"/>
    </xf>
    <xf numFmtId="0" fontId="58" fillId="0" borderId="24" xfId="0" applyFont="1" applyBorder="1">
      <alignment vertical="center"/>
    </xf>
    <xf numFmtId="0" fontId="43" fillId="0" borderId="5" xfId="0" applyFont="1" applyBorder="1" applyAlignment="1">
      <alignment horizontal="center" vertical="center" wrapText="1"/>
    </xf>
    <xf numFmtId="0" fontId="43" fillId="0" borderId="5" xfId="0" applyFont="1" applyBorder="1" applyAlignment="1">
      <alignment vertical="center" wrapText="1"/>
    </xf>
    <xf numFmtId="0" fontId="58" fillId="0" borderId="32" xfId="0" applyFont="1" applyBorder="1" applyAlignment="1">
      <alignment horizontal="center" vertical="center"/>
    </xf>
    <xf numFmtId="0" fontId="58" fillId="0" borderId="33" xfId="0" applyFont="1" applyBorder="1" applyAlignment="1">
      <alignment horizontal="center" vertical="center"/>
    </xf>
    <xf numFmtId="0" fontId="58" fillId="0" borderId="34" xfId="0" applyFont="1" applyBorder="1" applyAlignment="1">
      <alignment horizontal="center" vertical="center"/>
    </xf>
    <xf numFmtId="0" fontId="46" fillId="5" borderId="61" xfId="2" applyFont="1" applyFill="1" applyBorder="1" applyAlignment="1">
      <alignment horizontal="center" vertical="center" wrapText="1"/>
    </xf>
    <xf numFmtId="0" fontId="49" fillId="0" borderId="62" xfId="2" applyFont="1" applyBorder="1" applyAlignment="1">
      <alignment vertical="center"/>
    </xf>
    <xf numFmtId="0" fontId="49" fillId="0" borderId="66" xfId="2" applyFont="1" applyBorder="1" applyAlignment="1">
      <alignment vertical="center"/>
    </xf>
    <xf numFmtId="0" fontId="11" fillId="0" borderId="0" xfId="2" applyAlignment="1">
      <alignment vertical="center"/>
    </xf>
    <xf numFmtId="0" fontId="49" fillId="0" borderId="0" xfId="2" applyFont="1" applyAlignment="1">
      <alignment vertical="center"/>
    </xf>
    <xf numFmtId="0" fontId="49" fillId="0" borderId="70" xfId="2" applyFont="1" applyBorder="1" applyAlignment="1">
      <alignment vertical="center"/>
    </xf>
    <xf numFmtId="0" fontId="49" fillId="0" borderId="60" xfId="2" applyFont="1" applyBorder="1" applyAlignment="1">
      <alignment vertical="center"/>
    </xf>
    <xf numFmtId="177" fontId="9" fillId="0" borderId="63" xfId="2" applyNumberFormat="1" applyFont="1" applyBorder="1" applyAlignment="1">
      <alignment horizontal="center" vertical="center"/>
    </xf>
    <xf numFmtId="0" fontId="49" fillId="0" borderId="64" xfId="2" applyFont="1" applyBorder="1" applyAlignment="1">
      <alignment vertical="center"/>
    </xf>
    <xf numFmtId="0" fontId="49" fillId="0" borderId="65" xfId="2" applyFont="1" applyBorder="1" applyAlignment="1">
      <alignment vertical="center"/>
    </xf>
    <xf numFmtId="0" fontId="9" fillId="0" borderId="67" xfId="2" applyFont="1" applyBorder="1" applyAlignment="1">
      <alignment horizontal="center" vertical="center"/>
    </xf>
    <xf numFmtId="0" fontId="49" fillId="0" borderId="68" xfId="2" applyFont="1" applyBorder="1" applyAlignment="1">
      <alignment vertical="center"/>
    </xf>
    <xf numFmtId="0" fontId="49" fillId="0" borderId="69" xfId="2" applyFont="1" applyBorder="1" applyAlignment="1">
      <alignment vertical="center"/>
    </xf>
    <xf numFmtId="0" fontId="49" fillId="0" borderId="71" xfId="2" applyFont="1" applyBorder="1" applyAlignment="1">
      <alignment vertical="center"/>
    </xf>
    <xf numFmtId="0" fontId="49" fillId="0" borderId="72" xfId="2" applyFont="1" applyBorder="1" applyAlignment="1">
      <alignment vertical="center"/>
    </xf>
    <xf numFmtId="0" fontId="50" fillId="5" borderId="61" xfId="2" quotePrefix="1" applyFont="1" applyFill="1" applyBorder="1" applyAlignment="1">
      <alignment horizontal="center" vertical="center"/>
    </xf>
    <xf numFmtId="0" fontId="50" fillId="5" borderId="61" xfId="2" applyFont="1" applyFill="1" applyBorder="1" applyAlignment="1">
      <alignment horizontal="center" vertical="center"/>
    </xf>
    <xf numFmtId="0" fontId="50" fillId="5" borderId="73" xfId="2" applyFont="1" applyFill="1" applyBorder="1" applyAlignment="1">
      <alignment horizontal="center" vertical="center" wrapText="1"/>
    </xf>
    <xf numFmtId="0" fontId="49" fillId="0" borderId="80" xfId="2" applyFont="1" applyBorder="1" applyAlignment="1">
      <alignment vertical="center"/>
    </xf>
    <xf numFmtId="0" fontId="49" fillId="0" borderId="85" xfId="2" applyFont="1" applyBorder="1" applyAlignment="1">
      <alignment vertical="center"/>
    </xf>
    <xf numFmtId="0" fontId="50" fillId="5" borderId="74" xfId="2" applyFont="1" applyFill="1" applyBorder="1" applyAlignment="1">
      <alignment horizontal="center" vertical="center" wrapText="1"/>
    </xf>
    <xf numFmtId="0" fontId="49" fillId="0" borderId="81" xfId="2" applyFont="1" applyBorder="1" applyAlignment="1">
      <alignment vertical="center"/>
    </xf>
    <xf numFmtId="0" fontId="50" fillId="5" borderId="75" xfId="2" applyFont="1" applyFill="1" applyBorder="1" applyAlignment="1">
      <alignment horizontal="center" vertical="center" wrapText="1"/>
    </xf>
    <xf numFmtId="0" fontId="49" fillId="0" borderId="76" xfId="2" applyFont="1" applyBorder="1" applyAlignment="1">
      <alignment vertical="center"/>
    </xf>
    <xf numFmtId="0" fontId="9" fillId="0" borderId="77" xfId="2" applyFont="1" applyBorder="1" applyAlignment="1">
      <alignment horizontal="center" vertical="center" wrapText="1"/>
    </xf>
    <xf numFmtId="0" fontId="49" fillId="0" borderId="78" xfId="2" applyFont="1" applyBorder="1" applyAlignment="1">
      <alignment vertical="center"/>
    </xf>
    <xf numFmtId="0" fontId="49" fillId="0" borderId="79" xfId="2" applyFont="1" applyBorder="1" applyAlignment="1">
      <alignment vertical="center"/>
    </xf>
    <xf numFmtId="0" fontId="50" fillId="5" borderId="76" xfId="2" applyFont="1" applyFill="1" applyBorder="1" applyAlignment="1">
      <alignment horizontal="center" vertical="center" wrapText="1"/>
    </xf>
    <xf numFmtId="0" fontId="51" fillId="9" borderId="97" xfId="2" applyFont="1" applyFill="1" applyBorder="1" applyAlignment="1">
      <alignment horizontal="center" vertical="center"/>
    </xf>
    <xf numFmtId="0" fontId="49" fillId="0" borderId="98" xfId="2" applyFont="1" applyBorder="1" applyAlignment="1">
      <alignment vertical="center"/>
    </xf>
    <xf numFmtId="0" fontId="51" fillId="9" borderId="99" xfId="2" applyFont="1" applyFill="1" applyBorder="1" applyAlignment="1">
      <alignment horizontal="center" vertical="center"/>
    </xf>
    <xf numFmtId="0" fontId="49" fillId="0" borderId="100" xfId="2" applyFont="1" applyBorder="1" applyAlignment="1">
      <alignment vertical="center"/>
    </xf>
    <xf numFmtId="0" fontId="49" fillId="0" borderId="101" xfId="2" applyFont="1" applyBorder="1" applyAlignment="1">
      <alignment vertical="center"/>
    </xf>
    <xf numFmtId="0" fontId="9" fillId="10" borderId="102" xfId="2" applyFont="1" applyFill="1" applyBorder="1" applyAlignment="1">
      <alignment horizontal="center" vertical="center"/>
    </xf>
    <xf numFmtId="0" fontId="49" fillId="0" borderId="54" xfId="2" applyFont="1" applyBorder="1" applyAlignment="1">
      <alignment vertical="center"/>
    </xf>
    <xf numFmtId="0" fontId="9" fillId="0" borderId="89" xfId="2" applyFont="1" applyBorder="1" applyAlignment="1">
      <alignment horizontal="left" vertical="center" wrapText="1"/>
    </xf>
    <xf numFmtId="0" fontId="49" fillId="0" borderId="103" xfId="2" applyFont="1" applyBorder="1" applyAlignment="1">
      <alignment vertical="center"/>
    </xf>
    <xf numFmtId="0" fontId="51" fillId="9" borderId="108" xfId="2" applyFont="1" applyFill="1" applyBorder="1" applyAlignment="1">
      <alignment horizontal="center" vertical="center"/>
    </xf>
    <xf numFmtId="0" fontId="49" fillId="0" borderId="3" xfId="2" applyFont="1" applyBorder="1" applyAlignment="1">
      <alignment vertical="center"/>
    </xf>
    <xf numFmtId="0" fontId="9" fillId="0" borderId="88" xfId="2" applyFont="1" applyBorder="1" applyAlignment="1">
      <alignment vertical="center" wrapText="1"/>
    </xf>
    <xf numFmtId="0" fontId="49" fillId="0" borderId="109" xfId="2" applyFont="1" applyBorder="1" applyAlignment="1">
      <alignment vertical="center"/>
    </xf>
    <xf numFmtId="0" fontId="49" fillId="0" borderId="110" xfId="2" applyFont="1" applyBorder="1" applyAlignment="1">
      <alignment vertical="center"/>
    </xf>
    <xf numFmtId="0" fontId="51" fillId="9" borderId="104" xfId="2" applyFont="1" applyFill="1" applyBorder="1" applyAlignment="1">
      <alignment horizontal="center" vertical="center"/>
    </xf>
    <xf numFmtId="0" fontId="49" fillId="0" borderId="105" xfId="2" applyFont="1" applyBorder="1" applyAlignment="1">
      <alignment vertical="center"/>
    </xf>
    <xf numFmtId="0" fontId="9" fillId="0" borderId="95" xfId="2" applyFont="1" applyBorder="1" applyAlignment="1">
      <alignment vertical="center" wrapText="1"/>
    </xf>
    <xf numFmtId="0" fontId="49" fillId="0" borderId="106" xfId="2" applyFont="1" applyBorder="1" applyAlignment="1">
      <alignment vertical="center"/>
    </xf>
    <xf numFmtId="0" fontId="49" fillId="0" borderId="107" xfId="2" applyFont="1" applyBorder="1" applyAlignment="1">
      <alignment vertical="center"/>
    </xf>
    <xf numFmtId="0" fontId="9" fillId="10" borderId="104" xfId="2" applyFont="1" applyFill="1" applyBorder="1" applyAlignment="1">
      <alignment horizontal="center" vertical="center"/>
    </xf>
    <xf numFmtId="178" fontId="9" fillId="0" borderId="95" xfId="2" applyNumberFormat="1" applyFont="1" applyBorder="1" applyAlignment="1">
      <alignment horizontal="left" vertical="center" wrapText="1"/>
    </xf>
    <xf numFmtId="0" fontId="51" fillId="9" borderId="97" xfId="2" applyFont="1" applyFill="1" applyBorder="1" applyAlignment="1">
      <alignment horizontal="center" vertical="center" wrapText="1"/>
    </xf>
    <xf numFmtId="0" fontId="52" fillId="0" borderId="99" xfId="2" applyFont="1" applyBorder="1" applyAlignment="1">
      <alignment vertical="center" wrapText="1"/>
    </xf>
    <xf numFmtId="0" fontId="51" fillId="9" borderId="102" xfId="2" applyFont="1" applyFill="1" applyBorder="1" applyAlignment="1">
      <alignment horizontal="center" vertical="center"/>
    </xf>
    <xf numFmtId="0" fontId="57" fillId="0" borderId="60" xfId="3" applyFont="1" applyBorder="1" applyAlignment="1">
      <alignment vertical="center"/>
    </xf>
    <xf numFmtId="0" fontId="21" fillId="5" borderId="61" xfId="2" applyFont="1" applyFill="1" applyBorder="1" applyAlignment="1">
      <alignment horizontal="center" vertical="center" wrapText="1"/>
    </xf>
    <xf numFmtId="0" fontId="58" fillId="0" borderId="62" xfId="2" applyFont="1" applyBorder="1" applyAlignment="1">
      <alignment vertical="center"/>
    </xf>
    <xf numFmtId="0" fontId="58" fillId="0" borderId="66" xfId="2" applyFont="1" applyBorder="1" applyAlignment="1">
      <alignment vertical="center"/>
    </xf>
    <xf numFmtId="0" fontId="43" fillId="0" borderId="0" xfId="2" applyFont="1" applyAlignment="1">
      <alignment vertical="center"/>
    </xf>
    <xf numFmtId="0" fontId="58" fillId="0" borderId="0" xfId="2" applyFont="1" applyAlignment="1">
      <alignment vertical="center"/>
    </xf>
    <xf numFmtId="0" fontId="58" fillId="0" borderId="70" xfId="2" applyFont="1" applyBorder="1" applyAlignment="1">
      <alignment vertical="center"/>
    </xf>
    <xf numFmtId="0" fontId="58" fillId="0" borderId="60" xfId="2" applyFont="1" applyBorder="1" applyAlignment="1">
      <alignment vertical="center"/>
    </xf>
    <xf numFmtId="177" fontId="43" fillId="0" borderId="63" xfId="2" applyNumberFormat="1" applyFont="1" applyBorder="1" applyAlignment="1">
      <alignment horizontal="center" vertical="center"/>
    </xf>
    <xf numFmtId="0" fontId="58" fillId="0" borderId="64" xfId="2" applyFont="1" applyBorder="1" applyAlignment="1">
      <alignment vertical="center"/>
    </xf>
    <xf numFmtId="0" fontId="58" fillId="0" borderId="65" xfId="2" applyFont="1" applyBorder="1" applyAlignment="1">
      <alignment vertical="center"/>
    </xf>
    <xf numFmtId="0" fontId="43" fillId="0" borderId="67" xfId="2" applyFont="1" applyBorder="1" applyAlignment="1">
      <alignment horizontal="center" vertical="center"/>
    </xf>
    <xf numFmtId="0" fontId="58" fillId="0" borderId="68" xfId="2" applyFont="1" applyBorder="1" applyAlignment="1">
      <alignment vertical="center"/>
    </xf>
    <xf numFmtId="0" fontId="58" fillId="0" borderId="69" xfId="2" applyFont="1" applyBorder="1" applyAlignment="1">
      <alignment vertical="center"/>
    </xf>
    <xf numFmtId="0" fontId="58" fillId="0" borderId="71" xfId="2" applyFont="1" applyBorder="1" applyAlignment="1">
      <alignment vertical="center"/>
    </xf>
    <xf numFmtId="0" fontId="58" fillId="0" borderId="72" xfId="2" applyFont="1" applyBorder="1" applyAlignment="1">
      <alignment vertical="center"/>
    </xf>
    <xf numFmtId="0" fontId="21" fillId="5" borderId="61" xfId="2" quotePrefix="1" applyFont="1" applyFill="1" applyBorder="1" applyAlignment="1">
      <alignment horizontal="center" vertical="center"/>
    </xf>
    <xf numFmtId="0" fontId="21" fillId="5" borderId="61" xfId="2" applyFont="1" applyFill="1" applyBorder="1" applyAlignment="1">
      <alignment horizontal="center" vertical="center"/>
    </xf>
    <xf numFmtId="0" fontId="21" fillId="5" borderId="73" xfId="2" applyFont="1" applyFill="1" applyBorder="1" applyAlignment="1">
      <alignment horizontal="center" vertical="center" wrapText="1"/>
    </xf>
    <xf numFmtId="0" fontId="58" fillId="0" borderId="80" xfId="2" applyFont="1" applyBorder="1" applyAlignment="1">
      <alignment vertical="center"/>
    </xf>
    <xf numFmtId="0" fontId="58" fillId="0" borderId="85" xfId="2" applyFont="1" applyBorder="1" applyAlignment="1">
      <alignment vertical="center"/>
    </xf>
    <xf numFmtId="0" fontId="21" fillId="5" borderId="74" xfId="2" applyFont="1" applyFill="1" applyBorder="1" applyAlignment="1">
      <alignment horizontal="center" vertical="center" wrapText="1"/>
    </xf>
    <xf numFmtId="0" fontId="58" fillId="0" borderId="81" xfId="2" applyFont="1" applyBorder="1" applyAlignment="1">
      <alignment vertical="center"/>
    </xf>
    <xf numFmtId="0" fontId="21" fillId="5" borderId="75" xfId="2" applyFont="1" applyFill="1" applyBorder="1" applyAlignment="1">
      <alignment horizontal="center" vertical="center" wrapText="1"/>
    </xf>
    <xf numFmtId="0" fontId="58" fillId="0" borderId="76" xfId="2" applyFont="1" applyBorder="1" applyAlignment="1">
      <alignment vertical="center"/>
    </xf>
    <xf numFmtId="0" fontId="43" fillId="0" borderId="77" xfId="2" applyFont="1" applyBorder="1" applyAlignment="1">
      <alignment horizontal="center" vertical="center" wrapText="1"/>
    </xf>
    <xf numFmtId="0" fontId="58" fillId="0" borderId="78" xfId="2" applyFont="1" applyBorder="1" applyAlignment="1">
      <alignment vertical="center"/>
    </xf>
    <xf numFmtId="0" fontId="58" fillId="0" borderId="79" xfId="2" applyFont="1" applyBorder="1" applyAlignment="1">
      <alignment vertical="center"/>
    </xf>
    <xf numFmtId="0" fontId="21" fillId="5" borderId="76" xfId="2" applyFont="1" applyFill="1" applyBorder="1" applyAlignment="1">
      <alignment horizontal="center" vertical="center" wrapText="1"/>
    </xf>
    <xf numFmtId="0" fontId="59" fillId="9" borderId="97" xfId="2" applyFont="1" applyFill="1" applyBorder="1" applyAlignment="1">
      <alignment horizontal="center" vertical="center"/>
    </xf>
    <xf numFmtId="0" fontId="58" fillId="0" borderId="98" xfId="2" applyFont="1" applyBorder="1" applyAlignment="1">
      <alignment vertical="center"/>
    </xf>
    <xf numFmtId="0" fontId="59" fillId="9" borderId="99" xfId="2" applyFont="1" applyFill="1" applyBorder="1" applyAlignment="1">
      <alignment horizontal="center" vertical="center"/>
    </xf>
    <xf numFmtId="0" fontId="58" fillId="0" borderId="100" xfId="2" applyFont="1" applyBorder="1" applyAlignment="1">
      <alignment vertical="center"/>
    </xf>
    <xf numFmtId="0" fontId="58" fillId="0" borderId="101" xfId="2" applyFont="1" applyBorder="1" applyAlignment="1">
      <alignment vertical="center"/>
    </xf>
    <xf numFmtId="0" fontId="43" fillId="10" borderId="102" xfId="2" applyFont="1" applyFill="1" applyBorder="1" applyAlignment="1">
      <alignment horizontal="center" vertical="center"/>
    </xf>
    <xf numFmtId="0" fontId="58" fillId="0" borderId="54" xfId="2" applyFont="1" applyBorder="1" applyAlignment="1">
      <alignment vertical="center"/>
    </xf>
    <xf numFmtId="0" fontId="43" fillId="0" borderId="89" xfId="2" applyFont="1" applyBorder="1" applyAlignment="1">
      <alignment horizontal="left" vertical="center" wrapText="1"/>
    </xf>
    <xf numFmtId="0" fontId="58" fillId="0" borderId="103" xfId="2" applyFont="1" applyBorder="1" applyAlignment="1">
      <alignment vertical="center"/>
    </xf>
    <xf numFmtId="0" fontId="59" fillId="9" borderId="108" xfId="2" applyFont="1" applyFill="1" applyBorder="1" applyAlignment="1">
      <alignment horizontal="center" vertical="center"/>
    </xf>
    <xf numFmtId="0" fontId="58" fillId="0" borderId="3" xfId="2" applyFont="1" applyBorder="1" applyAlignment="1">
      <alignment vertical="center"/>
    </xf>
    <xf numFmtId="0" fontId="43" fillId="0" borderId="88" xfId="2" applyFont="1" applyBorder="1" applyAlignment="1">
      <alignment vertical="center" wrapText="1"/>
    </xf>
    <xf numFmtId="0" fontId="58" fillId="0" borderId="109" xfId="2" applyFont="1" applyBorder="1" applyAlignment="1">
      <alignment vertical="center"/>
    </xf>
    <xf numFmtId="0" fontId="58" fillId="0" borderId="110" xfId="2" applyFont="1" applyBorder="1" applyAlignment="1">
      <alignment vertical="center"/>
    </xf>
    <xf numFmtId="0" fontId="59" fillId="9" borderId="104" xfId="2" applyFont="1" applyFill="1" applyBorder="1" applyAlignment="1">
      <alignment horizontal="center" vertical="center"/>
    </xf>
    <xf numFmtId="0" fontId="58" fillId="0" borderId="105" xfId="2" applyFont="1" applyBorder="1" applyAlignment="1">
      <alignment vertical="center"/>
    </xf>
    <xf numFmtId="0" fontId="43" fillId="0" borderId="95" xfId="2" applyFont="1" applyBorder="1" applyAlignment="1">
      <alignment vertical="center" wrapText="1"/>
    </xf>
    <xf numFmtId="0" fontId="58" fillId="0" borderId="106" xfId="2" applyFont="1" applyBorder="1" applyAlignment="1">
      <alignment vertical="center"/>
    </xf>
    <xf numFmtId="0" fontId="58" fillId="0" borderId="107" xfId="2" applyFont="1" applyBorder="1" applyAlignment="1">
      <alignment vertical="center"/>
    </xf>
    <xf numFmtId="0" fontId="43" fillId="10" borderId="104" xfId="2" applyFont="1" applyFill="1" applyBorder="1" applyAlignment="1">
      <alignment horizontal="center" vertical="center"/>
    </xf>
    <xf numFmtId="178" fontId="43" fillId="0" borderId="95" xfId="2" applyNumberFormat="1" applyFont="1" applyBorder="1" applyAlignment="1">
      <alignment horizontal="left" vertical="center" wrapText="1"/>
    </xf>
    <xf numFmtId="0" fontId="59" fillId="9" borderId="97" xfId="2" applyFont="1" applyFill="1" applyBorder="1" applyAlignment="1">
      <alignment horizontal="center" vertical="center" wrapText="1"/>
    </xf>
    <xf numFmtId="0" fontId="43" fillId="0" borderId="99" xfId="2" applyFont="1" applyBorder="1" applyAlignment="1">
      <alignment vertical="center" wrapText="1"/>
    </xf>
    <xf numFmtId="0" fontId="59" fillId="9" borderId="102" xfId="2" applyFont="1" applyFill="1" applyBorder="1" applyAlignment="1">
      <alignment horizontal="center" vertical="center"/>
    </xf>
    <xf numFmtId="0" fontId="85" fillId="0" borderId="60" xfId="3" applyFont="1" applyBorder="1" applyAlignment="1">
      <alignment vertical="center"/>
    </xf>
    <xf numFmtId="0" fontId="16" fillId="5" borderId="61" xfId="2" applyFont="1" applyFill="1" applyBorder="1" applyAlignment="1">
      <alignment horizontal="center" vertical="center" wrapText="1"/>
    </xf>
    <xf numFmtId="0" fontId="23" fillId="0" borderId="62" xfId="2" applyFont="1" applyBorder="1" applyAlignment="1">
      <alignment vertical="center"/>
    </xf>
    <xf numFmtId="0" fontId="23" fillId="0" borderId="66" xfId="2" applyFont="1" applyBorder="1" applyAlignment="1">
      <alignment vertical="center"/>
    </xf>
    <xf numFmtId="0" fontId="24" fillId="0" borderId="0" xfId="2" applyFont="1" applyAlignment="1">
      <alignment vertical="center"/>
    </xf>
    <xf numFmtId="0" fontId="23" fillId="0" borderId="0" xfId="2" applyFont="1" applyAlignment="1">
      <alignment vertical="center"/>
    </xf>
    <xf numFmtId="0" fontId="23" fillId="0" borderId="70" xfId="2" applyFont="1" applyBorder="1" applyAlignment="1">
      <alignment vertical="center"/>
    </xf>
    <xf numFmtId="0" fontId="23" fillId="0" borderId="60" xfId="2" applyFont="1" applyBorder="1" applyAlignment="1">
      <alignment vertical="center"/>
    </xf>
    <xf numFmtId="177" fontId="24" fillId="0" borderId="63" xfId="2" applyNumberFormat="1" applyFont="1" applyBorder="1" applyAlignment="1">
      <alignment horizontal="center" vertical="center"/>
    </xf>
    <xf numFmtId="0" fontId="23" fillId="0" borderId="64" xfId="2" applyFont="1" applyBorder="1" applyAlignment="1">
      <alignment vertical="center"/>
    </xf>
    <xf numFmtId="0" fontId="23" fillId="0" borderId="65" xfId="2" applyFont="1" applyBorder="1" applyAlignment="1">
      <alignment vertical="center"/>
    </xf>
    <xf numFmtId="0" fontId="24" fillId="0" borderId="67" xfId="2" applyFont="1" applyBorder="1" applyAlignment="1">
      <alignment horizontal="center" vertical="center"/>
    </xf>
    <xf numFmtId="0" fontId="23" fillId="0" borderId="68" xfId="2" applyFont="1" applyBorder="1" applyAlignment="1">
      <alignment vertical="center"/>
    </xf>
    <xf numFmtId="0" fontId="23" fillId="0" borderId="69" xfId="2" applyFont="1" applyBorder="1" applyAlignment="1">
      <alignment vertical="center"/>
    </xf>
    <xf numFmtId="0" fontId="23" fillId="0" borderId="71" xfId="2" applyFont="1" applyBorder="1" applyAlignment="1">
      <alignment vertical="center"/>
    </xf>
    <xf numFmtId="0" fontId="23" fillId="0" borderId="72" xfId="2" applyFont="1" applyBorder="1" applyAlignment="1">
      <alignment vertical="center"/>
    </xf>
    <xf numFmtId="0" fontId="16" fillId="5" borderId="61" xfId="2" quotePrefix="1" applyFont="1" applyFill="1" applyBorder="1" applyAlignment="1">
      <alignment horizontal="center" vertical="center"/>
    </xf>
    <xf numFmtId="0" fontId="16" fillId="5" borderId="61" xfId="2" applyFont="1" applyFill="1" applyBorder="1" applyAlignment="1">
      <alignment horizontal="center" vertical="center"/>
    </xf>
    <xf numFmtId="0" fontId="16" fillId="5" borderId="73" xfId="2" applyFont="1" applyFill="1" applyBorder="1" applyAlignment="1">
      <alignment horizontal="center" vertical="center" wrapText="1"/>
    </xf>
    <xf numFmtId="0" fontId="23" fillId="0" borderId="80" xfId="2" applyFont="1" applyBorder="1" applyAlignment="1">
      <alignment vertical="center"/>
    </xf>
    <xf numFmtId="0" fontId="23" fillId="0" borderId="85" xfId="2" applyFont="1" applyBorder="1" applyAlignment="1">
      <alignment vertical="center"/>
    </xf>
    <xf numFmtId="0" fontId="16" fillId="5" borderId="74" xfId="2" applyFont="1" applyFill="1" applyBorder="1" applyAlignment="1">
      <alignment horizontal="center" vertical="center" wrapText="1"/>
    </xf>
    <xf numFmtId="0" fontId="23" fillId="0" borderId="81" xfId="2" applyFont="1" applyBorder="1" applyAlignment="1">
      <alignment vertical="center"/>
    </xf>
    <xf numFmtId="0" fontId="16" fillId="5" borderId="75" xfId="2" applyFont="1" applyFill="1" applyBorder="1" applyAlignment="1">
      <alignment horizontal="center" vertical="center" wrapText="1"/>
    </xf>
    <xf numFmtId="0" fontId="23" fillId="0" borderId="76" xfId="2" applyFont="1" applyBorder="1" applyAlignment="1">
      <alignment vertical="center"/>
    </xf>
    <xf numFmtId="0" fontId="24" fillId="0" borderId="77" xfId="2" applyFont="1" applyBorder="1" applyAlignment="1">
      <alignment horizontal="center" vertical="center" wrapText="1"/>
    </xf>
    <xf numFmtId="0" fontId="23" fillId="0" borderId="78" xfId="2" applyFont="1" applyBorder="1" applyAlignment="1">
      <alignment vertical="center"/>
    </xf>
    <xf numFmtId="0" fontId="23" fillId="0" borderId="79" xfId="2" applyFont="1" applyBorder="1" applyAlignment="1">
      <alignment vertical="center"/>
    </xf>
    <xf numFmtId="0" fontId="16" fillId="5" borderId="76" xfId="2" applyFont="1" applyFill="1" applyBorder="1" applyAlignment="1">
      <alignment horizontal="center" vertical="center" wrapText="1"/>
    </xf>
    <xf numFmtId="0" fontId="30" fillId="9" borderId="97" xfId="2" applyFont="1" applyFill="1" applyBorder="1" applyAlignment="1">
      <alignment horizontal="center" vertical="center"/>
    </xf>
    <xf numFmtId="0" fontId="23" fillId="0" borderId="98" xfId="2" applyFont="1" applyBorder="1" applyAlignment="1">
      <alignment vertical="center"/>
    </xf>
    <xf numFmtId="0" fontId="30" fillId="9" borderId="99" xfId="2" applyFont="1" applyFill="1" applyBorder="1" applyAlignment="1">
      <alignment horizontal="center" vertical="center"/>
    </xf>
    <xf numFmtId="0" fontId="23" fillId="0" borderId="100" xfId="2" applyFont="1" applyBorder="1" applyAlignment="1">
      <alignment vertical="center"/>
    </xf>
    <xf numFmtId="0" fontId="23" fillId="0" borderId="101" xfId="2" applyFont="1" applyBorder="1" applyAlignment="1">
      <alignment vertical="center"/>
    </xf>
    <xf numFmtId="0" fontId="24" fillId="10" borderId="102" xfId="2" applyFont="1" applyFill="1" applyBorder="1" applyAlignment="1">
      <alignment horizontal="center" vertical="center"/>
    </xf>
    <xf numFmtId="0" fontId="23" fillId="0" borderId="54" xfId="2" applyFont="1" applyBorder="1" applyAlignment="1">
      <alignment vertical="center"/>
    </xf>
    <xf numFmtId="0" fontId="24" fillId="0" borderId="89" xfId="2" applyFont="1" applyBorder="1" applyAlignment="1">
      <alignment horizontal="left" vertical="center" wrapText="1"/>
    </xf>
    <xf numFmtId="0" fontId="23" fillId="0" borderId="103" xfId="2" applyFont="1" applyBorder="1" applyAlignment="1">
      <alignment vertical="center"/>
    </xf>
    <xf numFmtId="0" fontId="30" fillId="9" borderId="108" xfId="2" applyFont="1" applyFill="1" applyBorder="1" applyAlignment="1">
      <alignment horizontal="center" vertical="center"/>
    </xf>
    <xf numFmtId="0" fontId="23" fillId="0" borderId="3" xfId="2" applyFont="1" applyBorder="1" applyAlignment="1">
      <alignment vertical="center"/>
    </xf>
    <xf numFmtId="0" fontId="24" fillId="0" borderId="88" xfId="2" applyFont="1" applyBorder="1" applyAlignment="1">
      <alignment vertical="center" wrapText="1"/>
    </xf>
    <xf numFmtId="0" fontId="23" fillId="0" borderId="109" xfId="2" applyFont="1" applyBorder="1" applyAlignment="1">
      <alignment vertical="center"/>
    </xf>
    <xf numFmtId="0" fontId="23" fillId="0" borderId="110" xfId="2" applyFont="1" applyBorder="1" applyAlignment="1">
      <alignment vertical="center"/>
    </xf>
    <xf numFmtId="0" fontId="30" fillId="9" borderId="104" xfId="2" applyFont="1" applyFill="1" applyBorder="1" applyAlignment="1">
      <alignment horizontal="center" vertical="center"/>
    </xf>
    <xf numFmtId="0" fontId="23" fillId="0" borderId="105" xfId="2" applyFont="1" applyBorder="1" applyAlignment="1">
      <alignment vertical="center"/>
    </xf>
    <xf numFmtId="0" fontId="24" fillId="0" borderId="95" xfId="2" applyFont="1" applyBorder="1" applyAlignment="1">
      <alignment vertical="center" wrapText="1"/>
    </xf>
    <xf numFmtId="0" fontId="23" fillId="0" borderId="106" xfId="2" applyFont="1" applyBorder="1" applyAlignment="1">
      <alignment vertical="center"/>
    </xf>
    <xf numFmtId="0" fontId="23" fillId="0" borderId="107" xfId="2" applyFont="1" applyBorder="1" applyAlignment="1">
      <alignment vertical="center"/>
    </xf>
    <xf numFmtId="0" fontId="24" fillId="10" borderId="104" xfId="2" applyFont="1" applyFill="1" applyBorder="1" applyAlignment="1">
      <alignment horizontal="center" vertical="center"/>
    </xf>
    <xf numFmtId="178" fontId="24" fillId="0" borderId="95" xfId="2" applyNumberFormat="1" applyFont="1" applyBorder="1" applyAlignment="1">
      <alignment horizontal="left" vertical="center" wrapText="1"/>
    </xf>
    <xf numFmtId="0" fontId="30" fillId="9" borderId="97" xfId="2" applyFont="1" applyFill="1" applyBorder="1" applyAlignment="1">
      <alignment horizontal="center" vertical="center" wrapText="1"/>
    </xf>
    <xf numFmtId="0" fontId="24" fillId="0" borderId="99" xfId="2" applyFont="1" applyBorder="1" applyAlignment="1">
      <alignment vertical="center" wrapText="1"/>
    </xf>
    <xf numFmtId="0" fontId="30" fillId="9" borderId="102" xfId="2" applyFont="1" applyFill="1" applyBorder="1" applyAlignment="1">
      <alignment horizontal="center" vertical="center"/>
    </xf>
    <xf numFmtId="0" fontId="93" fillId="0" borderId="60" xfId="3" applyFont="1" applyBorder="1" applyAlignment="1">
      <alignment vertical="center"/>
    </xf>
    <xf numFmtId="0" fontId="103" fillId="0" borderId="60" xfId="3" applyFont="1" applyBorder="1" applyAlignment="1">
      <alignment vertical="center"/>
    </xf>
    <xf numFmtId="0" fontId="24" fillId="4" borderId="126" xfId="2" applyFont="1" applyFill="1" applyBorder="1" applyAlignment="1">
      <alignment horizontal="center" vertical="center"/>
    </xf>
    <xf numFmtId="0" fontId="24" fillId="4" borderId="39" xfId="2" applyFont="1" applyFill="1" applyBorder="1" applyAlignment="1">
      <alignment horizontal="center" vertical="center"/>
    </xf>
    <xf numFmtId="0" fontId="45" fillId="0" borderId="60" xfId="3" applyBorder="1" applyAlignment="1">
      <alignment vertical="center"/>
    </xf>
    <xf numFmtId="0" fontId="3" fillId="25" borderId="144" xfId="0" applyFont="1" applyFill="1" applyBorder="1" applyAlignment="1">
      <alignment horizontal="center" vertical="center" wrapText="1" readingOrder="1"/>
    </xf>
    <xf numFmtId="0" fontId="3" fillId="25" borderId="44" xfId="0" applyFont="1" applyFill="1" applyBorder="1" applyAlignment="1">
      <alignment horizontal="center" vertical="center" wrapText="1" readingOrder="1"/>
    </xf>
  </cellXfs>
  <cellStyles count="47">
    <cellStyle name="Hyperlink" xfId="46" xr:uid="{00000000-000B-0000-0000-000008000000}"/>
    <cellStyle name="SAPBorder" xfId="27" xr:uid="{D4C49FFD-5482-4295-8541-F6E424F988F8}"/>
    <cellStyle name="SAPDataCell" xfId="8" xr:uid="{4555837D-2822-4CB4-A32B-E49B1B7AB1F3}"/>
    <cellStyle name="SAPDataRemoved" xfId="28" xr:uid="{F637A52B-FC20-421F-80BC-0C34DE1B8009}"/>
    <cellStyle name="SAPDataTotalCell" xfId="10" xr:uid="{78ED7D8B-B626-480F-A1FC-97F5D35DD880}"/>
    <cellStyle name="SAPDimensionCell" xfId="9" xr:uid="{37BDB2E4-E246-42DA-9D34-22C0AB6A58EB}"/>
    <cellStyle name="SAPEditableDataCell" xfId="12" xr:uid="{ADE2AA02-27C6-41C8-9CC2-CB8BFB0C3A45}"/>
    <cellStyle name="SAPEditableDataTotalCell" xfId="15" xr:uid="{18D611DB-D631-44D2-96EC-C0E1FD9F5161}"/>
    <cellStyle name="SAPEmphasized" xfId="37" xr:uid="{218C6B64-5B5F-46E8-BD6D-C3F7B2CAAAB6}"/>
    <cellStyle name="SAPEmphasizedEditableDataCell" xfId="39" xr:uid="{6F059CE4-FE6A-47EB-A8D5-CCA017784FCE}"/>
    <cellStyle name="SAPEmphasizedEditableDataTotalCell" xfId="40" xr:uid="{67CF0363-CD6D-4E9D-BCE0-E5A3EA66731C}"/>
    <cellStyle name="SAPEmphasizedLockedDataCell" xfId="43" xr:uid="{19B4355C-F910-48E8-B96F-AEA677CFB7B5}"/>
    <cellStyle name="SAPEmphasizedLockedDataTotalCell" xfId="44" xr:uid="{B4176F0B-A96C-411F-AA2A-68B9571ACCE9}"/>
    <cellStyle name="SAPEmphasizedReadonlyDataCell" xfId="41" xr:uid="{E1B4AC08-3812-4DD5-ABAC-AF4A35867913}"/>
    <cellStyle name="SAPEmphasizedReadonlyDataTotalCell" xfId="42" xr:uid="{4FAD40DD-E953-4FE5-B562-55383D98BF42}"/>
    <cellStyle name="SAPEmphasizedTotal" xfId="38" xr:uid="{8A0AB522-5C3F-4408-9DC0-A3ABB866E30F}"/>
    <cellStyle name="SAPError" xfId="29" xr:uid="{10F78A33-A0BA-4DA7-A9EE-01C503CAC4A7}"/>
    <cellStyle name="SAPExceptionLevel1" xfId="18" xr:uid="{BA6C73AA-4606-4F9B-8175-B5CC36B12F47}"/>
    <cellStyle name="SAPExceptionLevel2" xfId="19" xr:uid="{6A9F069E-879B-4A96-90A7-52422FD6FB44}"/>
    <cellStyle name="SAPExceptionLevel3" xfId="20" xr:uid="{7C6A11B5-2390-4B53-9F9A-080CE030CC5D}"/>
    <cellStyle name="SAPExceptionLevel4" xfId="21" xr:uid="{D52EA6B4-529B-489E-BD62-4FE77BDCF3D4}"/>
    <cellStyle name="SAPExceptionLevel5" xfId="22" xr:uid="{E665694A-442B-491A-AFEE-0736F0A0AA3A}"/>
    <cellStyle name="SAPExceptionLevel6" xfId="23" xr:uid="{3409FE2C-E621-4E2A-A2B9-14063EFFE70F}"/>
    <cellStyle name="SAPExceptionLevel7" xfId="24" xr:uid="{5237A131-4F35-405F-80E0-6B73C2105D4C}"/>
    <cellStyle name="SAPExceptionLevel8" xfId="25" xr:uid="{4961775A-1284-4BED-94B7-56B569DB8B2C}"/>
    <cellStyle name="SAPExceptionLevel9" xfId="26" xr:uid="{A89EEC78-EA8E-433A-BE5E-0901F440DDA9}"/>
    <cellStyle name="SAPFormula" xfId="45" xr:uid="{B5D8AD2A-4EB4-4F0A-B197-B7483EF09E50}"/>
    <cellStyle name="SAPGroupingFillCell" xfId="11" xr:uid="{FA1AF548-8120-48A0-B637-B324121132D1}"/>
    <cellStyle name="SAPHierarchyCell0" xfId="32" xr:uid="{7875CE22-39DE-4F10-84DA-90EE79FC238E}"/>
    <cellStyle name="SAPHierarchyCell1" xfId="33" xr:uid="{C05C7C21-53BA-4A39-B569-E4ABC2746EFE}"/>
    <cellStyle name="SAPHierarchyCell2" xfId="34" xr:uid="{C8FD5D92-7FF2-4BAA-B1A5-E526B71FFDB5}"/>
    <cellStyle name="SAPHierarchyCell3" xfId="35" xr:uid="{7ECD4B11-B2B9-4AA7-A1D9-61DAD8B5202E}"/>
    <cellStyle name="SAPHierarchyCell4" xfId="36" xr:uid="{E517FB1D-7F4B-44C6-AE2A-2C24BCDA01F3}"/>
    <cellStyle name="SAPLockedDataCell" xfId="14" xr:uid="{4E13FF69-E352-4463-88D0-7F83794006F5}"/>
    <cellStyle name="SAPLockedDataTotalCell" xfId="17" xr:uid="{76241015-B297-420A-BC46-EC938F1C2C0E}"/>
    <cellStyle name="SAPMemberCell" xfId="7" xr:uid="{2B72AC7D-B158-4A56-A959-C15A6842D0DC}"/>
    <cellStyle name="SAPMemberTotalCell" xfId="31" xr:uid="{84EA09CB-42A2-4CEE-A56A-EBBF6FC16400}"/>
    <cellStyle name="SAPMessageText" xfId="30" xr:uid="{865247C1-703B-4F0F-B5CD-749496FB44B2}"/>
    <cellStyle name="SAPReadonlyDataCell" xfId="13" xr:uid="{584BE2DF-DBD4-4B0B-A3E7-FBBA77FF5A29}"/>
    <cellStyle name="SAPReadonlyDataTotalCell" xfId="16" xr:uid="{F58309AC-B70A-44A6-BDDF-79086118BD01}"/>
    <cellStyle name="표준" xfId="0" builtinId="0"/>
    <cellStyle name="표준 2" xfId="4" xr:uid="{B8EE91DD-06AF-4555-8AAA-E3114366E2A6}"/>
    <cellStyle name="표준 3" xfId="2" xr:uid="{C760E06C-8936-41D0-BFFE-02CE7B8FF583}"/>
    <cellStyle name="표준 4" xfId="5" xr:uid="{F04D3206-DA5F-499D-B22B-181490DCD399}"/>
    <cellStyle name="표준 5" xfId="6" xr:uid="{456E30D4-AE96-4E6B-BF4B-4DB8192DAB00}"/>
    <cellStyle name="하이퍼링크" xfId="1" builtinId="8"/>
    <cellStyle name="하이퍼링크 2" xfId="3" xr:uid="{403AD34B-99E4-4BB2-94BE-1823E9F636A8}"/>
  </cellStyles>
  <dxfs count="0"/>
  <tableStyles count="1" defaultTableStyle="TableStyleMedium2" defaultPivotStyle="PivotStyleLight16">
    <tableStyle name="Invisible" pivot="0" table="0" count="0" xr9:uid="{480ED6F0-8C96-4A03-B48F-CF60475913E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theme" Target="theme/theme1.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ustomXml" Target="../customXml/item1.xml"/><Relationship Id="rId8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20</xdr:col>
      <xdr:colOff>310714</xdr:colOff>
      <xdr:row>2</xdr:row>
      <xdr:rowOff>150633</xdr:rowOff>
    </xdr:from>
    <xdr:to>
      <xdr:col>27</xdr:col>
      <xdr:colOff>97299</xdr:colOff>
      <xdr:row>41</xdr:row>
      <xdr:rowOff>58993</xdr:rowOff>
    </xdr:to>
    <xdr:pic>
      <xdr:nvPicPr>
        <xdr:cNvPr id="3" name="그림 2">
          <a:extLst>
            <a:ext uri="{FF2B5EF4-FFF2-40B4-BE49-F238E27FC236}">
              <a16:creationId xmlns:a16="http://schemas.microsoft.com/office/drawing/2014/main" id="{4C12C1E2-51F5-F32F-3795-CBDDCE4F73A1}"/>
            </a:ext>
          </a:extLst>
        </xdr:cNvPr>
        <xdr:cNvPicPr>
          <a:picLocks noChangeAspect="1"/>
        </xdr:cNvPicPr>
      </xdr:nvPicPr>
      <xdr:blipFill>
        <a:blip xmlns:r="http://schemas.openxmlformats.org/officeDocument/2006/relationships" r:embed="rId1"/>
        <a:stretch>
          <a:fillRect/>
        </a:stretch>
      </xdr:blipFill>
      <xdr:spPr>
        <a:xfrm>
          <a:off x="16207939" y="579258"/>
          <a:ext cx="6523617" cy="7055920"/>
        </a:xfrm>
        <a:prstGeom prst="rect">
          <a:avLst/>
        </a:prstGeom>
        <a:ln>
          <a:solidFill>
            <a:schemeClr val="accent1"/>
          </a:solidFill>
        </a:ln>
      </xdr:spPr>
    </xdr:pic>
    <xdr:clientData/>
  </xdr:twoCellAnchor>
  <xdr:oneCellAnchor>
    <xdr:from>
      <xdr:col>6</xdr:col>
      <xdr:colOff>1159921</xdr:colOff>
      <xdr:row>39</xdr:row>
      <xdr:rowOff>65106</xdr:rowOff>
    </xdr:from>
    <xdr:ext cx="2540824" cy="1067985"/>
    <xdr:sp macro="" textlink="">
      <xdr:nvSpPr>
        <xdr:cNvPr id="4" name="TextBox 3">
          <a:extLst>
            <a:ext uri="{FF2B5EF4-FFF2-40B4-BE49-F238E27FC236}">
              <a16:creationId xmlns:a16="http://schemas.microsoft.com/office/drawing/2014/main" id="{9AE2B366-14B7-6BC1-DE2C-78B01357DF78}"/>
            </a:ext>
          </a:extLst>
        </xdr:cNvPr>
        <xdr:cNvSpPr txBox="1"/>
      </xdr:nvSpPr>
      <xdr:spPr>
        <a:xfrm>
          <a:off x="3961392" y="7236871"/>
          <a:ext cx="2540824" cy="106798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100"/>
            <a:t>① </a:t>
          </a:r>
          <a:endParaRPr lang="en-US" altLang="ko-KR" sz="1100"/>
        </a:p>
        <a:p>
          <a:r>
            <a:rPr lang="en-US" altLang="ko-KR" sz="1100"/>
            <a:t>I/F </a:t>
          </a:r>
          <a:r>
            <a:rPr lang="ko-KR" altLang="en-US" sz="1100"/>
            <a:t>작업</a:t>
          </a:r>
          <a:r>
            <a:rPr lang="en-US" altLang="ko-KR" sz="1100"/>
            <a:t>1</a:t>
          </a:r>
          <a:r>
            <a:rPr lang="ko-KR" altLang="en-US" sz="1100"/>
            <a:t>차는 </a:t>
          </a:r>
          <a:r>
            <a:rPr lang="en-US" altLang="ko-KR" sz="1100"/>
            <a:t>ASIS </a:t>
          </a:r>
          <a:r>
            <a:rPr lang="ko-KR" altLang="en-US" sz="1100"/>
            <a:t>기준으로 </a:t>
          </a:r>
          <a:r>
            <a:rPr lang="en-US" altLang="ko-KR" sz="1100"/>
            <a:t>I/F </a:t>
          </a:r>
          <a:r>
            <a:rPr lang="ko-KR" altLang="en-US" sz="1100"/>
            <a:t>작업 후 </a:t>
          </a:r>
          <a:endParaRPr lang="en-US" altLang="ko-KR" sz="1100"/>
        </a:p>
        <a:p>
          <a:r>
            <a:rPr lang="ko-KR" altLang="en-US" sz="1100"/>
            <a:t>추가칼럼은 추후에 추가</a:t>
          </a:r>
          <a:endParaRPr lang="en-US" altLang="ko-KR" sz="1100"/>
        </a:p>
        <a:p>
          <a:r>
            <a:rPr lang="ko-KR" altLang="en-US" sz="1100"/>
            <a:t>수신측 테이블에 칼럼만 추가</a:t>
          </a:r>
        </a:p>
      </xdr:txBody>
    </xdr:sp>
    <xdr:clientData/>
  </xdr:oneCellAnchor>
  <xdr:twoCellAnchor>
    <xdr:from>
      <xdr:col>6</xdr:col>
      <xdr:colOff>185632</xdr:colOff>
      <xdr:row>85</xdr:row>
      <xdr:rowOff>166369</xdr:rowOff>
    </xdr:from>
    <xdr:to>
      <xdr:col>6</xdr:col>
      <xdr:colOff>1836632</xdr:colOff>
      <xdr:row>88</xdr:row>
      <xdr:rowOff>161712</xdr:rowOff>
    </xdr:to>
    <xdr:sp macro="" textlink="">
      <xdr:nvSpPr>
        <xdr:cNvPr id="5" name="직사각형 4">
          <a:extLst>
            <a:ext uri="{FF2B5EF4-FFF2-40B4-BE49-F238E27FC236}">
              <a16:creationId xmlns:a16="http://schemas.microsoft.com/office/drawing/2014/main" id="{7111B2F6-E010-7047-35AD-B63D27CFB99E}"/>
            </a:ext>
          </a:extLst>
        </xdr:cNvPr>
        <xdr:cNvSpPr/>
      </xdr:nvSpPr>
      <xdr:spPr>
        <a:xfrm>
          <a:off x="2990215" y="18708369"/>
          <a:ext cx="1651000" cy="56684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900">
              <a:solidFill>
                <a:sysClr val="windowText" lastClr="000000"/>
              </a:solidFill>
              <a:latin typeface="+mn-ea"/>
              <a:ea typeface="+mn-ea"/>
            </a:rPr>
            <a:t>자재마스터 </a:t>
          </a:r>
          <a:r>
            <a:rPr lang="en-US" altLang="ko-KR" sz="900">
              <a:solidFill>
                <a:sysClr val="windowText" lastClr="000000"/>
              </a:solidFill>
              <a:latin typeface="+mn-ea"/>
              <a:ea typeface="+mn-ea"/>
            </a:rPr>
            <a:t>CP</a:t>
          </a:r>
        </a:p>
        <a:p>
          <a:pPr algn="ctr"/>
          <a:r>
            <a:rPr lang="en-US" altLang="ko-KR" sz="900">
              <a:solidFill>
                <a:sysClr val="windowText" lastClr="000000"/>
              </a:solidFill>
              <a:latin typeface="+mn-ea"/>
              <a:ea typeface="+mn-ea"/>
            </a:rPr>
            <a:t>(ALIFCI_MTRL_MSTR_CP)</a:t>
          </a:r>
          <a:endParaRPr lang="ko-KR" altLang="en-US" sz="900">
            <a:solidFill>
              <a:sysClr val="windowText" lastClr="000000"/>
            </a:solidFill>
            <a:latin typeface="+mn-ea"/>
            <a:ea typeface="+mn-ea"/>
          </a:endParaRPr>
        </a:p>
      </xdr:txBody>
    </xdr:sp>
    <xdr:clientData/>
  </xdr:twoCellAnchor>
  <xdr:twoCellAnchor>
    <xdr:from>
      <xdr:col>6</xdr:col>
      <xdr:colOff>196216</xdr:colOff>
      <xdr:row>90</xdr:row>
      <xdr:rowOff>141392</xdr:rowOff>
    </xdr:from>
    <xdr:to>
      <xdr:col>6</xdr:col>
      <xdr:colOff>1840760</xdr:colOff>
      <xdr:row>93</xdr:row>
      <xdr:rowOff>140545</xdr:rowOff>
    </xdr:to>
    <xdr:sp macro="" textlink="">
      <xdr:nvSpPr>
        <xdr:cNvPr id="6" name="직사각형 5">
          <a:extLst>
            <a:ext uri="{FF2B5EF4-FFF2-40B4-BE49-F238E27FC236}">
              <a16:creationId xmlns:a16="http://schemas.microsoft.com/office/drawing/2014/main" id="{230BAB1C-3D90-444E-BAFB-DD5E836FEA15}"/>
            </a:ext>
          </a:extLst>
        </xdr:cNvPr>
        <xdr:cNvSpPr/>
      </xdr:nvSpPr>
      <xdr:spPr>
        <a:xfrm>
          <a:off x="3000799" y="19635892"/>
          <a:ext cx="1644544" cy="5706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900">
              <a:solidFill>
                <a:sysClr val="windowText" lastClr="000000"/>
              </a:solidFill>
              <a:latin typeface="+mn-ea"/>
              <a:ea typeface="+mn-ea"/>
            </a:rPr>
            <a:t>자재마스터 </a:t>
          </a:r>
          <a:r>
            <a:rPr lang="en-US" altLang="ko-KR" sz="900">
              <a:solidFill>
                <a:sysClr val="windowText" lastClr="000000"/>
              </a:solidFill>
              <a:latin typeface="+mn-ea"/>
              <a:ea typeface="+mn-ea"/>
            </a:rPr>
            <a:t>SP</a:t>
          </a:r>
        </a:p>
        <a:p>
          <a:pPr algn="ctr"/>
          <a:r>
            <a:rPr lang="en-US" altLang="ko-KR" sz="900">
              <a:solidFill>
                <a:sysClr val="windowText" lastClr="000000"/>
              </a:solidFill>
              <a:latin typeface="+mn-ea"/>
              <a:ea typeface="+mn-ea"/>
            </a:rPr>
            <a:t>(ALIFCI_MTRL_MSTR_CP)</a:t>
          </a:r>
          <a:endParaRPr lang="ko-KR" altLang="en-US" sz="900">
            <a:solidFill>
              <a:sysClr val="windowText" lastClr="000000"/>
            </a:solidFill>
            <a:latin typeface="+mn-ea"/>
            <a:ea typeface="+mn-ea"/>
          </a:endParaRPr>
        </a:p>
      </xdr:txBody>
    </xdr:sp>
    <xdr:clientData/>
  </xdr:twoCellAnchor>
  <xdr:twoCellAnchor>
    <xdr:from>
      <xdr:col>7</xdr:col>
      <xdr:colOff>903393</xdr:colOff>
      <xdr:row>79</xdr:row>
      <xdr:rowOff>74930</xdr:rowOff>
    </xdr:from>
    <xdr:to>
      <xdr:col>9</xdr:col>
      <xdr:colOff>244263</xdr:colOff>
      <xdr:row>82</xdr:row>
      <xdr:rowOff>58843</xdr:rowOff>
    </xdr:to>
    <xdr:sp macro="" textlink="">
      <xdr:nvSpPr>
        <xdr:cNvPr id="7" name="직사각형 6">
          <a:extLst>
            <a:ext uri="{FF2B5EF4-FFF2-40B4-BE49-F238E27FC236}">
              <a16:creationId xmlns:a16="http://schemas.microsoft.com/office/drawing/2014/main" id="{DC53ABCE-15ED-4FFB-8542-573C3A24C2FE}"/>
            </a:ext>
          </a:extLst>
        </xdr:cNvPr>
        <xdr:cNvSpPr/>
      </xdr:nvSpPr>
      <xdr:spPr>
        <a:xfrm>
          <a:off x="5581226" y="17473930"/>
          <a:ext cx="1658620" cy="555413"/>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900">
              <a:solidFill>
                <a:sysClr val="windowText" lastClr="000000"/>
              </a:solidFill>
              <a:latin typeface="+mn-ea"/>
              <a:ea typeface="+mn-ea"/>
            </a:rPr>
            <a:t>자재마스터</a:t>
          </a:r>
          <a:r>
            <a:rPr lang="en-US" altLang="ko-KR" sz="900">
              <a:solidFill>
                <a:sysClr val="windowText" lastClr="000000"/>
              </a:solidFill>
              <a:latin typeface="+mn-ea"/>
              <a:ea typeface="+mn-ea"/>
            </a:rPr>
            <a:t>(</a:t>
          </a:r>
          <a:r>
            <a:rPr lang="ko-KR" altLang="en-US" sz="900">
              <a:solidFill>
                <a:sysClr val="windowText" lastClr="000000"/>
              </a:solidFill>
              <a:latin typeface="+mn-ea"/>
              <a:ea typeface="+mn-ea"/>
            </a:rPr>
            <a:t>공통</a:t>
          </a:r>
          <a:r>
            <a:rPr lang="en-US" altLang="ko-KR" sz="900">
              <a:solidFill>
                <a:sysClr val="windowText" lastClr="000000"/>
              </a:solidFill>
              <a:latin typeface="+mn-ea"/>
              <a:ea typeface="+mn-ea"/>
            </a:rPr>
            <a:t>)</a:t>
          </a:r>
        </a:p>
        <a:p>
          <a:pPr algn="ctr"/>
          <a:r>
            <a:rPr lang="en-US" altLang="ko-KR" sz="900">
              <a:solidFill>
                <a:sysClr val="windowText" lastClr="000000"/>
              </a:solidFill>
              <a:latin typeface="+mn-ea"/>
              <a:ea typeface="+mn-ea"/>
            </a:rPr>
            <a:t>(ALCDCM_MTRL_MSTR)</a:t>
          </a:r>
          <a:endParaRPr lang="ko-KR" altLang="en-US" sz="900">
            <a:solidFill>
              <a:sysClr val="windowText" lastClr="000000"/>
            </a:solidFill>
            <a:latin typeface="+mn-ea"/>
            <a:ea typeface="+mn-ea"/>
          </a:endParaRPr>
        </a:p>
      </xdr:txBody>
    </xdr:sp>
    <xdr:clientData/>
  </xdr:twoCellAnchor>
  <xdr:twoCellAnchor>
    <xdr:from>
      <xdr:col>9</xdr:col>
      <xdr:colOff>1096858</xdr:colOff>
      <xdr:row>85</xdr:row>
      <xdr:rowOff>151973</xdr:rowOff>
    </xdr:from>
    <xdr:to>
      <xdr:col>13</xdr:col>
      <xdr:colOff>244264</xdr:colOff>
      <xdr:row>88</xdr:row>
      <xdr:rowOff>132076</xdr:rowOff>
    </xdr:to>
    <xdr:sp macro="" textlink="">
      <xdr:nvSpPr>
        <xdr:cNvPr id="8" name="직사각형 7">
          <a:extLst>
            <a:ext uri="{FF2B5EF4-FFF2-40B4-BE49-F238E27FC236}">
              <a16:creationId xmlns:a16="http://schemas.microsoft.com/office/drawing/2014/main" id="{78ED2736-0A6C-4A8A-8425-8FF19D86E24C}"/>
            </a:ext>
          </a:extLst>
        </xdr:cNvPr>
        <xdr:cNvSpPr/>
      </xdr:nvSpPr>
      <xdr:spPr>
        <a:xfrm>
          <a:off x="8092441" y="18693973"/>
          <a:ext cx="1666240" cy="551603"/>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900">
              <a:solidFill>
                <a:sysClr val="windowText" lastClr="000000"/>
              </a:solidFill>
              <a:latin typeface="+mn-ea"/>
              <a:ea typeface="+mn-ea"/>
            </a:rPr>
            <a:t>자재마스터 </a:t>
          </a:r>
          <a:r>
            <a:rPr lang="en-US" altLang="ko-KR" sz="900">
              <a:solidFill>
                <a:sysClr val="windowText" lastClr="000000"/>
              </a:solidFill>
              <a:latin typeface="+mn-ea"/>
              <a:ea typeface="+mn-ea"/>
            </a:rPr>
            <a:t>CP</a:t>
          </a:r>
        </a:p>
        <a:p>
          <a:pPr algn="ctr"/>
          <a:r>
            <a:rPr lang="en-US" altLang="ko-KR" sz="900">
              <a:solidFill>
                <a:sysClr val="windowText" lastClr="000000"/>
              </a:solidFill>
              <a:latin typeface="+mn-ea"/>
              <a:ea typeface="+mn-ea"/>
            </a:rPr>
            <a:t>(ALCDCM_MTRL_MSTR_CP)</a:t>
          </a:r>
          <a:endParaRPr lang="ko-KR" altLang="en-US" sz="900">
            <a:solidFill>
              <a:sysClr val="windowText" lastClr="000000"/>
            </a:solidFill>
            <a:latin typeface="+mn-ea"/>
            <a:ea typeface="+mn-ea"/>
          </a:endParaRPr>
        </a:p>
      </xdr:txBody>
    </xdr:sp>
    <xdr:clientData/>
  </xdr:twoCellAnchor>
  <xdr:twoCellAnchor>
    <xdr:from>
      <xdr:col>9</xdr:col>
      <xdr:colOff>1122682</xdr:colOff>
      <xdr:row>90</xdr:row>
      <xdr:rowOff>113661</xdr:rowOff>
    </xdr:from>
    <xdr:to>
      <xdr:col>13</xdr:col>
      <xdr:colOff>280777</xdr:colOff>
      <xdr:row>93</xdr:row>
      <xdr:rowOff>129959</xdr:rowOff>
    </xdr:to>
    <xdr:sp macro="" textlink="">
      <xdr:nvSpPr>
        <xdr:cNvPr id="9" name="직사각형 8">
          <a:extLst>
            <a:ext uri="{FF2B5EF4-FFF2-40B4-BE49-F238E27FC236}">
              <a16:creationId xmlns:a16="http://schemas.microsoft.com/office/drawing/2014/main" id="{0D335E9C-8698-48DF-9C28-CDB91E2B9B64}"/>
            </a:ext>
          </a:extLst>
        </xdr:cNvPr>
        <xdr:cNvSpPr/>
      </xdr:nvSpPr>
      <xdr:spPr>
        <a:xfrm>
          <a:off x="8118265" y="19608161"/>
          <a:ext cx="1676929" cy="587798"/>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900">
              <a:solidFill>
                <a:sysClr val="windowText" lastClr="000000"/>
              </a:solidFill>
              <a:latin typeface="+mn-ea"/>
              <a:ea typeface="+mn-ea"/>
            </a:rPr>
            <a:t>자재마스터 </a:t>
          </a:r>
          <a:r>
            <a:rPr lang="en-US" altLang="ko-KR" sz="900">
              <a:solidFill>
                <a:sysClr val="windowText" lastClr="000000"/>
              </a:solidFill>
              <a:latin typeface="+mn-ea"/>
              <a:ea typeface="+mn-ea"/>
            </a:rPr>
            <a:t>SP</a:t>
          </a:r>
        </a:p>
        <a:p>
          <a:pPr algn="ctr"/>
          <a:r>
            <a:rPr lang="en-US" altLang="ko-KR" sz="900">
              <a:solidFill>
                <a:sysClr val="windowText" lastClr="000000"/>
              </a:solidFill>
              <a:latin typeface="+mn-ea"/>
              <a:ea typeface="+mn-ea"/>
            </a:rPr>
            <a:t>(ALCDCM_MTRL_MSTR_SP)</a:t>
          </a:r>
          <a:endParaRPr lang="ko-KR" altLang="en-US" sz="900">
            <a:solidFill>
              <a:sysClr val="windowText" lastClr="000000"/>
            </a:solidFill>
            <a:latin typeface="+mn-ea"/>
            <a:ea typeface="+mn-ea"/>
          </a:endParaRPr>
        </a:p>
      </xdr:txBody>
    </xdr:sp>
    <xdr:clientData/>
  </xdr:twoCellAnchor>
  <xdr:twoCellAnchor>
    <xdr:from>
      <xdr:col>6</xdr:col>
      <xdr:colOff>1838537</xdr:colOff>
      <xdr:row>87</xdr:row>
      <xdr:rowOff>48680</xdr:rowOff>
    </xdr:from>
    <xdr:to>
      <xdr:col>9</xdr:col>
      <xdr:colOff>1094953</xdr:colOff>
      <xdr:row>87</xdr:row>
      <xdr:rowOff>71648</xdr:rowOff>
    </xdr:to>
    <xdr:cxnSp macro="">
      <xdr:nvCxnSpPr>
        <xdr:cNvPr id="11" name="직선 화살표 연결선 10">
          <a:extLst>
            <a:ext uri="{FF2B5EF4-FFF2-40B4-BE49-F238E27FC236}">
              <a16:creationId xmlns:a16="http://schemas.microsoft.com/office/drawing/2014/main" id="{49893C0D-6FCD-EED8-AE4B-DD1F942A3312}"/>
            </a:ext>
          </a:extLst>
        </xdr:cNvPr>
        <xdr:cNvCxnSpPr>
          <a:stCxn id="5" idx="3"/>
          <a:endCxn id="8" idx="1"/>
        </xdr:cNvCxnSpPr>
      </xdr:nvCxnSpPr>
      <xdr:spPr>
        <a:xfrm flipV="1">
          <a:off x="4643120" y="18971680"/>
          <a:ext cx="3447416" cy="2296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1844570</xdr:colOff>
      <xdr:row>92</xdr:row>
      <xdr:rowOff>28465</xdr:rowOff>
    </xdr:from>
    <xdr:to>
      <xdr:col>9</xdr:col>
      <xdr:colOff>1126492</xdr:colOff>
      <xdr:row>92</xdr:row>
      <xdr:rowOff>42861</xdr:rowOff>
    </xdr:to>
    <xdr:cxnSp macro="">
      <xdr:nvCxnSpPr>
        <xdr:cNvPr id="12" name="직선 화살표 연결선 11">
          <a:extLst>
            <a:ext uri="{FF2B5EF4-FFF2-40B4-BE49-F238E27FC236}">
              <a16:creationId xmlns:a16="http://schemas.microsoft.com/office/drawing/2014/main" id="{A4F7F2FC-FBCF-463A-BF52-DB80A9730CA2}"/>
            </a:ext>
          </a:extLst>
        </xdr:cNvPr>
        <xdr:cNvCxnSpPr>
          <a:stCxn id="6" idx="3"/>
          <a:endCxn id="9" idx="1"/>
        </xdr:cNvCxnSpPr>
      </xdr:nvCxnSpPr>
      <xdr:spPr>
        <a:xfrm flipV="1">
          <a:off x="4649153" y="19903965"/>
          <a:ext cx="3472922" cy="1439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911437</xdr:colOff>
      <xdr:row>85</xdr:row>
      <xdr:rowOff>86572</xdr:rowOff>
    </xdr:from>
    <xdr:to>
      <xdr:col>9</xdr:col>
      <xdr:colOff>244687</xdr:colOff>
      <xdr:row>94</xdr:row>
      <xdr:rowOff>137583</xdr:rowOff>
    </xdr:to>
    <xdr:sp macro="" textlink="">
      <xdr:nvSpPr>
        <xdr:cNvPr id="15" name="직사각형 14">
          <a:extLst>
            <a:ext uri="{FF2B5EF4-FFF2-40B4-BE49-F238E27FC236}">
              <a16:creationId xmlns:a16="http://schemas.microsoft.com/office/drawing/2014/main" id="{FA262B11-792F-48E3-A03F-D60161054198}"/>
            </a:ext>
          </a:extLst>
        </xdr:cNvPr>
        <xdr:cNvSpPr/>
      </xdr:nvSpPr>
      <xdr:spPr>
        <a:xfrm>
          <a:off x="5589270" y="18628572"/>
          <a:ext cx="1651000" cy="1765511"/>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900">
              <a:solidFill>
                <a:sysClr val="windowText" lastClr="000000"/>
              </a:solidFill>
              <a:latin typeface="+mn-ea"/>
              <a:ea typeface="+mn-ea"/>
            </a:rPr>
            <a:t>자재마스터</a:t>
          </a:r>
          <a:endParaRPr lang="en-US" altLang="ko-KR" sz="900">
            <a:solidFill>
              <a:sysClr val="windowText" lastClr="000000"/>
            </a:solidFill>
            <a:latin typeface="+mn-ea"/>
            <a:ea typeface="+mn-ea"/>
          </a:endParaRPr>
        </a:p>
        <a:p>
          <a:pPr algn="ctr"/>
          <a:r>
            <a:rPr lang="en-US" altLang="ko-KR" sz="900">
              <a:solidFill>
                <a:sysClr val="windowText" lastClr="000000"/>
              </a:solidFill>
              <a:latin typeface="+mn-ea"/>
              <a:ea typeface="+mn-ea"/>
            </a:rPr>
            <a:t>Import</a:t>
          </a:r>
          <a:r>
            <a:rPr lang="en-US" altLang="ko-KR" sz="900" baseline="0">
              <a:solidFill>
                <a:sysClr val="windowText" lastClr="000000"/>
              </a:solidFill>
              <a:latin typeface="+mn-ea"/>
              <a:ea typeface="+mn-ea"/>
            </a:rPr>
            <a:t> Procedure</a:t>
          </a:r>
        </a:p>
      </xdr:txBody>
    </xdr:sp>
    <xdr:clientData/>
  </xdr:twoCellAnchor>
  <xdr:twoCellAnchor>
    <xdr:from>
      <xdr:col>7</xdr:col>
      <xdr:colOff>1621152</xdr:colOff>
      <xdr:row>83</xdr:row>
      <xdr:rowOff>59691</xdr:rowOff>
    </xdr:from>
    <xdr:to>
      <xdr:col>7</xdr:col>
      <xdr:colOff>1851234</xdr:colOff>
      <xdr:row>84</xdr:row>
      <xdr:rowOff>59691</xdr:rowOff>
    </xdr:to>
    <xdr:sp macro="" textlink="">
      <xdr:nvSpPr>
        <xdr:cNvPr id="16" name="다이아몬드 15">
          <a:extLst>
            <a:ext uri="{FF2B5EF4-FFF2-40B4-BE49-F238E27FC236}">
              <a16:creationId xmlns:a16="http://schemas.microsoft.com/office/drawing/2014/main" id="{E5FBC7B1-CCF9-CC26-C501-0006D43936E1}"/>
            </a:ext>
          </a:extLst>
        </xdr:cNvPr>
        <xdr:cNvSpPr/>
      </xdr:nvSpPr>
      <xdr:spPr>
        <a:xfrm>
          <a:off x="6298985" y="18220691"/>
          <a:ext cx="230082" cy="190500"/>
        </a:xfrm>
        <a:prstGeom prst="diamond">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900">
            <a:solidFill>
              <a:sysClr val="windowText" lastClr="000000"/>
            </a:solidFill>
            <a:latin typeface="+mn-ea"/>
            <a:ea typeface="+mn-ea"/>
          </a:endParaRPr>
        </a:p>
      </xdr:txBody>
    </xdr:sp>
    <xdr:clientData/>
  </xdr:twoCellAnchor>
  <xdr:twoCellAnchor>
    <xdr:from>
      <xdr:col>7</xdr:col>
      <xdr:colOff>1732383</xdr:colOff>
      <xdr:row>84</xdr:row>
      <xdr:rowOff>55881</xdr:rowOff>
    </xdr:from>
    <xdr:to>
      <xdr:col>7</xdr:col>
      <xdr:colOff>1738842</xdr:colOff>
      <xdr:row>85</xdr:row>
      <xdr:rowOff>88477</xdr:rowOff>
    </xdr:to>
    <xdr:cxnSp macro="">
      <xdr:nvCxnSpPr>
        <xdr:cNvPr id="17" name="직선 화살표 연결선 16">
          <a:extLst>
            <a:ext uri="{FF2B5EF4-FFF2-40B4-BE49-F238E27FC236}">
              <a16:creationId xmlns:a16="http://schemas.microsoft.com/office/drawing/2014/main" id="{F464DF49-6513-43D4-958B-4A922D312EC1}"/>
            </a:ext>
          </a:extLst>
        </xdr:cNvPr>
        <xdr:cNvCxnSpPr>
          <a:stCxn id="15" idx="0"/>
          <a:endCxn id="16" idx="2"/>
        </xdr:cNvCxnSpPr>
      </xdr:nvCxnSpPr>
      <xdr:spPr>
        <a:xfrm flipH="1" flipV="1">
          <a:off x="6410216" y="18407381"/>
          <a:ext cx="6459" cy="22309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1732383</xdr:colOff>
      <xdr:row>82</xdr:row>
      <xdr:rowOff>55033</xdr:rowOff>
    </xdr:from>
    <xdr:to>
      <xdr:col>7</xdr:col>
      <xdr:colOff>1733656</xdr:colOff>
      <xdr:row>83</xdr:row>
      <xdr:rowOff>55881</xdr:rowOff>
    </xdr:to>
    <xdr:cxnSp macro="">
      <xdr:nvCxnSpPr>
        <xdr:cNvPr id="20" name="직선 화살표 연결선 19">
          <a:extLst>
            <a:ext uri="{FF2B5EF4-FFF2-40B4-BE49-F238E27FC236}">
              <a16:creationId xmlns:a16="http://schemas.microsoft.com/office/drawing/2014/main" id="{E3402EC2-C951-4890-A6D9-F344E02D3242}"/>
            </a:ext>
          </a:extLst>
        </xdr:cNvPr>
        <xdr:cNvCxnSpPr>
          <a:stCxn id="16" idx="0"/>
          <a:endCxn id="7" idx="2"/>
        </xdr:cNvCxnSpPr>
      </xdr:nvCxnSpPr>
      <xdr:spPr>
        <a:xfrm flipV="1">
          <a:off x="6410216" y="18025533"/>
          <a:ext cx="1273" cy="19134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407882</xdr:colOff>
      <xdr:row>82</xdr:row>
      <xdr:rowOff>179069</xdr:rowOff>
    </xdr:from>
    <xdr:ext cx="1198470" cy="336246"/>
    <xdr:sp macro="" textlink="">
      <xdr:nvSpPr>
        <xdr:cNvPr id="23" name="TextBox 22">
          <a:extLst>
            <a:ext uri="{FF2B5EF4-FFF2-40B4-BE49-F238E27FC236}">
              <a16:creationId xmlns:a16="http://schemas.microsoft.com/office/drawing/2014/main" id="{8FD38B29-6816-F104-E031-ABB7E1BC54AD}"/>
            </a:ext>
          </a:extLst>
        </xdr:cNvPr>
        <xdr:cNvSpPr txBox="1"/>
      </xdr:nvSpPr>
      <xdr:spPr>
        <a:xfrm>
          <a:off x="5085715" y="18149569"/>
          <a:ext cx="1198470" cy="336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100"/>
            <a:t>공통칼럼인 경우</a:t>
          </a:r>
        </a:p>
      </xdr:txBody>
    </xdr:sp>
    <xdr:clientData/>
  </xdr:oneCellAnchor>
  <xdr:oneCellAnchor>
    <xdr:from>
      <xdr:col>19</xdr:col>
      <xdr:colOff>106568</xdr:colOff>
      <xdr:row>66</xdr:row>
      <xdr:rowOff>132341</xdr:rowOff>
    </xdr:from>
    <xdr:ext cx="1439843" cy="752385"/>
    <xdr:sp macro="" textlink="">
      <xdr:nvSpPr>
        <xdr:cNvPr id="2" name="TextBox 1">
          <a:extLst>
            <a:ext uri="{FF2B5EF4-FFF2-40B4-BE49-F238E27FC236}">
              <a16:creationId xmlns:a16="http://schemas.microsoft.com/office/drawing/2014/main" id="{01F4C33F-1996-EAEA-FE49-4F7F024F7EEF}"/>
            </a:ext>
          </a:extLst>
        </xdr:cNvPr>
        <xdr:cNvSpPr txBox="1"/>
      </xdr:nvSpPr>
      <xdr:spPr>
        <a:xfrm>
          <a:off x="14931950" y="11394253"/>
          <a:ext cx="1439843" cy="75238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ko-KR" altLang="en-US" sz="1100"/>
            <a:t>②</a:t>
          </a:r>
          <a:endParaRPr lang="en-US" altLang="ko-KR" sz="1100"/>
        </a:p>
        <a:p>
          <a:r>
            <a:rPr lang="en-US" altLang="ko-KR" sz="1100"/>
            <a:t>ZZCPIAP  </a:t>
          </a:r>
          <a:r>
            <a:rPr lang="ko-KR" altLang="en-US" sz="1100"/>
            <a:t>추가</a:t>
          </a:r>
          <a:endParaRPr lang="en-US" altLang="ko-KR" sz="1100"/>
        </a:p>
        <a:p>
          <a:endParaRPr lang="ko-KR" alt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366587</xdr:colOff>
      <xdr:row>12</xdr:row>
      <xdr:rowOff>26173</xdr:rowOff>
    </xdr:from>
    <xdr:to>
      <xdr:col>7</xdr:col>
      <xdr:colOff>1830704</xdr:colOff>
      <xdr:row>24</xdr:row>
      <xdr:rowOff>64356</xdr:rowOff>
    </xdr:to>
    <xdr:sp macro="" textlink="">
      <xdr:nvSpPr>
        <xdr:cNvPr id="2" name="직사각형 1">
          <a:extLst>
            <a:ext uri="{FF2B5EF4-FFF2-40B4-BE49-F238E27FC236}">
              <a16:creationId xmlns:a16="http://schemas.microsoft.com/office/drawing/2014/main" id="{0F45D00B-AA1B-E0BC-4649-EB1688E8231F}"/>
            </a:ext>
          </a:extLst>
        </xdr:cNvPr>
        <xdr:cNvSpPr/>
      </xdr:nvSpPr>
      <xdr:spPr>
        <a:xfrm>
          <a:off x="2705596" y="3067547"/>
          <a:ext cx="3889265" cy="2105522"/>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200">
              <a:solidFill>
                <a:sysClr val="windowText" lastClr="000000"/>
              </a:solidFill>
              <a:effectLst/>
              <a:latin typeface="+mn-ea"/>
              <a:ea typeface="+mn-ea"/>
            </a:rPr>
            <a:t>BW </a:t>
          </a:r>
          <a:r>
            <a:rPr lang="ko-KR" altLang="en-US" sz="1200">
              <a:solidFill>
                <a:sysClr val="windowText" lastClr="000000"/>
              </a:solidFill>
              <a:effectLst/>
              <a:latin typeface="+mn-ea"/>
              <a:ea typeface="+mn-ea"/>
            </a:rPr>
            <a:t>통합</a:t>
          </a:r>
          <a:r>
            <a:rPr lang="en-US" altLang="ko-KR" sz="1200">
              <a:solidFill>
                <a:sysClr val="windowText" lastClr="000000"/>
              </a:solidFill>
              <a:effectLst/>
              <a:latin typeface="+mn-ea"/>
              <a:ea typeface="+mn-ea"/>
            </a:rPr>
            <a:t>SKU </a:t>
          </a:r>
          <a:r>
            <a:rPr lang="ko-KR" altLang="en-US" sz="1200">
              <a:solidFill>
                <a:sysClr val="windowText" lastClr="000000"/>
              </a:solidFill>
              <a:effectLst/>
              <a:latin typeface="+mn-ea"/>
              <a:ea typeface="+mn-ea"/>
            </a:rPr>
            <a:t>쿼리내 데이터 </a:t>
          </a:r>
          <a:endParaRPr lang="en-US" altLang="ko-KR" sz="1200">
            <a:solidFill>
              <a:sysClr val="windowText" lastClr="000000"/>
            </a:solidFill>
            <a:effectLst/>
            <a:latin typeface="+mn-ea"/>
            <a:ea typeface="+mn-ea"/>
          </a:endParaRPr>
        </a:p>
        <a:p>
          <a:pPr algn="l"/>
          <a:r>
            <a:rPr lang="en-US" altLang="ko-KR" sz="1200">
              <a:solidFill>
                <a:sysClr val="windowText" lastClr="000000"/>
              </a:solidFill>
              <a:effectLst/>
              <a:latin typeface="+mn-ea"/>
              <a:ea typeface="+mn-ea"/>
            </a:rPr>
            <a:t>S_ZMM_016_Q0015</a:t>
          </a:r>
        </a:p>
        <a:p>
          <a:pPr algn="l"/>
          <a:endParaRPr lang="en-US" altLang="ko-KR" sz="1200">
            <a:solidFill>
              <a:sysClr val="windowText" lastClr="000000"/>
            </a:solidFill>
            <a:effectLst/>
            <a:latin typeface="+mn-ea"/>
            <a:ea typeface="+mn-ea"/>
          </a:endParaRPr>
        </a:p>
        <a:p>
          <a:pPr algn="l"/>
          <a:r>
            <a:rPr lang="ko-KR" altLang="en-US" sz="1200" b="1">
              <a:solidFill>
                <a:sysClr val="windowText" lastClr="000000"/>
              </a:solidFill>
              <a:effectLst/>
              <a:latin typeface="+mn-ea"/>
              <a:ea typeface="+mn-ea"/>
            </a:rPr>
            <a:t>법인별 </a:t>
          </a:r>
          <a:r>
            <a:rPr lang="en-US" altLang="ko-KR" sz="1200" b="1">
              <a:solidFill>
                <a:sysClr val="windowText" lastClr="000000"/>
              </a:solidFill>
              <a:effectLst/>
              <a:latin typeface="+mn-ea"/>
              <a:ea typeface="+mn-ea"/>
            </a:rPr>
            <a:t>SKU</a:t>
          </a:r>
          <a:r>
            <a:rPr lang="ko-KR" altLang="en-US" sz="1200" b="1">
              <a:solidFill>
                <a:sysClr val="windowText" lastClr="000000"/>
              </a:solidFill>
              <a:effectLst/>
              <a:latin typeface="+mn-ea"/>
              <a:ea typeface="+mn-ea"/>
            </a:rPr>
            <a:t>쿼리</a:t>
          </a:r>
          <a:endParaRPr lang="en-US" altLang="ko-KR" sz="1200">
            <a:solidFill>
              <a:sysClr val="windowText" lastClr="000000"/>
            </a:solidFill>
            <a:effectLst/>
            <a:latin typeface="+mn-ea"/>
            <a:ea typeface="+mn-ea"/>
          </a:endParaRPr>
        </a:p>
        <a:p>
          <a:pPr algn="l"/>
          <a:r>
            <a:rPr lang="en-US" altLang="ko-KR" sz="1200">
              <a:solidFill>
                <a:sysClr val="windowText" lastClr="000000"/>
              </a:solidFill>
              <a:effectLst/>
              <a:latin typeface="+mn-ea"/>
              <a:ea typeface="+mn-ea"/>
            </a:rPr>
            <a:t>S_ZMM_016_Q0011</a:t>
          </a:r>
        </a:p>
        <a:p>
          <a:pPr algn="l"/>
          <a:endParaRPr lang="en-US" altLang="ko-KR" sz="1200">
            <a:solidFill>
              <a:sysClr val="windowText" lastClr="000000"/>
            </a:solidFill>
            <a:effectLst/>
            <a:latin typeface="+mn-ea"/>
            <a:ea typeface="+mn-ea"/>
          </a:endParaRPr>
        </a:p>
        <a:p>
          <a:pPr algn="l"/>
          <a:r>
            <a:rPr lang="ko-KR" altLang="en-US" sz="1200">
              <a:solidFill>
                <a:sysClr val="windowText" lastClr="000000"/>
              </a:solidFill>
              <a:effectLst/>
              <a:latin typeface="+mn-ea"/>
              <a:ea typeface="+mn-ea"/>
            </a:rPr>
            <a:t>각 쿼리의 </a:t>
          </a:r>
          <a:r>
            <a:rPr lang="en-US" altLang="ko-KR" sz="1200">
              <a:solidFill>
                <a:sysClr val="windowText" lastClr="000000"/>
              </a:solidFill>
              <a:effectLst/>
              <a:latin typeface="+mn-ea"/>
              <a:ea typeface="+mn-ea"/>
            </a:rPr>
            <a:t>SKU</a:t>
          </a:r>
          <a:r>
            <a:rPr lang="en-US" altLang="ko-KR" sz="1200" baseline="0">
              <a:solidFill>
                <a:sysClr val="windowText" lastClr="000000"/>
              </a:solidFill>
              <a:effectLst/>
              <a:latin typeface="+mn-ea"/>
              <a:ea typeface="+mn-ea"/>
            </a:rPr>
            <a:t> </a:t>
          </a:r>
          <a:r>
            <a:rPr lang="ko-KR" altLang="en-US" sz="1200" baseline="0">
              <a:solidFill>
                <a:sysClr val="windowText" lastClr="000000"/>
              </a:solidFill>
              <a:effectLst/>
              <a:latin typeface="+mn-ea"/>
              <a:ea typeface="+mn-ea"/>
            </a:rPr>
            <a:t>여부에 해당되는 영업조직</a:t>
          </a:r>
          <a:r>
            <a:rPr lang="en-US" altLang="ko-KR" sz="1200" baseline="0">
              <a:solidFill>
                <a:sysClr val="windowText" lastClr="000000"/>
              </a:solidFill>
              <a:effectLst/>
              <a:latin typeface="+mn-ea"/>
              <a:ea typeface="+mn-ea"/>
            </a:rPr>
            <a:t>-</a:t>
          </a:r>
          <a:r>
            <a:rPr lang="ko-KR" altLang="en-US" sz="1200" baseline="0">
              <a:solidFill>
                <a:sysClr val="windowText" lastClr="000000"/>
              </a:solidFill>
              <a:effectLst/>
              <a:latin typeface="+mn-ea"/>
              <a:ea typeface="+mn-ea"/>
            </a:rPr>
            <a:t>자재코드</a:t>
          </a:r>
          <a:endParaRPr lang="ko-KR" altLang="en-US" sz="1200">
            <a:solidFill>
              <a:sysClr val="windowText" lastClr="000000"/>
            </a:solidFill>
            <a:latin typeface="+mn-ea"/>
            <a:ea typeface="+mn-ea"/>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1021080</xdr:colOff>
      <xdr:row>12</xdr:row>
      <xdr:rowOff>53340</xdr:rowOff>
    </xdr:from>
    <xdr:to>
      <xdr:col>12</xdr:col>
      <xdr:colOff>0</xdr:colOff>
      <xdr:row>15</xdr:row>
      <xdr:rowOff>7620</xdr:rowOff>
    </xdr:to>
    <xdr:sp macro="" textlink="">
      <xdr:nvSpPr>
        <xdr:cNvPr id="3" name="말풍선: 사각형 2">
          <a:extLst>
            <a:ext uri="{FF2B5EF4-FFF2-40B4-BE49-F238E27FC236}">
              <a16:creationId xmlns:a16="http://schemas.microsoft.com/office/drawing/2014/main" id="{66E917C1-EE01-BDFE-7EC8-E44ABA921217}"/>
            </a:ext>
          </a:extLst>
        </xdr:cNvPr>
        <xdr:cNvSpPr/>
      </xdr:nvSpPr>
      <xdr:spPr>
        <a:xfrm>
          <a:off x="8321040" y="3528060"/>
          <a:ext cx="1402080" cy="548640"/>
        </a:xfrm>
        <a:prstGeom prst="wedgeRectCallout">
          <a:avLst>
            <a:gd name="adj1" fmla="val -43659"/>
            <a:gd name="adj2" fmla="val -70479"/>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900">
              <a:solidFill>
                <a:sysClr val="windowText" lastClr="000000"/>
              </a:solidFill>
              <a:latin typeface="+mn-ea"/>
              <a:ea typeface="+mn-ea"/>
            </a:rPr>
            <a:t>From</a:t>
          </a:r>
          <a:r>
            <a:rPr lang="en-US" altLang="ko-KR" sz="900" baseline="0">
              <a:solidFill>
                <a:sysClr val="windowText" lastClr="000000"/>
              </a:solidFill>
              <a:latin typeface="+mn-ea"/>
              <a:ea typeface="+mn-ea"/>
            </a:rPr>
            <a:t> UOM </a:t>
          </a:r>
          <a:r>
            <a:rPr lang="ko-KR" altLang="en-US" sz="900" baseline="0">
              <a:solidFill>
                <a:sysClr val="windowText" lastClr="000000"/>
              </a:solidFill>
              <a:latin typeface="+mn-ea"/>
              <a:ea typeface="+mn-ea"/>
            </a:rPr>
            <a:t>필요</a:t>
          </a:r>
          <a:endParaRPr lang="ko-KR" altLang="en-US" sz="900">
            <a:solidFill>
              <a:sysClr val="windowText" lastClr="000000"/>
            </a:solidFill>
            <a:latin typeface="+mn-ea"/>
            <a:ea typeface="+mn-ea"/>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19</xdr:col>
      <xdr:colOff>493059</xdr:colOff>
      <xdr:row>16</xdr:row>
      <xdr:rowOff>134471</xdr:rowOff>
    </xdr:from>
    <xdr:ext cx="2644589" cy="1096839"/>
    <xdr:sp macro="" textlink="">
      <xdr:nvSpPr>
        <xdr:cNvPr id="2" name="TextBox 1">
          <a:extLst>
            <a:ext uri="{FF2B5EF4-FFF2-40B4-BE49-F238E27FC236}">
              <a16:creationId xmlns:a16="http://schemas.microsoft.com/office/drawing/2014/main" id="{C94807BC-E26E-49FC-9E88-30A8D3B7D576}"/>
            </a:ext>
          </a:extLst>
        </xdr:cNvPr>
        <xdr:cNvSpPr txBox="1"/>
      </xdr:nvSpPr>
      <xdr:spPr>
        <a:xfrm>
          <a:off x="16797618" y="3619500"/>
          <a:ext cx="2644589" cy="109683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ko-KR" altLang="en-US" sz="1100"/>
            <a:t>① 개인정보 삭제</a:t>
          </a:r>
          <a:endParaRPr lang="en-US" altLang="ko-KR" sz="1100"/>
        </a:p>
        <a:p>
          <a:endParaRPr lang="en-US" altLang="ko-KR" sz="1100"/>
        </a:p>
        <a:p>
          <a:endParaRPr lang="en-US" altLang="ko-KR" sz="1100"/>
        </a:p>
        <a:p>
          <a:r>
            <a:rPr lang="ko-KR" altLang="en-US" sz="1100"/>
            <a:t>세금유형명</a:t>
          </a:r>
          <a:endParaRPr lang="en-US" altLang="ko-KR" sz="1100"/>
        </a:p>
        <a:p>
          <a:endParaRPr lang="ko-KR" altLang="en-US" sz="1100"/>
        </a:p>
      </xdr:txBody>
    </xdr:sp>
    <xdr:clientData/>
  </xdr:oneCellAnchor>
  <xdr:oneCellAnchor>
    <xdr:from>
      <xdr:col>19</xdr:col>
      <xdr:colOff>179294</xdr:colOff>
      <xdr:row>7</xdr:row>
      <xdr:rowOff>1</xdr:rowOff>
    </xdr:from>
    <xdr:ext cx="2644589" cy="580159"/>
    <xdr:sp macro="" textlink="">
      <xdr:nvSpPr>
        <xdr:cNvPr id="3" name="TextBox 2">
          <a:extLst>
            <a:ext uri="{FF2B5EF4-FFF2-40B4-BE49-F238E27FC236}">
              <a16:creationId xmlns:a16="http://schemas.microsoft.com/office/drawing/2014/main" id="{5C4A4953-0E80-EBBA-A0BA-5BC199B6808E}"/>
            </a:ext>
          </a:extLst>
        </xdr:cNvPr>
        <xdr:cNvSpPr txBox="1"/>
      </xdr:nvSpPr>
      <xdr:spPr>
        <a:xfrm>
          <a:off x="16483853" y="1972236"/>
          <a:ext cx="2644589" cy="58015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ko-KR" altLang="en-US" sz="1100"/>
            <a:t>받는쪽에 고객계정그룹 누락분 원복</a:t>
          </a:r>
          <a:endParaRPr lang="en-US" altLang="ko-KR" sz="1100"/>
        </a:p>
        <a:p>
          <a:r>
            <a:rPr lang="en-US" altLang="ko-KR" sz="1100"/>
            <a:t>11/10</a:t>
          </a:r>
          <a:r>
            <a:rPr lang="ko-KR" altLang="en-US" sz="1100"/>
            <a:t>일 이봉기</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2</xdr:col>
      <xdr:colOff>666750</xdr:colOff>
      <xdr:row>57</xdr:row>
      <xdr:rowOff>85725</xdr:rowOff>
    </xdr:from>
    <xdr:to>
      <xdr:col>3</xdr:col>
      <xdr:colOff>238125</xdr:colOff>
      <xdr:row>59</xdr:row>
      <xdr:rowOff>171450</xdr:rowOff>
    </xdr:to>
    <xdr:sp macro="" textlink="">
      <xdr:nvSpPr>
        <xdr:cNvPr id="2" name="사각형: 둥근 모서리 1">
          <a:extLst>
            <a:ext uri="{FF2B5EF4-FFF2-40B4-BE49-F238E27FC236}">
              <a16:creationId xmlns:a16="http://schemas.microsoft.com/office/drawing/2014/main" id="{D2FB1586-6BBF-4065-B9F9-55C030D68D2F}"/>
            </a:ext>
          </a:extLst>
        </xdr:cNvPr>
        <xdr:cNvSpPr/>
      </xdr:nvSpPr>
      <xdr:spPr>
        <a:xfrm>
          <a:off x="1123950" y="16944975"/>
          <a:ext cx="1400175" cy="4667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r>
            <a:rPr lang="en-US" altLang="ko-KR" sz="1100">
              <a:solidFill>
                <a:schemeClr val="tx1"/>
              </a:solidFill>
            </a:rPr>
            <a:t>Cust_OnHandPlan</a:t>
          </a:r>
          <a:endParaRPr lang="ko-KR" altLang="en-US" sz="1100">
            <a:solidFill>
              <a:schemeClr val="tx1"/>
            </a:solidFill>
          </a:endParaRPr>
        </a:p>
      </xdr:txBody>
    </xdr:sp>
    <xdr:clientData/>
  </xdr:twoCellAnchor>
  <xdr:twoCellAnchor>
    <xdr:from>
      <xdr:col>5</xdr:col>
      <xdr:colOff>514350</xdr:colOff>
      <xdr:row>43</xdr:row>
      <xdr:rowOff>76200</xdr:rowOff>
    </xdr:from>
    <xdr:to>
      <xdr:col>9</xdr:col>
      <xdr:colOff>152400</xdr:colOff>
      <xdr:row>45</xdr:row>
      <xdr:rowOff>161925</xdr:rowOff>
    </xdr:to>
    <xdr:sp macro="" textlink="">
      <xdr:nvSpPr>
        <xdr:cNvPr id="3" name="사각형: 둥근 모서리 2">
          <a:extLst>
            <a:ext uri="{FF2B5EF4-FFF2-40B4-BE49-F238E27FC236}">
              <a16:creationId xmlns:a16="http://schemas.microsoft.com/office/drawing/2014/main" id="{88E5DD9A-8F57-4876-B3AF-F700300DD68E}"/>
            </a:ext>
          </a:extLst>
        </xdr:cNvPr>
        <xdr:cNvSpPr/>
      </xdr:nvSpPr>
      <xdr:spPr>
        <a:xfrm>
          <a:off x="4257675" y="14173200"/>
          <a:ext cx="2466975" cy="56197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r>
            <a:rPr lang="en-US" altLang="ko-KR" sz="1100">
              <a:solidFill>
                <a:schemeClr val="tx1"/>
              </a:solidFill>
            </a:rPr>
            <a:t>Cust_LocationGroupStorageLocation</a:t>
          </a:r>
          <a:endParaRPr lang="ko-KR" altLang="en-US" sz="1100">
            <a:solidFill>
              <a:schemeClr val="tx1"/>
            </a:solidFill>
          </a:endParaRPr>
        </a:p>
      </xdr:txBody>
    </xdr:sp>
    <xdr:clientData/>
  </xdr:twoCellAnchor>
  <xdr:twoCellAnchor>
    <xdr:from>
      <xdr:col>7</xdr:col>
      <xdr:colOff>885825</xdr:colOff>
      <xdr:row>47</xdr:row>
      <xdr:rowOff>9525</xdr:rowOff>
    </xdr:from>
    <xdr:to>
      <xdr:col>9</xdr:col>
      <xdr:colOff>457200</xdr:colOff>
      <xdr:row>48</xdr:row>
      <xdr:rowOff>200025</xdr:rowOff>
    </xdr:to>
    <xdr:sp macro="" textlink="">
      <xdr:nvSpPr>
        <xdr:cNvPr id="4" name="TextBox 3">
          <a:extLst>
            <a:ext uri="{FF2B5EF4-FFF2-40B4-BE49-F238E27FC236}">
              <a16:creationId xmlns:a16="http://schemas.microsoft.com/office/drawing/2014/main" id="{B59843B5-7735-44BC-A025-1CB430A1006C}"/>
            </a:ext>
          </a:extLst>
        </xdr:cNvPr>
        <xdr:cNvSpPr txBox="1"/>
      </xdr:nvSpPr>
      <xdr:spPr>
        <a:xfrm>
          <a:off x="5829300" y="14963775"/>
          <a:ext cx="1200150"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altLang="ko-KR" sz="1100"/>
            <a:t>Join</a:t>
          </a:r>
          <a:endParaRPr lang="ko-KR" altLang="en-US" sz="1100"/>
        </a:p>
      </xdr:txBody>
    </xdr:sp>
    <xdr:clientData/>
  </xdr:twoCellAnchor>
  <xdr:twoCellAnchor>
    <xdr:from>
      <xdr:col>3</xdr:col>
      <xdr:colOff>238125</xdr:colOff>
      <xdr:row>47</xdr:row>
      <xdr:rowOff>223838</xdr:rowOff>
    </xdr:from>
    <xdr:to>
      <xdr:col>7</xdr:col>
      <xdr:colOff>885825</xdr:colOff>
      <xdr:row>58</xdr:row>
      <xdr:rowOff>128588</xdr:rowOff>
    </xdr:to>
    <xdr:cxnSp macro="">
      <xdr:nvCxnSpPr>
        <xdr:cNvPr id="5" name="직선 화살표 연결선 4">
          <a:extLst>
            <a:ext uri="{FF2B5EF4-FFF2-40B4-BE49-F238E27FC236}">
              <a16:creationId xmlns:a16="http://schemas.microsoft.com/office/drawing/2014/main" id="{49EC406D-3301-4777-B31D-D15A0F5AB5DD}"/>
            </a:ext>
          </a:extLst>
        </xdr:cNvPr>
        <xdr:cNvCxnSpPr>
          <a:stCxn id="2" idx="3"/>
          <a:endCxn id="4" idx="1"/>
        </xdr:cNvCxnSpPr>
      </xdr:nvCxnSpPr>
      <xdr:spPr>
        <a:xfrm flipV="1">
          <a:off x="2524125" y="15139988"/>
          <a:ext cx="3305175" cy="2038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547688</xdr:colOff>
      <xdr:row>45</xdr:row>
      <xdr:rowOff>161925</xdr:rowOff>
    </xdr:from>
    <xdr:to>
      <xdr:col>8</xdr:col>
      <xdr:colOff>152400</xdr:colOff>
      <xdr:row>47</xdr:row>
      <xdr:rowOff>9525</xdr:rowOff>
    </xdr:to>
    <xdr:cxnSp macro="">
      <xdr:nvCxnSpPr>
        <xdr:cNvPr id="6" name="직선 화살표 연결선 5">
          <a:extLst>
            <a:ext uri="{FF2B5EF4-FFF2-40B4-BE49-F238E27FC236}">
              <a16:creationId xmlns:a16="http://schemas.microsoft.com/office/drawing/2014/main" id="{AB854590-E95B-4C87-9601-A6E03675CB14}"/>
            </a:ext>
          </a:extLst>
        </xdr:cNvPr>
        <xdr:cNvCxnSpPr>
          <a:stCxn id="3" idx="2"/>
          <a:endCxn id="4" idx="0"/>
        </xdr:cNvCxnSpPr>
      </xdr:nvCxnSpPr>
      <xdr:spPr>
        <a:xfrm>
          <a:off x="5491163" y="14735175"/>
          <a:ext cx="938212" cy="228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771525</xdr:colOff>
      <xdr:row>43</xdr:row>
      <xdr:rowOff>123825</xdr:rowOff>
    </xdr:from>
    <xdr:to>
      <xdr:col>10</xdr:col>
      <xdr:colOff>981075</xdr:colOff>
      <xdr:row>45</xdr:row>
      <xdr:rowOff>209550</xdr:rowOff>
    </xdr:to>
    <xdr:sp macro="" textlink="">
      <xdr:nvSpPr>
        <xdr:cNvPr id="7" name="사각형: 둥근 모서리 6">
          <a:extLst>
            <a:ext uri="{FF2B5EF4-FFF2-40B4-BE49-F238E27FC236}">
              <a16:creationId xmlns:a16="http://schemas.microsoft.com/office/drawing/2014/main" id="{D07653F3-2670-44B0-9CDA-480B0D5C9C0B}"/>
            </a:ext>
          </a:extLst>
        </xdr:cNvPr>
        <xdr:cNvSpPr/>
      </xdr:nvSpPr>
      <xdr:spPr>
        <a:xfrm>
          <a:off x="7343775" y="14220825"/>
          <a:ext cx="1562100" cy="5429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r>
            <a:rPr lang="en-US" altLang="ko-KR" sz="1100">
              <a:solidFill>
                <a:schemeClr val="tx1"/>
              </a:solidFill>
            </a:rPr>
            <a:t>CMST_ItemMaster</a:t>
          </a:r>
          <a:endParaRPr lang="ko-KR" altLang="en-US" sz="1100">
            <a:solidFill>
              <a:schemeClr val="tx1"/>
            </a:solidFill>
          </a:endParaRPr>
        </a:p>
      </xdr:txBody>
    </xdr:sp>
    <xdr:clientData/>
  </xdr:twoCellAnchor>
  <xdr:twoCellAnchor>
    <xdr:from>
      <xdr:col>8</xdr:col>
      <xdr:colOff>152400</xdr:colOff>
      <xdr:row>45</xdr:row>
      <xdr:rowOff>209550</xdr:rowOff>
    </xdr:from>
    <xdr:to>
      <xdr:col>10</xdr:col>
      <xdr:colOff>204788</xdr:colOff>
      <xdr:row>47</xdr:row>
      <xdr:rowOff>9525</xdr:rowOff>
    </xdr:to>
    <xdr:cxnSp macro="">
      <xdr:nvCxnSpPr>
        <xdr:cNvPr id="8" name="직선 화살표 연결선 7">
          <a:extLst>
            <a:ext uri="{FF2B5EF4-FFF2-40B4-BE49-F238E27FC236}">
              <a16:creationId xmlns:a16="http://schemas.microsoft.com/office/drawing/2014/main" id="{F6FB3E1F-7425-443D-80B3-82B896439CC3}"/>
            </a:ext>
          </a:extLst>
        </xdr:cNvPr>
        <xdr:cNvCxnSpPr>
          <a:stCxn id="7" idx="2"/>
          <a:endCxn id="4" idx="0"/>
        </xdr:cNvCxnSpPr>
      </xdr:nvCxnSpPr>
      <xdr:spPr>
        <a:xfrm flipH="1">
          <a:off x="6429375" y="14763750"/>
          <a:ext cx="1700213" cy="200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76200</xdr:colOff>
      <xdr:row>53</xdr:row>
      <xdr:rowOff>142875</xdr:rowOff>
    </xdr:from>
    <xdr:to>
      <xdr:col>8</xdr:col>
      <xdr:colOff>57150</xdr:colOff>
      <xdr:row>55</xdr:row>
      <xdr:rowOff>228600</xdr:rowOff>
    </xdr:to>
    <xdr:sp macro="" textlink="">
      <xdr:nvSpPr>
        <xdr:cNvPr id="9" name="사각형: 둥근 모서리 8">
          <a:extLst>
            <a:ext uri="{FF2B5EF4-FFF2-40B4-BE49-F238E27FC236}">
              <a16:creationId xmlns:a16="http://schemas.microsoft.com/office/drawing/2014/main" id="{CAEBB8C5-CB99-4573-A464-9AC7CFC910F2}"/>
            </a:ext>
          </a:extLst>
        </xdr:cNvPr>
        <xdr:cNvSpPr/>
      </xdr:nvSpPr>
      <xdr:spPr>
        <a:xfrm>
          <a:off x="4533900" y="16240125"/>
          <a:ext cx="1800225" cy="4286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r>
            <a:rPr lang="en-US" altLang="ko-KR" sz="1100">
              <a:solidFill>
                <a:schemeClr val="tx1"/>
              </a:solidFill>
            </a:rPr>
            <a:t>Cust_PGSalesStorageMap</a:t>
          </a:r>
          <a:endParaRPr lang="ko-KR" altLang="en-US" sz="1100">
            <a:solidFill>
              <a:schemeClr val="tx1"/>
            </a:solidFill>
          </a:endParaRPr>
        </a:p>
      </xdr:txBody>
    </xdr:sp>
    <xdr:clientData/>
  </xdr:twoCellAnchor>
  <xdr:twoCellAnchor>
    <xdr:from>
      <xdr:col>7</xdr:col>
      <xdr:colOff>819150</xdr:colOff>
      <xdr:row>58</xdr:row>
      <xdr:rowOff>0</xdr:rowOff>
    </xdr:from>
    <xdr:to>
      <xdr:col>9</xdr:col>
      <xdr:colOff>390525</xdr:colOff>
      <xdr:row>59</xdr:row>
      <xdr:rowOff>190500</xdr:rowOff>
    </xdr:to>
    <xdr:sp macro="" textlink="">
      <xdr:nvSpPr>
        <xdr:cNvPr id="10" name="TextBox 9">
          <a:extLst>
            <a:ext uri="{FF2B5EF4-FFF2-40B4-BE49-F238E27FC236}">
              <a16:creationId xmlns:a16="http://schemas.microsoft.com/office/drawing/2014/main" id="{7245BF12-D917-4169-85D6-9E2B9658C82E}"/>
            </a:ext>
          </a:extLst>
        </xdr:cNvPr>
        <xdr:cNvSpPr txBox="1"/>
      </xdr:nvSpPr>
      <xdr:spPr>
        <a:xfrm>
          <a:off x="5762625" y="17049750"/>
          <a:ext cx="120015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altLang="ko-KR" sz="1100"/>
            <a:t>Join</a:t>
          </a:r>
          <a:endParaRPr lang="ko-KR" altLang="en-US" sz="1100"/>
        </a:p>
      </xdr:txBody>
    </xdr:sp>
    <xdr:clientData/>
  </xdr:twoCellAnchor>
  <xdr:twoCellAnchor>
    <xdr:from>
      <xdr:col>9</xdr:col>
      <xdr:colOff>190500</xdr:colOff>
      <xdr:row>53</xdr:row>
      <xdr:rowOff>123825</xdr:rowOff>
    </xdr:from>
    <xdr:to>
      <xdr:col>11</xdr:col>
      <xdr:colOff>76200</xdr:colOff>
      <xdr:row>55</xdr:row>
      <xdr:rowOff>209550</xdr:rowOff>
    </xdr:to>
    <xdr:sp macro="" textlink="">
      <xdr:nvSpPr>
        <xdr:cNvPr id="11" name="사각형: 둥근 모서리 10">
          <a:extLst>
            <a:ext uri="{FF2B5EF4-FFF2-40B4-BE49-F238E27FC236}">
              <a16:creationId xmlns:a16="http://schemas.microsoft.com/office/drawing/2014/main" id="{C376F016-035C-4D88-ACBD-6F04B7720016}"/>
            </a:ext>
          </a:extLst>
        </xdr:cNvPr>
        <xdr:cNvSpPr/>
      </xdr:nvSpPr>
      <xdr:spPr>
        <a:xfrm>
          <a:off x="6762750" y="16221075"/>
          <a:ext cx="2466975" cy="44767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r>
            <a:rPr lang="en-US" altLang="ko-KR" sz="1100">
              <a:solidFill>
                <a:schemeClr val="tx1"/>
              </a:solidFill>
            </a:rPr>
            <a:t>Cust_LocationGroupStorageLocation</a:t>
          </a:r>
          <a:endParaRPr lang="ko-KR" altLang="en-US" sz="1100">
            <a:solidFill>
              <a:schemeClr val="tx1"/>
            </a:solidFill>
          </a:endParaRPr>
        </a:p>
      </xdr:txBody>
    </xdr:sp>
    <xdr:clientData/>
  </xdr:twoCellAnchor>
  <xdr:twoCellAnchor>
    <xdr:from>
      <xdr:col>6</xdr:col>
      <xdr:colOff>76200</xdr:colOff>
      <xdr:row>61</xdr:row>
      <xdr:rowOff>142875</xdr:rowOff>
    </xdr:from>
    <xdr:to>
      <xdr:col>7</xdr:col>
      <xdr:colOff>809625</xdr:colOff>
      <xdr:row>63</xdr:row>
      <xdr:rowOff>228600</xdr:rowOff>
    </xdr:to>
    <xdr:sp macro="" textlink="">
      <xdr:nvSpPr>
        <xdr:cNvPr id="12" name="사각형: 둥근 모서리 11">
          <a:extLst>
            <a:ext uri="{FF2B5EF4-FFF2-40B4-BE49-F238E27FC236}">
              <a16:creationId xmlns:a16="http://schemas.microsoft.com/office/drawing/2014/main" id="{29031FE9-E76F-4815-9DAD-85C6139CFC28}"/>
            </a:ext>
          </a:extLst>
        </xdr:cNvPr>
        <xdr:cNvSpPr/>
      </xdr:nvSpPr>
      <xdr:spPr>
        <a:xfrm>
          <a:off x="4533900" y="17764125"/>
          <a:ext cx="1219200" cy="4286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r>
            <a:rPr lang="en-US" altLang="ko-KR" sz="1100">
              <a:solidFill>
                <a:schemeClr val="tx1"/>
              </a:solidFill>
            </a:rPr>
            <a:t>Cust_ItemSP</a:t>
          </a:r>
          <a:endParaRPr lang="ko-KR" altLang="en-US" sz="1100">
            <a:solidFill>
              <a:schemeClr val="tx1"/>
            </a:solidFill>
          </a:endParaRPr>
        </a:p>
      </xdr:txBody>
    </xdr:sp>
    <xdr:clientData/>
  </xdr:twoCellAnchor>
  <xdr:twoCellAnchor>
    <xdr:from>
      <xdr:col>8</xdr:col>
      <xdr:colOff>200025</xdr:colOff>
      <xdr:row>61</xdr:row>
      <xdr:rowOff>161925</xdr:rowOff>
    </xdr:from>
    <xdr:to>
      <xdr:col>9</xdr:col>
      <xdr:colOff>1257300</xdr:colOff>
      <xdr:row>64</xdr:row>
      <xdr:rowOff>9525</xdr:rowOff>
    </xdr:to>
    <xdr:sp macro="" textlink="">
      <xdr:nvSpPr>
        <xdr:cNvPr id="13" name="사각형: 둥근 모서리 12">
          <a:extLst>
            <a:ext uri="{FF2B5EF4-FFF2-40B4-BE49-F238E27FC236}">
              <a16:creationId xmlns:a16="http://schemas.microsoft.com/office/drawing/2014/main" id="{221E56D0-3A8C-49B4-B0A0-549D0E4F42E2}"/>
            </a:ext>
          </a:extLst>
        </xdr:cNvPr>
        <xdr:cNvSpPr/>
      </xdr:nvSpPr>
      <xdr:spPr>
        <a:xfrm>
          <a:off x="6477000" y="17783175"/>
          <a:ext cx="1352550" cy="419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r>
            <a:rPr lang="en-US" altLang="ko-KR" sz="1100">
              <a:solidFill>
                <a:schemeClr val="tx1"/>
              </a:solidFill>
            </a:rPr>
            <a:t>CMST_ItemMaster</a:t>
          </a:r>
          <a:endParaRPr lang="ko-KR" altLang="en-US" sz="1100">
            <a:solidFill>
              <a:schemeClr val="tx1"/>
            </a:solidFill>
          </a:endParaRPr>
        </a:p>
      </xdr:txBody>
    </xdr:sp>
    <xdr:clientData/>
  </xdr:twoCellAnchor>
  <xdr:twoCellAnchor>
    <xdr:from>
      <xdr:col>7</xdr:col>
      <xdr:colOff>495300</xdr:colOff>
      <xdr:row>55</xdr:row>
      <xdr:rowOff>228600</xdr:rowOff>
    </xdr:from>
    <xdr:to>
      <xdr:col>8</xdr:col>
      <xdr:colOff>85725</xdr:colOff>
      <xdr:row>58</xdr:row>
      <xdr:rowOff>0</xdr:rowOff>
    </xdr:to>
    <xdr:cxnSp macro="">
      <xdr:nvCxnSpPr>
        <xdr:cNvPr id="14" name="직선 화살표 연결선 13">
          <a:extLst>
            <a:ext uri="{FF2B5EF4-FFF2-40B4-BE49-F238E27FC236}">
              <a16:creationId xmlns:a16="http://schemas.microsoft.com/office/drawing/2014/main" id="{AFE8FCD1-C3F4-4B25-A363-2C60B499E22C}"/>
            </a:ext>
          </a:extLst>
        </xdr:cNvPr>
        <xdr:cNvCxnSpPr>
          <a:stCxn id="9" idx="2"/>
          <a:endCxn id="10" idx="0"/>
        </xdr:cNvCxnSpPr>
      </xdr:nvCxnSpPr>
      <xdr:spPr>
        <a:xfrm>
          <a:off x="5438775" y="16668750"/>
          <a:ext cx="923925" cy="381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85725</xdr:colOff>
      <xdr:row>55</xdr:row>
      <xdr:rowOff>209550</xdr:rowOff>
    </xdr:from>
    <xdr:to>
      <xdr:col>10</xdr:col>
      <xdr:colOff>80963</xdr:colOff>
      <xdr:row>58</xdr:row>
      <xdr:rowOff>0</xdr:rowOff>
    </xdr:to>
    <xdr:cxnSp macro="">
      <xdr:nvCxnSpPr>
        <xdr:cNvPr id="15" name="직선 화살표 연결선 14">
          <a:extLst>
            <a:ext uri="{FF2B5EF4-FFF2-40B4-BE49-F238E27FC236}">
              <a16:creationId xmlns:a16="http://schemas.microsoft.com/office/drawing/2014/main" id="{B185030B-695C-42F3-A915-F71ADBEA681A}"/>
            </a:ext>
          </a:extLst>
        </xdr:cNvPr>
        <xdr:cNvCxnSpPr>
          <a:stCxn id="11" idx="2"/>
          <a:endCxn id="10" idx="0"/>
        </xdr:cNvCxnSpPr>
      </xdr:nvCxnSpPr>
      <xdr:spPr>
        <a:xfrm flipH="1">
          <a:off x="6362700" y="16668750"/>
          <a:ext cx="1643063" cy="381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204788</xdr:colOff>
      <xdr:row>59</xdr:row>
      <xdr:rowOff>190500</xdr:rowOff>
    </xdr:from>
    <xdr:to>
      <xdr:col>8</xdr:col>
      <xdr:colOff>85725</xdr:colOff>
      <xdr:row>61</xdr:row>
      <xdr:rowOff>142875</xdr:rowOff>
    </xdr:to>
    <xdr:cxnSp macro="">
      <xdr:nvCxnSpPr>
        <xdr:cNvPr id="16" name="직선 화살표 연결선 15">
          <a:extLst>
            <a:ext uri="{FF2B5EF4-FFF2-40B4-BE49-F238E27FC236}">
              <a16:creationId xmlns:a16="http://schemas.microsoft.com/office/drawing/2014/main" id="{21A34E83-DA47-4A7C-8020-B61FAFEF736B}"/>
            </a:ext>
          </a:extLst>
        </xdr:cNvPr>
        <xdr:cNvCxnSpPr>
          <a:stCxn id="12" idx="0"/>
          <a:endCxn id="10" idx="2"/>
        </xdr:cNvCxnSpPr>
      </xdr:nvCxnSpPr>
      <xdr:spPr>
        <a:xfrm flipV="1">
          <a:off x="5148263" y="17430750"/>
          <a:ext cx="1214437" cy="333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85725</xdr:colOff>
      <xdr:row>59</xdr:row>
      <xdr:rowOff>190500</xdr:rowOff>
    </xdr:from>
    <xdr:to>
      <xdr:col>9</xdr:col>
      <xdr:colOff>581025</xdr:colOff>
      <xdr:row>61</xdr:row>
      <xdr:rowOff>161925</xdr:rowOff>
    </xdr:to>
    <xdr:cxnSp macro="">
      <xdr:nvCxnSpPr>
        <xdr:cNvPr id="17" name="직선 화살표 연결선 16">
          <a:extLst>
            <a:ext uri="{FF2B5EF4-FFF2-40B4-BE49-F238E27FC236}">
              <a16:creationId xmlns:a16="http://schemas.microsoft.com/office/drawing/2014/main" id="{AE10F0F5-063F-4CA3-9421-EB819E9AFDD3}"/>
            </a:ext>
          </a:extLst>
        </xdr:cNvPr>
        <xdr:cNvCxnSpPr>
          <a:stCxn id="13" idx="0"/>
          <a:endCxn id="10" idx="2"/>
        </xdr:cNvCxnSpPr>
      </xdr:nvCxnSpPr>
      <xdr:spPr>
        <a:xfrm flipH="1" flipV="1">
          <a:off x="6362700" y="17430750"/>
          <a:ext cx="790575"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238125</xdr:colOff>
      <xdr:row>58</xdr:row>
      <xdr:rowOff>128588</xdr:rowOff>
    </xdr:from>
    <xdr:to>
      <xdr:col>7</xdr:col>
      <xdr:colOff>819150</xdr:colOff>
      <xdr:row>58</xdr:row>
      <xdr:rowOff>214313</xdr:rowOff>
    </xdr:to>
    <xdr:cxnSp macro="">
      <xdr:nvCxnSpPr>
        <xdr:cNvPr id="18" name="직선 화살표 연결선 17">
          <a:extLst>
            <a:ext uri="{FF2B5EF4-FFF2-40B4-BE49-F238E27FC236}">
              <a16:creationId xmlns:a16="http://schemas.microsoft.com/office/drawing/2014/main" id="{11656A07-7729-4ED9-ACD0-7ACD44ABC1B0}"/>
            </a:ext>
          </a:extLst>
        </xdr:cNvPr>
        <xdr:cNvCxnSpPr>
          <a:stCxn id="2" idx="3"/>
          <a:endCxn id="10" idx="1"/>
        </xdr:cNvCxnSpPr>
      </xdr:nvCxnSpPr>
      <xdr:spPr>
        <a:xfrm>
          <a:off x="2524125" y="17178338"/>
          <a:ext cx="3238500" cy="57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609600</xdr:colOff>
      <xdr:row>68</xdr:row>
      <xdr:rowOff>95250</xdr:rowOff>
    </xdr:from>
    <xdr:to>
      <xdr:col>9</xdr:col>
      <xdr:colOff>333375</xdr:colOff>
      <xdr:row>70</xdr:row>
      <xdr:rowOff>180975</xdr:rowOff>
    </xdr:to>
    <xdr:sp macro="" textlink="">
      <xdr:nvSpPr>
        <xdr:cNvPr id="19" name="사각형: 둥근 모서리 18">
          <a:extLst>
            <a:ext uri="{FF2B5EF4-FFF2-40B4-BE49-F238E27FC236}">
              <a16:creationId xmlns:a16="http://schemas.microsoft.com/office/drawing/2014/main" id="{777BFE16-3C5A-40D7-99C3-5C36066477BA}"/>
            </a:ext>
          </a:extLst>
        </xdr:cNvPr>
        <xdr:cNvSpPr/>
      </xdr:nvSpPr>
      <xdr:spPr>
        <a:xfrm>
          <a:off x="5553075" y="19050000"/>
          <a:ext cx="1352550" cy="4667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r>
            <a:rPr lang="en-US" altLang="ko-KR" sz="1100">
              <a:solidFill>
                <a:schemeClr val="tx1"/>
              </a:solidFill>
            </a:rPr>
            <a:t>CMST_ItemMaster</a:t>
          </a:r>
          <a:endParaRPr lang="ko-KR" altLang="en-US" sz="1100">
            <a:solidFill>
              <a:schemeClr val="tx1"/>
            </a:solidFill>
          </a:endParaRPr>
        </a:p>
      </xdr:txBody>
    </xdr:sp>
    <xdr:clientData/>
  </xdr:twoCellAnchor>
  <xdr:twoCellAnchor>
    <xdr:from>
      <xdr:col>7</xdr:col>
      <xdr:colOff>619125</xdr:colOff>
      <xdr:row>72</xdr:row>
      <xdr:rowOff>85725</xdr:rowOff>
    </xdr:from>
    <xdr:to>
      <xdr:col>9</xdr:col>
      <xdr:colOff>190500</xdr:colOff>
      <xdr:row>74</xdr:row>
      <xdr:rowOff>38100</xdr:rowOff>
    </xdr:to>
    <xdr:sp macro="" textlink="">
      <xdr:nvSpPr>
        <xdr:cNvPr id="20" name="TextBox 19">
          <a:extLst>
            <a:ext uri="{FF2B5EF4-FFF2-40B4-BE49-F238E27FC236}">
              <a16:creationId xmlns:a16="http://schemas.microsoft.com/office/drawing/2014/main" id="{E8EEF50C-B7C6-41E0-850F-65799AE744C0}"/>
            </a:ext>
          </a:extLst>
        </xdr:cNvPr>
        <xdr:cNvSpPr txBox="1"/>
      </xdr:nvSpPr>
      <xdr:spPr>
        <a:xfrm>
          <a:off x="5562600" y="19802475"/>
          <a:ext cx="1200150"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altLang="ko-KR" sz="1100"/>
            <a:t>Join</a:t>
          </a:r>
          <a:endParaRPr lang="ko-KR" altLang="en-US" sz="1100"/>
        </a:p>
      </xdr:txBody>
    </xdr:sp>
    <xdr:clientData/>
  </xdr:twoCellAnchor>
  <xdr:twoCellAnchor>
    <xdr:from>
      <xdr:col>7</xdr:col>
      <xdr:colOff>1219200</xdr:colOff>
      <xdr:row>70</xdr:row>
      <xdr:rowOff>180975</xdr:rowOff>
    </xdr:from>
    <xdr:to>
      <xdr:col>7</xdr:col>
      <xdr:colOff>1285875</xdr:colOff>
      <xdr:row>72</xdr:row>
      <xdr:rowOff>85725</xdr:rowOff>
    </xdr:to>
    <xdr:cxnSp macro="">
      <xdr:nvCxnSpPr>
        <xdr:cNvPr id="21" name="직선 화살표 연결선 20">
          <a:extLst>
            <a:ext uri="{FF2B5EF4-FFF2-40B4-BE49-F238E27FC236}">
              <a16:creationId xmlns:a16="http://schemas.microsoft.com/office/drawing/2014/main" id="{A9480534-6962-476D-BB0F-A30D98B3C933}"/>
            </a:ext>
          </a:extLst>
        </xdr:cNvPr>
        <xdr:cNvCxnSpPr>
          <a:stCxn id="19" idx="2"/>
          <a:endCxn id="20" idx="0"/>
        </xdr:cNvCxnSpPr>
      </xdr:nvCxnSpPr>
      <xdr:spPr>
        <a:xfrm flipH="1">
          <a:off x="6162675" y="19516725"/>
          <a:ext cx="66675" cy="285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238125</xdr:colOff>
      <xdr:row>58</xdr:row>
      <xdr:rowOff>128588</xdr:rowOff>
    </xdr:from>
    <xdr:to>
      <xdr:col>7</xdr:col>
      <xdr:colOff>619125</xdr:colOff>
      <xdr:row>73</xdr:row>
      <xdr:rowOff>61913</xdr:rowOff>
    </xdr:to>
    <xdr:cxnSp macro="">
      <xdr:nvCxnSpPr>
        <xdr:cNvPr id="22" name="직선 화살표 연결선 21">
          <a:extLst>
            <a:ext uri="{FF2B5EF4-FFF2-40B4-BE49-F238E27FC236}">
              <a16:creationId xmlns:a16="http://schemas.microsoft.com/office/drawing/2014/main" id="{D00CCFA3-184C-4360-9EAB-A5E8F1537B93}"/>
            </a:ext>
          </a:extLst>
        </xdr:cNvPr>
        <xdr:cNvCxnSpPr>
          <a:stCxn id="2" idx="3"/>
          <a:endCxn id="20" idx="1"/>
        </xdr:cNvCxnSpPr>
      </xdr:nvCxnSpPr>
      <xdr:spPr>
        <a:xfrm>
          <a:off x="2524125" y="17178338"/>
          <a:ext cx="3038475" cy="2790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904874</xdr:colOff>
      <xdr:row>82</xdr:row>
      <xdr:rowOff>19050</xdr:rowOff>
    </xdr:from>
    <xdr:to>
      <xdr:col>3</xdr:col>
      <xdr:colOff>628649</xdr:colOff>
      <xdr:row>84</xdr:row>
      <xdr:rowOff>104775</xdr:rowOff>
    </xdr:to>
    <xdr:sp macro="" textlink="">
      <xdr:nvSpPr>
        <xdr:cNvPr id="23" name="사각형: 둥근 모서리 22">
          <a:extLst>
            <a:ext uri="{FF2B5EF4-FFF2-40B4-BE49-F238E27FC236}">
              <a16:creationId xmlns:a16="http://schemas.microsoft.com/office/drawing/2014/main" id="{99A3FE4E-9380-46ED-A46B-7113C6A674F0}"/>
            </a:ext>
          </a:extLst>
        </xdr:cNvPr>
        <xdr:cNvSpPr/>
      </xdr:nvSpPr>
      <xdr:spPr>
        <a:xfrm>
          <a:off x="1362074" y="21640800"/>
          <a:ext cx="1552575" cy="4667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r>
            <a:rPr lang="en-US" altLang="ko-KR" sz="1100">
              <a:solidFill>
                <a:schemeClr val="tx1"/>
              </a:solidFill>
            </a:rPr>
            <a:t>Cust_SemiItemStock</a:t>
          </a:r>
          <a:endParaRPr lang="ko-KR" altLang="en-US" sz="1100">
            <a:solidFill>
              <a:schemeClr val="tx1"/>
            </a:solidFill>
          </a:endParaRPr>
        </a:p>
      </xdr:txBody>
    </xdr:sp>
    <xdr:clientData/>
  </xdr:twoCellAnchor>
  <xdr:twoCellAnchor>
    <xdr:from>
      <xdr:col>7</xdr:col>
      <xdr:colOff>476250</xdr:colOff>
      <xdr:row>82</xdr:row>
      <xdr:rowOff>114300</xdr:rowOff>
    </xdr:from>
    <xdr:to>
      <xdr:col>9</xdr:col>
      <xdr:colOff>47625</xdr:colOff>
      <xdr:row>84</xdr:row>
      <xdr:rowOff>66675</xdr:rowOff>
    </xdr:to>
    <xdr:sp macro="" textlink="">
      <xdr:nvSpPr>
        <xdr:cNvPr id="24" name="TextBox 23">
          <a:extLst>
            <a:ext uri="{FF2B5EF4-FFF2-40B4-BE49-F238E27FC236}">
              <a16:creationId xmlns:a16="http://schemas.microsoft.com/office/drawing/2014/main" id="{C6FB72F5-999A-4867-908F-4683A1054239}"/>
            </a:ext>
          </a:extLst>
        </xdr:cNvPr>
        <xdr:cNvSpPr txBox="1"/>
      </xdr:nvSpPr>
      <xdr:spPr>
        <a:xfrm>
          <a:off x="5419725" y="21736050"/>
          <a:ext cx="1200150"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altLang="ko-KR" sz="1100"/>
            <a:t>Join</a:t>
          </a:r>
          <a:endParaRPr lang="ko-KR" altLang="en-US" sz="1100"/>
        </a:p>
      </xdr:txBody>
    </xdr:sp>
    <xdr:clientData/>
  </xdr:twoCellAnchor>
  <xdr:twoCellAnchor>
    <xdr:from>
      <xdr:col>7</xdr:col>
      <xdr:colOff>581025</xdr:colOff>
      <xdr:row>78</xdr:row>
      <xdr:rowOff>161925</xdr:rowOff>
    </xdr:from>
    <xdr:to>
      <xdr:col>9</xdr:col>
      <xdr:colOff>304800</xdr:colOff>
      <xdr:row>81</xdr:row>
      <xdr:rowOff>9525</xdr:rowOff>
    </xdr:to>
    <xdr:sp macro="" textlink="">
      <xdr:nvSpPr>
        <xdr:cNvPr id="25" name="사각형: 둥근 모서리 24">
          <a:extLst>
            <a:ext uri="{FF2B5EF4-FFF2-40B4-BE49-F238E27FC236}">
              <a16:creationId xmlns:a16="http://schemas.microsoft.com/office/drawing/2014/main" id="{4CAE8268-7F53-4E5D-8524-ACBA86C356E2}"/>
            </a:ext>
          </a:extLst>
        </xdr:cNvPr>
        <xdr:cNvSpPr/>
      </xdr:nvSpPr>
      <xdr:spPr>
        <a:xfrm>
          <a:off x="5524500" y="21021675"/>
          <a:ext cx="1352550" cy="419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r>
            <a:rPr lang="en-US" altLang="ko-KR" sz="1100">
              <a:solidFill>
                <a:schemeClr val="tx1"/>
              </a:solidFill>
            </a:rPr>
            <a:t>CMST_ItemMaster</a:t>
          </a:r>
          <a:endParaRPr lang="ko-KR" altLang="en-US" sz="1100">
            <a:solidFill>
              <a:schemeClr val="tx1"/>
            </a:solidFill>
          </a:endParaRPr>
        </a:p>
      </xdr:txBody>
    </xdr:sp>
    <xdr:clientData/>
  </xdr:twoCellAnchor>
  <xdr:twoCellAnchor>
    <xdr:from>
      <xdr:col>3</xdr:col>
      <xdr:colOff>628649</xdr:colOff>
      <xdr:row>83</xdr:row>
      <xdr:rowOff>61913</xdr:rowOff>
    </xdr:from>
    <xdr:to>
      <xdr:col>7</xdr:col>
      <xdr:colOff>476250</xdr:colOff>
      <xdr:row>83</xdr:row>
      <xdr:rowOff>90488</xdr:rowOff>
    </xdr:to>
    <xdr:cxnSp macro="">
      <xdr:nvCxnSpPr>
        <xdr:cNvPr id="26" name="직선 화살표 연결선 25">
          <a:extLst>
            <a:ext uri="{FF2B5EF4-FFF2-40B4-BE49-F238E27FC236}">
              <a16:creationId xmlns:a16="http://schemas.microsoft.com/office/drawing/2014/main" id="{B832D23E-F06B-4BFE-8DDD-DD7CAE0CED8A}"/>
            </a:ext>
          </a:extLst>
        </xdr:cNvPr>
        <xdr:cNvCxnSpPr>
          <a:stCxn id="23" idx="3"/>
          <a:endCxn id="24" idx="1"/>
        </xdr:cNvCxnSpPr>
      </xdr:nvCxnSpPr>
      <xdr:spPr>
        <a:xfrm>
          <a:off x="2914649" y="21874163"/>
          <a:ext cx="2505076" cy="28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1076325</xdr:colOff>
      <xdr:row>81</xdr:row>
      <xdr:rowOff>9525</xdr:rowOff>
    </xdr:from>
    <xdr:to>
      <xdr:col>7</xdr:col>
      <xdr:colOff>1257300</xdr:colOff>
      <xdr:row>82</xdr:row>
      <xdr:rowOff>114300</xdr:rowOff>
    </xdr:to>
    <xdr:cxnSp macro="">
      <xdr:nvCxnSpPr>
        <xdr:cNvPr id="27" name="직선 화살표 연결선 26">
          <a:extLst>
            <a:ext uri="{FF2B5EF4-FFF2-40B4-BE49-F238E27FC236}">
              <a16:creationId xmlns:a16="http://schemas.microsoft.com/office/drawing/2014/main" id="{B6F782F7-2236-424D-8205-82FCEB450EA2}"/>
            </a:ext>
          </a:extLst>
        </xdr:cNvPr>
        <xdr:cNvCxnSpPr>
          <a:stCxn id="25" idx="2"/>
          <a:endCxn id="24" idx="0"/>
        </xdr:cNvCxnSpPr>
      </xdr:nvCxnSpPr>
      <xdr:spPr>
        <a:xfrm flipH="1">
          <a:off x="6019800" y="21440775"/>
          <a:ext cx="180975" cy="2952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714375</xdr:colOff>
      <xdr:row>58</xdr:row>
      <xdr:rowOff>95250</xdr:rowOff>
    </xdr:from>
    <xdr:to>
      <xdr:col>18</xdr:col>
      <xdr:colOff>161925</xdr:colOff>
      <xdr:row>60</xdr:row>
      <xdr:rowOff>180975</xdr:rowOff>
    </xdr:to>
    <xdr:sp macro="" textlink="">
      <xdr:nvSpPr>
        <xdr:cNvPr id="28" name="사각형: 둥근 모서리 27">
          <a:extLst>
            <a:ext uri="{FF2B5EF4-FFF2-40B4-BE49-F238E27FC236}">
              <a16:creationId xmlns:a16="http://schemas.microsoft.com/office/drawing/2014/main" id="{4F221DE2-A8F3-4D47-94BF-689EA1F2937D}"/>
            </a:ext>
          </a:extLst>
        </xdr:cNvPr>
        <xdr:cNvSpPr/>
      </xdr:nvSpPr>
      <xdr:spPr>
        <a:xfrm>
          <a:off x="12458700" y="17145000"/>
          <a:ext cx="1390650" cy="4667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r>
            <a:rPr lang="en-US" altLang="ko-KR" sz="1100">
              <a:solidFill>
                <a:schemeClr val="tx1"/>
              </a:solidFill>
            </a:rPr>
            <a:t>In_OnHand</a:t>
          </a:r>
          <a:endParaRPr lang="ko-KR" altLang="en-US" sz="1100">
            <a:solidFill>
              <a:schemeClr val="tx1"/>
            </a:solidFill>
          </a:endParaRPr>
        </a:p>
      </xdr:txBody>
    </xdr:sp>
    <xdr:clientData/>
  </xdr:twoCellAnchor>
  <xdr:twoCellAnchor>
    <xdr:from>
      <xdr:col>9</xdr:col>
      <xdr:colOff>457200</xdr:colOff>
      <xdr:row>47</xdr:row>
      <xdr:rowOff>223838</xdr:rowOff>
    </xdr:from>
    <xdr:to>
      <xdr:col>15</xdr:col>
      <xdr:colOff>714375</xdr:colOff>
      <xdr:row>59</xdr:row>
      <xdr:rowOff>138113</xdr:rowOff>
    </xdr:to>
    <xdr:cxnSp macro="">
      <xdr:nvCxnSpPr>
        <xdr:cNvPr id="29" name="직선 화살표 연결선 28">
          <a:extLst>
            <a:ext uri="{FF2B5EF4-FFF2-40B4-BE49-F238E27FC236}">
              <a16:creationId xmlns:a16="http://schemas.microsoft.com/office/drawing/2014/main" id="{609DA6EC-F038-48E2-8F6D-7C6314E7E78B}"/>
            </a:ext>
          </a:extLst>
        </xdr:cNvPr>
        <xdr:cNvCxnSpPr>
          <a:stCxn id="4" idx="3"/>
          <a:endCxn id="28" idx="1"/>
        </xdr:cNvCxnSpPr>
      </xdr:nvCxnSpPr>
      <xdr:spPr>
        <a:xfrm>
          <a:off x="7029450" y="15139988"/>
          <a:ext cx="5429250" cy="2238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390525</xdr:colOff>
      <xdr:row>58</xdr:row>
      <xdr:rowOff>214313</xdr:rowOff>
    </xdr:from>
    <xdr:to>
      <xdr:col>15</xdr:col>
      <xdr:colOff>714375</xdr:colOff>
      <xdr:row>59</xdr:row>
      <xdr:rowOff>138113</xdr:rowOff>
    </xdr:to>
    <xdr:cxnSp macro="">
      <xdr:nvCxnSpPr>
        <xdr:cNvPr id="30" name="직선 화살표 연결선 29">
          <a:extLst>
            <a:ext uri="{FF2B5EF4-FFF2-40B4-BE49-F238E27FC236}">
              <a16:creationId xmlns:a16="http://schemas.microsoft.com/office/drawing/2014/main" id="{B1EC7FFD-7BED-4D4A-81F0-361E90A5352F}"/>
            </a:ext>
          </a:extLst>
        </xdr:cNvPr>
        <xdr:cNvCxnSpPr>
          <a:stCxn id="10" idx="3"/>
          <a:endCxn id="28" idx="1"/>
        </xdr:cNvCxnSpPr>
      </xdr:nvCxnSpPr>
      <xdr:spPr>
        <a:xfrm>
          <a:off x="6962775" y="17235488"/>
          <a:ext cx="5495925" cy="142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190500</xdr:colOff>
      <xdr:row>59</xdr:row>
      <xdr:rowOff>138113</xdr:rowOff>
    </xdr:from>
    <xdr:to>
      <xdr:col>15</xdr:col>
      <xdr:colOff>714375</xdr:colOff>
      <xdr:row>73</xdr:row>
      <xdr:rowOff>61913</xdr:rowOff>
    </xdr:to>
    <xdr:cxnSp macro="">
      <xdr:nvCxnSpPr>
        <xdr:cNvPr id="31" name="직선 화살표 연결선 30">
          <a:extLst>
            <a:ext uri="{FF2B5EF4-FFF2-40B4-BE49-F238E27FC236}">
              <a16:creationId xmlns:a16="http://schemas.microsoft.com/office/drawing/2014/main" id="{03F13F39-5C4D-46C3-AA84-548133E67C60}"/>
            </a:ext>
          </a:extLst>
        </xdr:cNvPr>
        <xdr:cNvCxnSpPr>
          <a:stCxn id="20" idx="3"/>
          <a:endCxn id="28" idx="1"/>
        </xdr:cNvCxnSpPr>
      </xdr:nvCxnSpPr>
      <xdr:spPr>
        <a:xfrm flipV="1">
          <a:off x="6762750" y="17378363"/>
          <a:ext cx="5695950" cy="2590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47625</xdr:colOff>
      <xdr:row>59</xdr:row>
      <xdr:rowOff>138113</xdr:rowOff>
    </xdr:from>
    <xdr:to>
      <xdr:col>15</xdr:col>
      <xdr:colOff>714375</xdr:colOff>
      <xdr:row>83</xdr:row>
      <xdr:rowOff>90488</xdr:rowOff>
    </xdr:to>
    <xdr:cxnSp macro="">
      <xdr:nvCxnSpPr>
        <xdr:cNvPr id="32" name="직선 화살표 연결선 31">
          <a:extLst>
            <a:ext uri="{FF2B5EF4-FFF2-40B4-BE49-F238E27FC236}">
              <a16:creationId xmlns:a16="http://schemas.microsoft.com/office/drawing/2014/main" id="{8D74E6A4-B943-4DD4-B1E9-14450344BB91}"/>
            </a:ext>
          </a:extLst>
        </xdr:cNvPr>
        <xdr:cNvCxnSpPr>
          <a:stCxn id="24" idx="3"/>
          <a:endCxn id="28" idx="1"/>
        </xdr:cNvCxnSpPr>
      </xdr:nvCxnSpPr>
      <xdr:spPr>
        <a:xfrm flipV="1">
          <a:off x="6619875" y="17378363"/>
          <a:ext cx="5838825" cy="45243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161925</xdr:colOff>
      <xdr:row>58</xdr:row>
      <xdr:rowOff>57150</xdr:rowOff>
    </xdr:from>
    <xdr:to>
      <xdr:col>20</xdr:col>
      <xdr:colOff>981075</xdr:colOff>
      <xdr:row>60</xdr:row>
      <xdr:rowOff>142875</xdr:rowOff>
    </xdr:to>
    <xdr:sp macro="" textlink="">
      <xdr:nvSpPr>
        <xdr:cNvPr id="33" name="사각형: 둥근 모서리 32">
          <a:extLst>
            <a:ext uri="{FF2B5EF4-FFF2-40B4-BE49-F238E27FC236}">
              <a16:creationId xmlns:a16="http://schemas.microsoft.com/office/drawing/2014/main" id="{4803EA00-2B79-4BB7-A5BD-C407607480E5}"/>
            </a:ext>
          </a:extLst>
        </xdr:cNvPr>
        <xdr:cNvSpPr/>
      </xdr:nvSpPr>
      <xdr:spPr>
        <a:xfrm>
          <a:off x="14716125" y="17106900"/>
          <a:ext cx="3790950" cy="4667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r>
            <a:rPr lang="en-US" altLang="ko-KR" sz="1100">
              <a:solidFill>
                <a:schemeClr val="tx1"/>
              </a:solidFill>
            </a:rPr>
            <a:t>Stg_OnHand</a:t>
          </a:r>
          <a:endParaRPr lang="ko-KR" altLang="en-US" sz="1100">
            <a:solidFill>
              <a:schemeClr val="tx1"/>
            </a:solidFill>
          </a:endParaRPr>
        </a:p>
      </xdr:txBody>
    </xdr:sp>
    <xdr:clientData/>
  </xdr:twoCellAnchor>
  <xdr:twoCellAnchor>
    <xdr:from>
      <xdr:col>25</xdr:col>
      <xdr:colOff>0</xdr:colOff>
      <xdr:row>58</xdr:row>
      <xdr:rowOff>57150</xdr:rowOff>
    </xdr:from>
    <xdr:to>
      <xdr:col>27</xdr:col>
      <xdr:colOff>266700</xdr:colOff>
      <xdr:row>60</xdr:row>
      <xdr:rowOff>142875</xdr:rowOff>
    </xdr:to>
    <xdr:sp macro="" textlink="">
      <xdr:nvSpPr>
        <xdr:cNvPr id="34" name="사각형: 둥근 모서리 33">
          <a:extLst>
            <a:ext uri="{FF2B5EF4-FFF2-40B4-BE49-F238E27FC236}">
              <a16:creationId xmlns:a16="http://schemas.microsoft.com/office/drawing/2014/main" id="{AC3EA429-7779-486D-80E9-D39469742B42}"/>
            </a:ext>
          </a:extLst>
        </xdr:cNvPr>
        <xdr:cNvSpPr/>
      </xdr:nvSpPr>
      <xdr:spPr>
        <a:xfrm>
          <a:off x="19535775" y="17106900"/>
          <a:ext cx="1390650" cy="4667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1" forceAA="0" compatLnSpc="1">
          <a:prstTxWarp prst="textNoShape">
            <a:avLst/>
          </a:prstTxWarp>
          <a:noAutofit/>
        </a:bodyPr>
        <a:lstStyle/>
        <a:p>
          <a:pPr algn="l"/>
          <a:r>
            <a:rPr lang="en-US" altLang="ko-KR" sz="1100">
              <a:solidFill>
                <a:schemeClr val="tx1"/>
              </a:solidFill>
            </a:rPr>
            <a:t>Out_OnHand</a:t>
          </a:r>
          <a:endParaRPr lang="ko-KR" altLang="en-US" sz="1100">
            <a:solidFill>
              <a:schemeClr val="tx1"/>
            </a:solidFill>
          </a:endParaRPr>
        </a:p>
      </xdr:txBody>
    </xdr:sp>
    <xdr:clientData/>
  </xdr:twoCellAnchor>
  <xdr:twoCellAnchor>
    <xdr:from>
      <xdr:col>18</xdr:col>
      <xdr:colOff>161925</xdr:colOff>
      <xdr:row>59</xdr:row>
      <xdr:rowOff>100013</xdr:rowOff>
    </xdr:from>
    <xdr:to>
      <xdr:col>19</xdr:col>
      <xdr:colOff>161925</xdr:colOff>
      <xdr:row>59</xdr:row>
      <xdr:rowOff>138113</xdr:rowOff>
    </xdr:to>
    <xdr:cxnSp macro="">
      <xdr:nvCxnSpPr>
        <xdr:cNvPr id="35" name="직선 화살표 연결선 34">
          <a:extLst>
            <a:ext uri="{FF2B5EF4-FFF2-40B4-BE49-F238E27FC236}">
              <a16:creationId xmlns:a16="http://schemas.microsoft.com/office/drawing/2014/main" id="{BD10FF41-6E9C-496B-BBE1-A202D36FD3C4}"/>
            </a:ext>
          </a:extLst>
        </xdr:cNvPr>
        <xdr:cNvCxnSpPr>
          <a:stCxn id="28" idx="3"/>
          <a:endCxn id="33" idx="1"/>
        </xdr:cNvCxnSpPr>
      </xdr:nvCxnSpPr>
      <xdr:spPr>
        <a:xfrm flipV="1">
          <a:off x="13849350" y="17340263"/>
          <a:ext cx="866775" cy="38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981075</xdr:colOff>
      <xdr:row>59</xdr:row>
      <xdr:rowOff>100013</xdr:rowOff>
    </xdr:from>
    <xdr:to>
      <xdr:col>25</xdr:col>
      <xdr:colOff>0</xdr:colOff>
      <xdr:row>59</xdr:row>
      <xdr:rowOff>100013</xdr:rowOff>
    </xdr:to>
    <xdr:cxnSp macro="">
      <xdr:nvCxnSpPr>
        <xdr:cNvPr id="36" name="직선 화살표 연결선 35">
          <a:extLst>
            <a:ext uri="{FF2B5EF4-FFF2-40B4-BE49-F238E27FC236}">
              <a16:creationId xmlns:a16="http://schemas.microsoft.com/office/drawing/2014/main" id="{5E131CC9-F63F-42CD-9072-2FF6DD93FD5F}"/>
            </a:ext>
          </a:extLst>
        </xdr:cNvPr>
        <xdr:cNvCxnSpPr>
          <a:stCxn id="33" idx="3"/>
          <a:endCxn id="34" idx="1"/>
        </xdr:cNvCxnSpPr>
      </xdr:nvCxnSpPr>
      <xdr:spPr>
        <a:xfrm>
          <a:off x="18507075" y="17340263"/>
          <a:ext cx="10287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800100</xdr:colOff>
      <xdr:row>49</xdr:row>
      <xdr:rowOff>152400</xdr:rowOff>
    </xdr:from>
    <xdr:to>
      <xdr:col>9</xdr:col>
      <xdr:colOff>523875</xdr:colOff>
      <xdr:row>51</xdr:row>
      <xdr:rowOff>9525</xdr:rowOff>
    </xdr:to>
    <xdr:sp macro="" textlink="">
      <xdr:nvSpPr>
        <xdr:cNvPr id="37" name="직사각형 36">
          <a:extLst>
            <a:ext uri="{FF2B5EF4-FFF2-40B4-BE49-F238E27FC236}">
              <a16:creationId xmlns:a16="http://schemas.microsoft.com/office/drawing/2014/main" id="{55F8CD0E-063A-47C9-85E6-52CEF05D7ACD}"/>
            </a:ext>
          </a:extLst>
        </xdr:cNvPr>
        <xdr:cNvSpPr/>
      </xdr:nvSpPr>
      <xdr:spPr>
        <a:xfrm>
          <a:off x="5743575" y="15487650"/>
          <a:ext cx="1352550" cy="23812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altLang="ko-KR" sz="1100">
              <a:solidFill>
                <a:schemeClr val="tx1"/>
              </a:solidFill>
            </a:rPr>
            <a:t>Pant</a:t>
          </a:r>
          <a:r>
            <a:rPr lang="en-US" altLang="ko-KR" sz="1100" baseline="0">
              <a:solidFill>
                <a:schemeClr val="tx1"/>
              </a:solidFill>
            </a:rPr>
            <a:t> (1510,1113)</a:t>
          </a:r>
          <a:endParaRPr lang="ko-KR" altLang="en-US" sz="1100">
            <a:solidFill>
              <a:schemeClr val="tx1"/>
            </a:solidFill>
          </a:endParaRPr>
        </a:p>
      </xdr:txBody>
    </xdr:sp>
    <xdr:clientData/>
  </xdr:twoCellAnchor>
  <xdr:twoCellAnchor>
    <xdr:from>
      <xdr:col>9</xdr:col>
      <xdr:colOff>590550</xdr:colOff>
      <xdr:row>59</xdr:row>
      <xdr:rowOff>123825</xdr:rowOff>
    </xdr:from>
    <xdr:to>
      <xdr:col>10</xdr:col>
      <xdr:colOff>600075</xdr:colOff>
      <xdr:row>60</xdr:row>
      <xdr:rowOff>219075</xdr:rowOff>
    </xdr:to>
    <xdr:sp macro="" textlink="">
      <xdr:nvSpPr>
        <xdr:cNvPr id="38" name="직사각형 37">
          <a:extLst>
            <a:ext uri="{FF2B5EF4-FFF2-40B4-BE49-F238E27FC236}">
              <a16:creationId xmlns:a16="http://schemas.microsoft.com/office/drawing/2014/main" id="{D49CA665-8FAE-4096-A30A-6B2C9D8337F5}"/>
            </a:ext>
          </a:extLst>
        </xdr:cNvPr>
        <xdr:cNvSpPr/>
      </xdr:nvSpPr>
      <xdr:spPr>
        <a:xfrm>
          <a:off x="7162800" y="17364075"/>
          <a:ext cx="1362075" cy="25717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altLang="ko-KR" sz="1100">
              <a:solidFill>
                <a:schemeClr val="tx1"/>
              </a:solidFill>
            </a:rPr>
            <a:t>Pant</a:t>
          </a:r>
          <a:r>
            <a:rPr lang="en-US" altLang="ko-KR" sz="1100" baseline="0">
              <a:solidFill>
                <a:schemeClr val="tx1"/>
              </a:solidFill>
            </a:rPr>
            <a:t> (1190,1390)</a:t>
          </a:r>
          <a:endParaRPr lang="ko-KR" altLang="en-US" sz="1100">
            <a:solidFill>
              <a:schemeClr val="tx1"/>
            </a:solidFill>
          </a:endParaRPr>
        </a:p>
      </xdr:txBody>
    </xdr:sp>
    <xdr:clientData/>
  </xdr:twoCellAnchor>
  <xdr:twoCellAnchor>
    <xdr:from>
      <xdr:col>6</xdr:col>
      <xdr:colOff>38099</xdr:colOff>
      <xdr:row>74</xdr:row>
      <xdr:rowOff>95250</xdr:rowOff>
    </xdr:from>
    <xdr:to>
      <xdr:col>9</xdr:col>
      <xdr:colOff>685799</xdr:colOff>
      <xdr:row>75</xdr:row>
      <xdr:rowOff>190500</xdr:rowOff>
    </xdr:to>
    <xdr:sp macro="" textlink="">
      <xdr:nvSpPr>
        <xdr:cNvPr id="39" name="직사각형 38">
          <a:extLst>
            <a:ext uri="{FF2B5EF4-FFF2-40B4-BE49-F238E27FC236}">
              <a16:creationId xmlns:a16="http://schemas.microsoft.com/office/drawing/2014/main" id="{95B43315-FE74-4A01-9499-15ABBAC2D986}"/>
            </a:ext>
          </a:extLst>
        </xdr:cNvPr>
        <xdr:cNvSpPr/>
      </xdr:nvSpPr>
      <xdr:spPr>
        <a:xfrm>
          <a:off x="4495799" y="20193000"/>
          <a:ext cx="2762250" cy="28575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altLang="ko-KR" sz="1100">
              <a:solidFill>
                <a:schemeClr val="tx1"/>
              </a:solidFill>
            </a:rPr>
            <a:t>Pant</a:t>
          </a:r>
          <a:r>
            <a:rPr lang="en-US" altLang="ko-KR" sz="1100" baseline="0">
              <a:solidFill>
                <a:schemeClr val="tx1"/>
              </a:solidFill>
            </a:rPr>
            <a:t> (1110,1111,1120,1320,1321,1510,1113)</a:t>
          </a:r>
          <a:endParaRPr lang="ko-KR" altLang="en-US" sz="1100">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792480</xdr:colOff>
      <xdr:row>2</xdr:row>
      <xdr:rowOff>121920</xdr:rowOff>
    </xdr:from>
    <xdr:to>
      <xdr:col>8</xdr:col>
      <xdr:colOff>289560</xdr:colOff>
      <xdr:row>5</xdr:row>
      <xdr:rowOff>152400</xdr:rowOff>
    </xdr:to>
    <xdr:sp macro="" textlink="">
      <xdr:nvSpPr>
        <xdr:cNvPr id="2" name="말풍선: 사각형 1">
          <a:extLst>
            <a:ext uri="{FF2B5EF4-FFF2-40B4-BE49-F238E27FC236}">
              <a16:creationId xmlns:a16="http://schemas.microsoft.com/office/drawing/2014/main" id="{19A0D7DA-2B4C-A579-B467-C97EAC6CDBA9}"/>
            </a:ext>
          </a:extLst>
        </xdr:cNvPr>
        <xdr:cNvSpPr/>
      </xdr:nvSpPr>
      <xdr:spPr>
        <a:xfrm>
          <a:off x="5852160" y="533400"/>
          <a:ext cx="1615440" cy="861060"/>
        </a:xfrm>
        <a:prstGeom prst="wedgeRectCallout">
          <a:avLst>
            <a:gd name="adj1" fmla="val -75833"/>
            <a:gd name="adj2" fmla="val -55659"/>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ko-KR" altLang="en-US" sz="900">
              <a:solidFill>
                <a:sysClr val="windowText" lastClr="000000"/>
              </a:solidFill>
              <a:latin typeface="+mn-ea"/>
              <a:ea typeface="+mn-ea"/>
            </a:rPr>
            <a:t>협업거래처의 의미</a:t>
          </a:r>
          <a:r>
            <a:rPr lang="en-US" altLang="ko-KR" sz="900">
              <a:solidFill>
                <a:sysClr val="windowText" lastClr="000000"/>
              </a:solidFill>
              <a:latin typeface="+mn-ea"/>
              <a:ea typeface="+mn-ea"/>
            </a:rPr>
            <a:t>. </a:t>
          </a:r>
          <a:r>
            <a:rPr lang="ko-KR" altLang="en-US" sz="900">
              <a:solidFill>
                <a:sysClr val="windowText" lastClr="000000"/>
              </a:solidFill>
              <a:latin typeface="+mn-ea"/>
              <a:ea typeface="+mn-ea"/>
            </a:rPr>
            <a:t>고객인지 </a:t>
          </a:r>
          <a:r>
            <a:rPr lang="en-US" altLang="ko-KR" sz="900">
              <a:solidFill>
                <a:sysClr val="windowText" lastClr="000000"/>
              </a:solidFill>
              <a:latin typeface="+mn-ea"/>
              <a:ea typeface="+mn-ea"/>
            </a:rPr>
            <a:t>ODM </a:t>
          </a:r>
          <a:r>
            <a:rPr lang="ko-KR" altLang="en-US" sz="900">
              <a:solidFill>
                <a:sysClr val="windowText" lastClr="000000"/>
              </a:solidFill>
              <a:latin typeface="+mn-ea"/>
              <a:ea typeface="+mn-ea"/>
            </a:rPr>
            <a:t>업체인지 확인필요</a:t>
          </a:r>
          <a:r>
            <a:rPr lang="en-US" altLang="ko-KR" sz="900">
              <a:solidFill>
                <a:sysClr val="windowText" lastClr="000000"/>
              </a:solidFill>
              <a:latin typeface="+mn-ea"/>
              <a:ea typeface="+mn-ea"/>
            </a:rPr>
            <a:t>. </a:t>
          </a:r>
          <a:r>
            <a:rPr lang="ko-KR" altLang="en-US" sz="900">
              <a:solidFill>
                <a:sysClr val="windowText" lastClr="000000"/>
              </a:solidFill>
              <a:latin typeface="+mn-ea"/>
              <a:ea typeface="+mn-ea"/>
            </a:rPr>
            <a:t>재고의 소유권</a:t>
          </a:r>
          <a:r>
            <a:rPr lang="en-US" altLang="ko-KR" sz="900">
              <a:solidFill>
                <a:sysClr val="windowText" lastClr="000000"/>
              </a:solidFill>
              <a:latin typeface="+mn-ea"/>
              <a:ea typeface="+mn-ea"/>
            </a:rPr>
            <a:t>?</a:t>
          </a:r>
        </a:p>
        <a:p>
          <a:pPr algn="l"/>
          <a:endParaRPr lang="ko-KR" altLang="en-US" sz="900">
            <a:solidFill>
              <a:sysClr val="windowText" lastClr="000000"/>
            </a:solidFill>
            <a:latin typeface="+mn-ea"/>
            <a:ea typeface="+mn-ea"/>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601980</xdr:colOff>
      <xdr:row>1</xdr:row>
      <xdr:rowOff>243840</xdr:rowOff>
    </xdr:from>
    <xdr:to>
      <xdr:col>8</xdr:col>
      <xdr:colOff>68580</xdr:colOff>
      <xdr:row>4</xdr:row>
      <xdr:rowOff>198120</xdr:rowOff>
    </xdr:to>
    <xdr:sp macro="" textlink="">
      <xdr:nvSpPr>
        <xdr:cNvPr id="2" name="말풍선: 사각형 1">
          <a:extLst>
            <a:ext uri="{FF2B5EF4-FFF2-40B4-BE49-F238E27FC236}">
              <a16:creationId xmlns:a16="http://schemas.microsoft.com/office/drawing/2014/main" id="{52590C90-58E0-440D-BE99-DB70DE2E5DFD}"/>
            </a:ext>
          </a:extLst>
        </xdr:cNvPr>
        <xdr:cNvSpPr/>
      </xdr:nvSpPr>
      <xdr:spPr>
        <a:xfrm>
          <a:off x="5661660" y="365760"/>
          <a:ext cx="1584960" cy="853440"/>
        </a:xfrm>
        <a:prstGeom prst="wedgeRectCallout">
          <a:avLst>
            <a:gd name="adj1" fmla="val -72275"/>
            <a:gd name="adj2" fmla="val -36608"/>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900">
              <a:solidFill>
                <a:sysClr val="windowText" lastClr="000000"/>
              </a:solidFill>
              <a:latin typeface="+mn-ea"/>
              <a:ea typeface="+mn-ea"/>
            </a:rPr>
            <a:t>BW</a:t>
          </a:r>
          <a:r>
            <a:rPr lang="ko-KR" altLang="en-US" sz="900">
              <a:solidFill>
                <a:sysClr val="windowText" lastClr="000000"/>
              </a:solidFill>
              <a:latin typeface="+mn-ea"/>
              <a:ea typeface="+mn-ea"/>
            </a:rPr>
            <a:t>에서 </a:t>
          </a:r>
          <a:r>
            <a:rPr lang="en-US" altLang="ko-KR" sz="900">
              <a:solidFill>
                <a:sysClr val="windowText" lastClr="000000"/>
              </a:solidFill>
              <a:latin typeface="+mn-ea"/>
              <a:ea typeface="+mn-ea"/>
            </a:rPr>
            <a:t>PG1</a:t>
          </a:r>
          <a:r>
            <a:rPr lang="en-US" altLang="ko-KR" sz="900" baseline="0">
              <a:solidFill>
                <a:sysClr val="windowText" lastClr="000000"/>
              </a:solidFill>
              <a:latin typeface="+mn-ea"/>
              <a:ea typeface="+mn-ea"/>
            </a:rPr>
            <a:t> </a:t>
          </a:r>
          <a:r>
            <a:rPr lang="ko-KR" altLang="en-US" sz="900" baseline="0">
              <a:solidFill>
                <a:sysClr val="windowText" lastClr="000000"/>
              </a:solidFill>
              <a:latin typeface="+mn-ea"/>
              <a:ea typeface="+mn-ea"/>
            </a:rPr>
            <a:t>또는 </a:t>
          </a:r>
          <a:r>
            <a:rPr lang="en-US" altLang="ko-KR" sz="900" baseline="0">
              <a:solidFill>
                <a:sysClr val="windowText" lastClr="000000"/>
              </a:solidFill>
              <a:latin typeface="+mn-ea"/>
              <a:ea typeface="+mn-ea"/>
            </a:rPr>
            <a:t>pg2 </a:t>
          </a:r>
          <a:r>
            <a:rPr lang="ko-KR" altLang="en-US" sz="900" baseline="0">
              <a:solidFill>
                <a:sysClr val="windowText" lastClr="000000"/>
              </a:solidFill>
              <a:latin typeface="+mn-ea"/>
              <a:ea typeface="+mn-ea"/>
            </a:rPr>
            <a:t>기준으로 기타수요를 </a:t>
          </a:r>
          <a:r>
            <a:rPr lang="en-US" altLang="ko-KR" sz="900" baseline="0">
              <a:solidFill>
                <a:sysClr val="windowText" lastClr="000000"/>
              </a:solidFill>
              <a:latin typeface="+mn-ea"/>
              <a:ea typeface="+mn-ea"/>
            </a:rPr>
            <a:t>aplan</a:t>
          </a:r>
          <a:r>
            <a:rPr lang="ko-KR" altLang="en-US" sz="900" baseline="0">
              <a:solidFill>
                <a:sysClr val="windowText" lastClr="000000"/>
              </a:solidFill>
              <a:latin typeface="+mn-ea"/>
              <a:ea typeface="+mn-ea"/>
            </a:rPr>
            <a:t>으로 인터페이스</a:t>
          </a:r>
          <a:r>
            <a:rPr lang="en-US" altLang="ko-KR" sz="900" baseline="0">
              <a:solidFill>
                <a:sysClr val="windowText" lastClr="000000"/>
              </a:solidFill>
              <a:latin typeface="+mn-ea"/>
              <a:ea typeface="+mn-ea"/>
            </a:rPr>
            <a:t>?</a:t>
          </a:r>
        </a:p>
        <a:p>
          <a:pPr algn="l"/>
          <a:endParaRPr lang="ko-KR" altLang="en-US" sz="900">
            <a:solidFill>
              <a:sysClr val="windowText" lastClr="000000"/>
            </a:solidFill>
            <a:latin typeface="+mn-ea"/>
            <a:ea typeface="+mn-ea"/>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213360</xdr:colOff>
      <xdr:row>20</xdr:row>
      <xdr:rowOff>7620</xdr:rowOff>
    </xdr:from>
    <xdr:to>
      <xdr:col>9</xdr:col>
      <xdr:colOff>502920</xdr:colOff>
      <xdr:row>27</xdr:row>
      <xdr:rowOff>7620</xdr:rowOff>
    </xdr:to>
    <xdr:sp macro="" textlink="">
      <xdr:nvSpPr>
        <xdr:cNvPr id="2" name="직사각형 1">
          <a:extLst>
            <a:ext uri="{FF2B5EF4-FFF2-40B4-BE49-F238E27FC236}">
              <a16:creationId xmlns:a16="http://schemas.microsoft.com/office/drawing/2014/main" id="{D3694D7E-B790-E2D3-FDAA-7A426E963B21}"/>
            </a:ext>
          </a:extLst>
        </xdr:cNvPr>
        <xdr:cNvSpPr/>
      </xdr:nvSpPr>
      <xdr:spPr>
        <a:xfrm>
          <a:off x="3322320" y="4587240"/>
          <a:ext cx="4732020" cy="122682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400">
              <a:solidFill>
                <a:sysClr val="windowText" lastClr="000000"/>
              </a:solidFill>
              <a:latin typeface="+mn-ea"/>
              <a:ea typeface="+mn-ea"/>
            </a:rPr>
            <a:t>구매조직 필터상 포장재 포함 여부 확인할것</a:t>
          </a:r>
          <a:endParaRPr lang="en-US" altLang="ko-KR" sz="1400">
            <a:solidFill>
              <a:sysClr val="windowText" lastClr="000000"/>
            </a:solidFill>
            <a:latin typeface="+mn-ea"/>
            <a:ea typeface="+mn-ea"/>
          </a:endParaRPr>
        </a:p>
        <a:p>
          <a:pPr algn="l"/>
          <a:r>
            <a:rPr lang="en-US" altLang="ko-KR" sz="1400">
              <a:solidFill>
                <a:sysClr val="windowText" lastClr="000000"/>
              </a:solidFill>
              <a:latin typeface="+mn-ea"/>
              <a:ea typeface="+mn-ea"/>
            </a:rPr>
            <a:t>==&gt;</a:t>
          </a:r>
          <a:r>
            <a:rPr lang="en-US" altLang="ko-KR" sz="1400" baseline="0">
              <a:solidFill>
                <a:sysClr val="windowText" lastClr="000000"/>
              </a:solidFill>
              <a:latin typeface="+mn-ea"/>
              <a:ea typeface="+mn-ea"/>
            </a:rPr>
            <a:t> </a:t>
          </a:r>
          <a:r>
            <a:rPr lang="ko-KR" altLang="en-US" sz="1400" baseline="0">
              <a:solidFill>
                <a:sysClr val="windowText" lastClr="000000"/>
              </a:solidFill>
              <a:latin typeface="+mn-ea"/>
              <a:ea typeface="+mn-ea"/>
            </a:rPr>
            <a:t>구매조직 </a:t>
          </a:r>
          <a:r>
            <a:rPr lang="en-US" altLang="ko-KR" sz="1400" baseline="0">
              <a:solidFill>
                <a:sysClr val="windowText" lastClr="000000"/>
              </a:solidFill>
              <a:latin typeface="+mn-ea"/>
              <a:ea typeface="+mn-ea"/>
            </a:rPr>
            <a:t>2000,  2100</a:t>
          </a:r>
          <a:r>
            <a:rPr lang="ko-KR" altLang="en-US" sz="1400" baseline="0">
              <a:solidFill>
                <a:sysClr val="windowText" lastClr="000000"/>
              </a:solidFill>
              <a:latin typeface="+mn-ea"/>
              <a:ea typeface="+mn-ea"/>
            </a:rPr>
            <a:t>포함되어 있음</a:t>
          </a:r>
          <a:endParaRPr lang="en-US" altLang="ko-KR" sz="1400" baseline="0">
            <a:solidFill>
              <a:sysClr val="windowText" lastClr="000000"/>
            </a:solidFill>
            <a:latin typeface="+mn-ea"/>
            <a:ea typeface="+mn-ea"/>
          </a:endParaRPr>
        </a:p>
        <a:p>
          <a:pPr algn="l"/>
          <a:endParaRPr lang="ko-KR" altLang="en-US" sz="1400">
            <a:solidFill>
              <a:sysClr val="windowText" lastClr="000000"/>
            </a:solidFill>
            <a:latin typeface="+mn-ea"/>
            <a:ea typeface="+mn-ea"/>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55581</xdr:colOff>
      <xdr:row>28</xdr:row>
      <xdr:rowOff>130214</xdr:rowOff>
    </xdr:from>
    <xdr:to>
      <xdr:col>11</xdr:col>
      <xdr:colOff>831252</xdr:colOff>
      <xdr:row>37</xdr:row>
      <xdr:rowOff>1</xdr:rowOff>
    </xdr:to>
    <xdr:sp macro="" textlink="">
      <xdr:nvSpPr>
        <xdr:cNvPr id="5" name="직사각형 1">
          <a:extLst>
            <a:ext uri="{FF2B5EF4-FFF2-40B4-BE49-F238E27FC236}">
              <a16:creationId xmlns:a16="http://schemas.microsoft.com/office/drawing/2014/main" id="{0AA53E38-12A5-636F-F0A9-CAA11F34E90A}"/>
            </a:ext>
          </a:extLst>
        </xdr:cNvPr>
        <xdr:cNvSpPr/>
      </xdr:nvSpPr>
      <xdr:spPr>
        <a:xfrm>
          <a:off x="2666552" y="5632302"/>
          <a:ext cx="7297494" cy="1382581"/>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900">
              <a:solidFill>
                <a:sysClr val="windowText" lastClr="000000"/>
              </a:solidFill>
              <a:latin typeface="+mn-ea"/>
              <a:ea typeface="+mn-ea"/>
            </a:rPr>
            <a:t>기존 맵핑정의서</a:t>
          </a:r>
          <a:r>
            <a:rPr lang="en-US" altLang="ko-KR" sz="900">
              <a:solidFill>
                <a:sysClr val="windowText" lastClr="000000"/>
              </a:solidFill>
              <a:latin typeface="+mn-ea"/>
              <a:ea typeface="+mn-ea"/>
            </a:rPr>
            <a:t>(SOP</a:t>
          </a:r>
          <a:r>
            <a:rPr lang="ko-KR" altLang="en-US" sz="900">
              <a:solidFill>
                <a:sysClr val="windowText" lastClr="000000"/>
              </a:solidFill>
              <a:latin typeface="+mn-ea"/>
              <a:ea typeface="+mn-ea"/>
            </a:rPr>
            <a:t>잔량</a:t>
          </a:r>
          <a:r>
            <a:rPr lang="en-US" altLang="ko-KR" sz="900">
              <a:solidFill>
                <a:sysClr val="windowText" lastClr="000000"/>
              </a:solidFill>
              <a:latin typeface="+mn-ea"/>
              <a:ea typeface="+mn-ea"/>
            </a:rPr>
            <a:t>(</a:t>
          </a:r>
          <a:r>
            <a:rPr lang="ko-KR" altLang="en-US" sz="900">
              <a:solidFill>
                <a:sysClr val="windowText" lastClr="000000"/>
              </a:solidFill>
              <a:latin typeface="+mn-ea"/>
              <a:ea typeface="+mn-ea"/>
            </a:rPr>
            <a:t>선적잔량</a:t>
          </a:r>
          <a:r>
            <a:rPr lang="en-US" altLang="ko-KR" sz="900">
              <a:solidFill>
                <a:sysClr val="windowText" lastClr="000000"/>
              </a:solidFill>
              <a:latin typeface="+mn-ea"/>
              <a:ea typeface="+mn-ea"/>
            </a:rPr>
            <a:t>))</a:t>
          </a:r>
          <a:r>
            <a:rPr lang="ko-KR" altLang="en-US" sz="900">
              <a:solidFill>
                <a:sysClr val="windowText" lastClr="000000"/>
              </a:solidFill>
              <a:latin typeface="+mn-ea"/>
              <a:ea typeface="+mn-ea"/>
            </a:rPr>
            <a:t>에 </a:t>
          </a:r>
          <a:r>
            <a:rPr lang="en-US" altLang="ko-KR" sz="900">
              <a:solidFill>
                <a:sysClr val="windowText" lastClr="000000"/>
              </a:solidFill>
              <a:latin typeface="+mn-ea"/>
              <a:ea typeface="+mn-ea"/>
            </a:rPr>
            <a:t>ZSCT0080 </a:t>
          </a:r>
          <a:r>
            <a:rPr lang="ko-KR" altLang="en-US" sz="900">
              <a:solidFill>
                <a:sysClr val="windowText" lastClr="000000"/>
              </a:solidFill>
              <a:latin typeface="+mn-ea"/>
              <a:ea typeface="+mn-ea"/>
            </a:rPr>
            <a:t>테이블에</a:t>
          </a:r>
          <a:r>
            <a:rPr lang="en-US" altLang="ko-KR" sz="900">
              <a:solidFill>
                <a:sysClr val="windowText" lastClr="000000"/>
              </a:solidFill>
              <a:latin typeface="+mn-ea"/>
              <a:ea typeface="+mn-ea"/>
            </a:rPr>
            <a:t>-KUNNR(</a:t>
          </a:r>
          <a:r>
            <a:rPr lang="ko-KR" altLang="en-US" sz="900">
              <a:solidFill>
                <a:sysClr val="windowText" lastClr="000000"/>
              </a:solidFill>
              <a:latin typeface="+mn-ea"/>
              <a:ea typeface="+mn-ea"/>
            </a:rPr>
            <a:t>거래처추가</a:t>
          </a:r>
          <a:r>
            <a:rPr lang="en-US" altLang="ko-KR" sz="900">
              <a:solidFill>
                <a:sysClr val="windowText" lastClr="000000"/>
              </a:solidFill>
              <a:latin typeface="+mn-ea"/>
              <a:ea typeface="+mn-ea"/>
            </a:rPr>
            <a:t>) </a:t>
          </a:r>
          <a:r>
            <a:rPr lang="ko-KR" altLang="en-US" sz="900">
              <a:solidFill>
                <a:sysClr val="windowText" lastClr="000000"/>
              </a:solidFill>
              <a:latin typeface="+mn-ea"/>
              <a:ea typeface="+mn-ea"/>
            </a:rPr>
            <a:t>추가  필요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533399</xdr:colOff>
      <xdr:row>18</xdr:row>
      <xdr:rowOff>85725</xdr:rowOff>
    </xdr:from>
    <xdr:to>
      <xdr:col>9</xdr:col>
      <xdr:colOff>1209674</xdr:colOff>
      <xdr:row>24</xdr:row>
      <xdr:rowOff>114300</xdr:rowOff>
    </xdr:to>
    <xdr:sp macro="" textlink="">
      <xdr:nvSpPr>
        <xdr:cNvPr id="4" name="직사각형 3">
          <a:extLst>
            <a:ext uri="{FF2B5EF4-FFF2-40B4-BE49-F238E27FC236}">
              <a16:creationId xmlns:a16="http://schemas.microsoft.com/office/drawing/2014/main" id="{2208ADFE-6530-2953-BD79-D8E6307FAA9F}"/>
            </a:ext>
          </a:extLst>
        </xdr:cNvPr>
        <xdr:cNvSpPr/>
      </xdr:nvSpPr>
      <xdr:spPr>
        <a:xfrm>
          <a:off x="2476499" y="3924300"/>
          <a:ext cx="6353175" cy="1057275"/>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200">
              <a:solidFill>
                <a:sysClr val="windowText" lastClr="000000"/>
              </a:solidFill>
              <a:latin typeface="+mn-ea"/>
              <a:ea typeface="+mn-ea"/>
            </a:rPr>
            <a:t>'- </a:t>
          </a:r>
          <a:r>
            <a:rPr lang="ko-KR" altLang="en-US" sz="1200">
              <a:solidFill>
                <a:sysClr val="windowText" lastClr="000000"/>
              </a:solidFill>
              <a:latin typeface="+mn-ea"/>
              <a:ea typeface="+mn-ea"/>
            </a:rPr>
            <a:t>기존 </a:t>
          </a:r>
          <a:r>
            <a:rPr lang="en-US" altLang="ko-KR" sz="1200">
              <a:solidFill>
                <a:sysClr val="windowText" lastClr="000000"/>
              </a:solidFill>
              <a:latin typeface="+mn-ea"/>
              <a:ea typeface="+mn-ea"/>
            </a:rPr>
            <a:t>[</a:t>
          </a:r>
          <a:r>
            <a:rPr lang="ko-KR" altLang="en-US" sz="1200">
              <a:solidFill>
                <a:sysClr val="windowText" lastClr="000000"/>
              </a:solidFill>
              <a:latin typeface="+mn-ea"/>
              <a:ea typeface="+mn-ea"/>
            </a:rPr>
            <a:t>반제품</a:t>
          </a:r>
          <a:r>
            <a:rPr lang="en-US" altLang="ko-KR" sz="1200">
              <a:solidFill>
                <a:sysClr val="windowText" lastClr="000000"/>
              </a:solidFill>
              <a:latin typeface="+mn-ea"/>
              <a:ea typeface="+mn-ea"/>
            </a:rPr>
            <a:t>_</a:t>
          </a:r>
          <a:r>
            <a:rPr lang="ko-KR" altLang="en-US" sz="1200">
              <a:solidFill>
                <a:sysClr val="windowText" lastClr="000000"/>
              </a:solidFill>
              <a:latin typeface="+mn-ea"/>
              <a:ea typeface="+mn-ea"/>
            </a:rPr>
            <a:t>포장재</a:t>
          </a:r>
          <a:r>
            <a:rPr lang="en-US" altLang="ko-KR" sz="1200">
              <a:solidFill>
                <a:sysClr val="windowText" lastClr="000000"/>
              </a:solidFill>
              <a:latin typeface="+mn-ea"/>
              <a:ea typeface="+mn-ea"/>
            </a:rPr>
            <a:t>_</a:t>
          </a:r>
          <a:r>
            <a:rPr lang="ko-KR" altLang="en-US" sz="1200">
              <a:solidFill>
                <a:sysClr val="windowText" lastClr="000000"/>
              </a:solidFill>
              <a:latin typeface="+mn-ea"/>
              <a:ea typeface="+mn-ea"/>
            </a:rPr>
            <a:t>재고</a:t>
          </a:r>
          <a:r>
            <a:rPr lang="en-US" altLang="ko-KR" sz="1200">
              <a:solidFill>
                <a:sysClr val="windowText" lastClr="000000"/>
              </a:solidFill>
              <a:latin typeface="+mn-ea"/>
              <a:ea typeface="+mn-ea"/>
            </a:rPr>
            <a:t>] </a:t>
          </a:r>
          <a:r>
            <a:rPr lang="ko-KR" altLang="en-US" sz="1200">
              <a:solidFill>
                <a:sysClr val="windowText" lastClr="000000"/>
              </a:solidFill>
              <a:latin typeface="+mn-ea"/>
              <a:ea typeface="+mn-ea"/>
            </a:rPr>
            <a:t>인터페이스의 </a:t>
          </a:r>
          <a:r>
            <a:rPr lang="en-US" altLang="ko-KR" sz="1200">
              <a:solidFill>
                <a:sysClr val="windowText" lastClr="000000"/>
              </a:solidFill>
              <a:latin typeface="+mn-ea"/>
              <a:ea typeface="+mn-ea"/>
            </a:rPr>
            <a:t>SAP </a:t>
          </a:r>
          <a:r>
            <a:rPr lang="ko-KR" altLang="en-US" sz="1200">
              <a:solidFill>
                <a:sysClr val="windowText" lastClr="000000"/>
              </a:solidFill>
              <a:latin typeface="+mn-ea"/>
              <a:ea typeface="+mn-ea"/>
            </a:rPr>
            <a:t>집계 프로그램 </a:t>
          </a:r>
          <a:r>
            <a:rPr lang="en-US" altLang="ko-KR" sz="1200">
              <a:solidFill>
                <a:sysClr val="windowText" lastClr="000000"/>
              </a:solidFill>
              <a:latin typeface="+mn-ea"/>
              <a:ea typeface="+mn-ea"/>
            </a:rPr>
            <a:t>ZPP02270</a:t>
          </a:r>
          <a:r>
            <a:rPr lang="ko-KR" altLang="en-US" sz="1200">
              <a:solidFill>
                <a:sysClr val="windowText" lastClr="000000"/>
              </a:solidFill>
              <a:latin typeface="+mn-ea"/>
              <a:ea typeface="+mn-ea"/>
            </a:rPr>
            <a:t>에 자재유형 필터 조정하여 포장재 재고 추출 가능</a:t>
          </a:r>
          <a:r>
            <a:rPr lang="en-US" altLang="ko-KR" sz="1200">
              <a:solidFill>
                <a:sysClr val="windowText" lastClr="000000"/>
              </a:solidFill>
              <a:latin typeface="+mn-ea"/>
              <a:ea typeface="+mn-ea"/>
            </a:rPr>
            <a:t>(</a:t>
          </a:r>
          <a:r>
            <a:rPr lang="ko-KR" altLang="en-US" sz="1200">
              <a:solidFill>
                <a:sysClr val="windowText" lastClr="000000"/>
              </a:solidFill>
              <a:latin typeface="+mn-ea"/>
              <a:ea typeface="+mn-ea"/>
            </a:rPr>
            <a:t>플랜트의 </a:t>
          </a:r>
          <a:r>
            <a:rPr lang="en-US" altLang="ko-KR" sz="1200">
              <a:solidFill>
                <a:sysClr val="windowText" lastClr="000000"/>
              </a:solidFill>
              <a:latin typeface="+mn-ea"/>
              <a:ea typeface="+mn-ea"/>
            </a:rPr>
            <a:t>MRP </a:t>
          </a:r>
          <a:r>
            <a:rPr lang="ko-KR" altLang="en-US" sz="1200">
              <a:solidFill>
                <a:sysClr val="windowText" lastClr="000000"/>
              </a:solidFill>
              <a:latin typeface="+mn-ea"/>
              <a:ea typeface="+mn-ea"/>
            </a:rPr>
            <a:t>대상 저장위치 전체 재고 집계</a:t>
          </a:r>
          <a:r>
            <a:rPr lang="en-US" altLang="ko-KR" sz="1200">
              <a:solidFill>
                <a:sysClr val="windowText" lastClr="000000"/>
              </a:solidFill>
              <a:latin typeface="+mn-ea"/>
              <a:ea typeface="+mn-ea"/>
            </a:rPr>
            <a:t>)</a:t>
          </a:r>
        </a:p>
        <a:p>
          <a:pPr algn="l"/>
          <a:r>
            <a:rPr lang="en-US" altLang="ko-KR" sz="1200">
              <a:solidFill>
                <a:sysClr val="windowText" lastClr="000000"/>
              </a:solidFill>
              <a:latin typeface="+mn-ea"/>
              <a:ea typeface="+mn-ea"/>
            </a:rPr>
            <a:t>- [</a:t>
          </a:r>
          <a:r>
            <a:rPr lang="ko-KR" altLang="en-US" sz="1200">
              <a:solidFill>
                <a:sysClr val="windowText" lastClr="000000"/>
              </a:solidFill>
              <a:latin typeface="+mn-ea"/>
              <a:ea typeface="+mn-ea"/>
            </a:rPr>
            <a:t>가용</a:t>
          </a:r>
          <a:r>
            <a:rPr lang="en-US" altLang="ko-KR" sz="1200">
              <a:solidFill>
                <a:sysClr val="windowText" lastClr="000000"/>
              </a:solidFill>
              <a:latin typeface="+mn-ea"/>
              <a:ea typeface="+mn-ea"/>
            </a:rPr>
            <a:t>] + [</a:t>
          </a:r>
          <a:r>
            <a:rPr lang="ko-KR" altLang="en-US" sz="1200">
              <a:solidFill>
                <a:sysClr val="windowText" lastClr="000000"/>
              </a:solidFill>
              <a:latin typeface="+mn-ea"/>
              <a:ea typeface="+mn-ea"/>
            </a:rPr>
            <a:t>품질 검사</a:t>
          </a:r>
          <a:r>
            <a:rPr lang="en-US" altLang="ko-KR" sz="1200">
              <a:solidFill>
                <a:sysClr val="windowText" lastClr="000000"/>
              </a:solidFill>
              <a:latin typeface="+mn-ea"/>
              <a:ea typeface="+mn-ea"/>
            </a:rPr>
            <a:t>] + [</a:t>
          </a:r>
          <a:r>
            <a:rPr lang="ko-KR" altLang="en-US" sz="1200">
              <a:solidFill>
                <a:sysClr val="windowText" lastClr="000000"/>
              </a:solidFill>
              <a:latin typeface="+mn-ea"/>
              <a:ea typeface="+mn-ea"/>
            </a:rPr>
            <a:t>업체 평가재고</a:t>
          </a:r>
          <a:r>
            <a:rPr lang="en-US" altLang="ko-KR" sz="1200">
              <a:solidFill>
                <a:sysClr val="windowText" lastClr="000000"/>
              </a:solidFill>
              <a:latin typeface="+mn-ea"/>
              <a:ea typeface="+mn-ea"/>
            </a:rPr>
            <a:t>] </a:t>
          </a:r>
          <a:r>
            <a:rPr lang="ko-KR" altLang="en-US" sz="1200">
              <a:solidFill>
                <a:sysClr val="windowText" lastClr="000000"/>
              </a:solidFill>
              <a:latin typeface="+mn-ea"/>
              <a:ea typeface="+mn-ea"/>
            </a:rPr>
            <a:t>합계를 현재고로 간주</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1183004</xdr:colOff>
      <xdr:row>31</xdr:row>
      <xdr:rowOff>83820</xdr:rowOff>
    </xdr:from>
    <xdr:to>
      <xdr:col>7</xdr:col>
      <xdr:colOff>666749</xdr:colOff>
      <xdr:row>40</xdr:row>
      <xdr:rowOff>20955</xdr:rowOff>
    </xdr:to>
    <xdr:sp macro="" textlink="">
      <xdr:nvSpPr>
        <xdr:cNvPr id="2" name="직사각형 1">
          <a:extLst>
            <a:ext uri="{FF2B5EF4-FFF2-40B4-BE49-F238E27FC236}">
              <a16:creationId xmlns:a16="http://schemas.microsoft.com/office/drawing/2014/main" id="{058DDD56-C711-482D-29D1-75FA07CA09D6}"/>
            </a:ext>
          </a:extLst>
        </xdr:cNvPr>
        <xdr:cNvSpPr/>
      </xdr:nvSpPr>
      <xdr:spPr>
        <a:xfrm>
          <a:off x="1735454" y="6236970"/>
          <a:ext cx="4408170" cy="1556385"/>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000">
              <a:solidFill>
                <a:sysClr val="windowText" lastClr="000000"/>
              </a:solidFill>
              <a:latin typeface="+mn-ea"/>
              <a:ea typeface="+mn-ea"/>
            </a:rPr>
            <a:t>PRTN_ID  </a:t>
          </a:r>
          <a:r>
            <a:rPr lang="ko-KR" altLang="en-US" sz="1000">
              <a:solidFill>
                <a:sysClr val="windowText" lastClr="000000"/>
              </a:solidFill>
              <a:latin typeface="+mn-ea"/>
              <a:ea typeface="+mn-ea"/>
            </a:rPr>
            <a:t>기준으로  주단위 </a:t>
          </a:r>
          <a:r>
            <a:rPr lang="en-US" altLang="ko-KR" sz="1000">
              <a:solidFill>
                <a:sysClr val="windowText" lastClr="000000"/>
              </a:solidFill>
              <a:latin typeface="+mn-ea"/>
              <a:ea typeface="+mn-ea"/>
            </a:rPr>
            <a:t>SKU</a:t>
          </a:r>
          <a:r>
            <a:rPr lang="ko-KR" altLang="en-US" sz="1000">
              <a:solidFill>
                <a:sysClr val="windowText" lastClr="000000"/>
              </a:solidFill>
              <a:latin typeface="+mn-ea"/>
              <a:ea typeface="+mn-ea"/>
            </a:rPr>
            <a:t>단위 </a:t>
          </a:r>
          <a:r>
            <a:rPr lang="en-US" altLang="ko-KR" sz="1000">
              <a:solidFill>
                <a:sysClr val="windowText" lastClr="000000"/>
              </a:solidFill>
              <a:latin typeface="+mn-ea"/>
              <a:ea typeface="+mn-ea"/>
            </a:rPr>
            <a:t>aggregation</a:t>
          </a:r>
          <a:r>
            <a:rPr lang="ko-KR" altLang="en-US" sz="1000">
              <a:solidFill>
                <a:sysClr val="windowText" lastClr="000000"/>
              </a:solidFill>
              <a:latin typeface="+mn-ea"/>
              <a:ea typeface="+mn-ea"/>
            </a:rPr>
            <a:t>하여 활용</a:t>
          </a:r>
          <a:endParaRPr lang="en-US" altLang="ko-KR" sz="1000">
            <a:solidFill>
              <a:sysClr val="windowText" lastClr="000000"/>
            </a:solidFill>
            <a:latin typeface="+mn-ea"/>
            <a:ea typeface="+mn-ea"/>
          </a:endParaRPr>
        </a:p>
        <a:p>
          <a:pPr algn="l"/>
          <a:endParaRPr lang="en-US" altLang="ko-KR" sz="1000">
            <a:solidFill>
              <a:sysClr val="windowText" lastClr="000000"/>
            </a:solidFill>
            <a:latin typeface="+mn-ea"/>
            <a:ea typeface="+mn-ea"/>
          </a:endParaRPr>
        </a:p>
        <a:p>
          <a:pPr algn="l"/>
          <a:r>
            <a:rPr lang="ko-KR" altLang="en-US" sz="1000">
              <a:solidFill>
                <a:sysClr val="windowText" lastClr="000000"/>
              </a:solidFill>
              <a:latin typeface="+mn-ea"/>
              <a:ea typeface="+mn-ea"/>
            </a:rPr>
            <a:t>해당 거래처의 영업조직 </a:t>
          </a:r>
          <a:r>
            <a:rPr lang="en-US" altLang="ko-KR" sz="1000">
              <a:solidFill>
                <a:sysClr val="windowText" lastClr="000000"/>
              </a:solidFill>
              <a:latin typeface="+mn-ea"/>
              <a:ea typeface="+mn-ea"/>
            </a:rPr>
            <a:t>- PG</a:t>
          </a:r>
          <a:r>
            <a:rPr lang="en-US" altLang="ko-KR" sz="1000" baseline="0">
              <a:solidFill>
                <a:sysClr val="windowText" lastClr="000000"/>
              </a:solidFill>
              <a:latin typeface="+mn-ea"/>
              <a:ea typeface="+mn-ea"/>
            </a:rPr>
            <a:t> </a:t>
          </a:r>
          <a:r>
            <a:rPr lang="ko-KR" altLang="en-US" sz="1000" baseline="0">
              <a:solidFill>
                <a:sysClr val="windowText" lastClr="000000"/>
              </a:solidFill>
              <a:latin typeface="+mn-ea"/>
              <a:ea typeface="+mn-ea"/>
            </a:rPr>
            <a:t>단위 </a:t>
          </a:r>
          <a:r>
            <a:rPr lang="ko-KR" altLang="en-US" sz="1000">
              <a:solidFill>
                <a:sysClr val="windowText" lastClr="000000"/>
              </a:solidFill>
              <a:latin typeface="+mn-ea"/>
              <a:ea typeface="+mn-ea"/>
            </a:rPr>
            <a:t> </a:t>
          </a:r>
          <a:r>
            <a:rPr lang="en-US" altLang="ko-KR" sz="1000">
              <a:solidFill>
                <a:sysClr val="windowText" lastClr="000000"/>
              </a:solidFill>
              <a:latin typeface="+mn-ea"/>
              <a:ea typeface="+mn-ea"/>
            </a:rPr>
            <a:t>- </a:t>
          </a:r>
          <a:r>
            <a:rPr lang="ko-KR" altLang="en-US" sz="1000">
              <a:solidFill>
                <a:sysClr val="windowText" lastClr="000000"/>
              </a:solidFill>
              <a:latin typeface="+mn-ea"/>
              <a:ea typeface="+mn-ea"/>
            </a:rPr>
            <a:t>주단위 실적 구한뒤 아카이빙후 </a:t>
          </a:r>
          <a:endParaRPr lang="en-US" altLang="ko-KR" sz="1000">
            <a:solidFill>
              <a:sysClr val="windowText" lastClr="000000"/>
            </a:solidFill>
            <a:latin typeface="+mn-ea"/>
            <a:ea typeface="+mn-ea"/>
          </a:endParaRPr>
        </a:p>
        <a:p>
          <a:pPr algn="l"/>
          <a:endParaRPr lang="en-US" altLang="ko-KR" sz="1000">
            <a:solidFill>
              <a:sysClr val="windowText" lastClr="000000"/>
            </a:solidFill>
            <a:latin typeface="+mn-ea"/>
            <a:ea typeface="+mn-ea"/>
          </a:endParaRPr>
        </a:p>
        <a:p>
          <a:pPr algn="l"/>
          <a:r>
            <a:rPr lang="ko-KR" altLang="en-US" sz="1000">
              <a:solidFill>
                <a:sysClr val="windowText" lastClr="000000"/>
              </a:solidFill>
              <a:latin typeface="+mn-ea"/>
              <a:ea typeface="+mn-ea"/>
            </a:rPr>
            <a:t>일별 </a:t>
          </a:r>
          <a:r>
            <a:rPr lang="en-US" altLang="ko-KR" sz="1000">
              <a:solidFill>
                <a:sysClr val="windowText" lastClr="000000"/>
              </a:solidFill>
              <a:latin typeface="+mn-ea"/>
              <a:ea typeface="+mn-ea"/>
            </a:rPr>
            <a:t>RAW </a:t>
          </a:r>
          <a:r>
            <a:rPr lang="ko-KR" altLang="en-US" sz="1000">
              <a:solidFill>
                <a:sysClr val="windowText" lastClr="000000"/>
              </a:solidFill>
              <a:latin typeface="+mn-ea"/>
              <a:ea typeface="+mn-ea"/>
            </a:rPr>
            <a:t>데이터</a:t>
          </a:r>
          <a:r>
            <a:rPr lang="ko-KR" altLang="en-US" sz="1000" baseline="0">
              <a:solidFill>
                <a:sysClr val="windowText" lastClr="000000"/>
              </a:solidFill>
              <a:latin typeface="+mn-ea"/>
              <a:ea typeface="+mn-ea"/>
            </a:rPr>
            <a:t> </a:t>
          </a:r>
          <a:r>
            <a:rPr lang="en-US" altLang="ko-KR" sz="1000" baseline="0">
              <a:solidFill>
                <a:sysClr val="windowText" lastClr="000000"/>
              </a:solidFill>
              <a:latin typeface="+mn-ea"/>
              <a:ea typeface="+mn-ea"/>
            </a:rPr>
            <a:t>1</a:t>
          </a:r>
          <a:r>
            <a:rPr lang="ko-KR" altLang="en-US" sz="1000" baseline="0">
              <a:solidFill>
                <a:sysClr val="windowText" lastClr="000000"/>
              </a:solidFill>
              <a:latin typeface="+mn-ea"/>
              <a:ea typeface="+mn-ea"/>
            </a:rPr>
            <a:t>개월 보관뒤 삭제</a:t>
          </a:r>
          <a:endParaRPr lang="ko-KR" altLang="en-US" sz="1000">
            <a:solidFill>
              <a:sysClr val="windowText" lastClr="000000"/>
            </a:solidFill>
            <a:latin typeface="+mn-ea"/>
            <a:ea typeface="+mn-ea"/>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1819275</xdr:colOff>
      <xdr:row>32</xdr:row>
      <xdr:rowOff>161925</xdr:rowOff>
    </xdr:from>
    <xdr:to>
      <xdr:col>7</xdr:col>
      <xdr:colOff>295275</xdr:colOff>
      <xdr:row>36</xdr:row>
      <xdr:rowOff>66675</xdr:rowOff>
    </xdr:to>
    <xdr:sp macro="" textlink="">
      <xdr:nvSpPr>
        <xdr:cNvPr id="2" name="직사각형 1">
          <a:extLst>
            <a:ext uri="{FF2B5EF4-FFF2-40B4-BE49-F238E27FC236}">
              <a16:creationId xmlns:a16="http://schemas.microsoft.com/office/drawing/2014/main" id="{E1F399BB-8B12-49D6-9BE5-CDA3B74F362E}"/>
            </a:ext>
          </a:extLst>
        </xdr:cNvPr>
        <xdr:cNvSpPr/>
      </xdr:nvSpPr>
      <xdr:spPr>
        <a:xfrm>
          <a:off x="2371725" y="6953250"/>
          <a:ext cx="4438650" cy="59055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800">
              <a:solidFill>
                <a:sysClr val="windowText" lastClr="000000"/>
              </a:solidFill>
              <a:latin typeface="+mn-ea"/>
              <a:ea typeface="+mn-ea"/>
            </a:rPr>
            <a:t>실제 다운 받은 데이터 컬럼 기준 수정 </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1400175</xdr:colOff>
      <xdr:row>44</xdr:row>
      <xdr:rowOff>161925</xdr:rowOff>
    </xdr:from>
    <xdr:to>
      <xdr:col>7</xdr:col>
      <xdr:colOff>733425</xdr:colOff>
      <xdr:row>50</xdr:row>
      <xdr:rowOff>133350</xdr:rowOff>
    </xdr:to>
    <xdr:sp macro="" textlink="">
      <xdr:nvSpPr>
        <xdr:cNvPr id="2" name="직사각형 1">
          <a:extLst>
            <a:ext uri="{FF2B5EF4-FFF2-40B4-BE49-F238E27FC236}">
              <a16:creationId xmlns:a16="http://schemas.microsoft.com/office/drawing/2014/main" id="{9BB73D8B-1830-7F35-6E5A-E65C9942C86B}"/>
            </a:ext>
          </a:extLst>
        </xdr:cNvPr>
        <xdr:cNvSpPr/>
      </xdr:nvSpPr>
      <xdr:spPr>
        <a:xfrm>
          <a:off x="1952625" y="9077325"/>
          <a:ext cx="4686300" cy="1000125"/>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900">
              <a:solidFill>
                <a:sysClr val="windowText" lastClr="000000"/>
              </a:solidFill>
              <a:latin typeface="+mn-ea"/>
              <a:ea typeface="+mn-ea"/>
            </a:rPr>
            <a:t>현재 임시로 에이징 데이터를 올리고 있는 </a:t>
          </a:r>
          <a:r>
            <a:rPr lang="en-US" altLang="ko-KR" sz="900">
              <a:solidFill>
                <a:sysClr val="windowText" lastClr="000000"/>
              </a:solidFill>
              <a:latin typeface="+mn-ea"/>
              <a:ea typeface="+mn-ea"/>
            </a:rPr>
            <a:t>cdp</a:t>
          </a:r>
          <a:r>
            <a:rPr lang="ko-KR" altLang="en-US" sz="900">
              <a:solidFill>
                <a:sysClr val="windowText" lastClr="000000"/>
              </a:solidFill>
              <a:latin typeface="+mn-ea"/>
              <a:ea typeface="+mn-ea"/>
            </a:rPr>
            <a:t>의 카테고리임</a:t>
          </a:r>
          <a:endParaRPr lang="en-US" altLang="ko-KR" sz="900">
            <a:solidFill>
              <a:sysClr val="windowText" lastClr="000000"/>
            </a:solidFill>
            <a:latin typeface="+mn-ea"/>
            <a:ea typeface="+mn-ea"/>
          </a:endParaRPr>
        </a:p>
        <a:p>
          <a:pPr algn="l"/>
          <a:r>
            <a:rPr lang="ko-KR" altLang="en-US" sz="900">
              <a:solidFill>
                <a:sysClr val="windowText" lastClr="000000"/>
              </a:solidFill>
              <a:latin typeface="+mn-ea"/>
              <a:ea typeface="+mn-ea"/>
            </a:rPr>
            <a:t>후순위 작업 </a:t>
          </a:r>
          <a:endParaRPr lang="en-US" altLang="ko-KR" sz="900">
            <a:solidFill>
              <a:sysClr val="windowText" lastClr="000000"/>
            </a:solidFill>
            <a:latin typeface="+mn-ea"/>
            <a:ea typeface="+mn-ea"/>
          </a:endParaRPr>
        </a:p>
        <a:p>
          <a:pPr algn="l"/>
          <a:r>
            <a:rPr lang="ko-KR" altLang="en-US" sz="900">
              <a:solidFill>
                <a:sysClr val="windowText" lastClr="000000"/>
              </a:solidFill>
              <a:latin typeface="+mn-ea"/>
              <a:ea typeface="+mn-ea"/>
            </a:rPr>
            <a:t>추후 정식 카테고리 정의후 진행 필요</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428625</xdr:colOff>
      <xdr:row>28</xdr:row>
      <xdr:rowOff>114300</xdr:rowOff>
    </xdr:from>
    <xdr:to>
      <xdr:col>7</xdr:col>
      <xdr:colOff>1524000</xdr:colOff>
      <xdr:row>37</xdr:row>
      <xdr:rowOff>133350</xdr:rowOff>
    </xdr:to>
    <xdr:sp macro="" textlink="">
      <xdr:nvSpPr>
        <xdr:cNvPr id="2" name="직사각형 1">
          <a:extLst>
            <a:ext uri="{FF2B5EF4-FFF2-40B4-BE49-F238E27FC236}">
              <a16:creationId xmlns:a16="http://schemas.microsoft.com/office/drawing/2014/main" id="{680AB4F2-DABB-DA0D-2442-09222CD6A25E}"/>
            </a:ext>
          </a:extLst>
        </xdr:cNvPr>
        <xdr:cNvSpPr/>
      </xdr:nvSpPr>
      <xdr:spPr>
        <a:xfrm>
          <a:off x="2743200" y="5791200"/>
          <a:ext cx="3505200" cy="15621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900">
              <a:solidFill>
                <a:sysClr val="windowText" lastClr="000000"/>
              </a:solidFill>
              <a:latin typeface="+mn-ea"/>
              <a:ea typeface="+mn-ea"/>
            </a:rPr>
            <a:t>코드 및 컬럼명 모두 필요 </a:t>
          </a:r>
          <a:endParaRPr lang="en-US" altLang="ko-KR" sz="900">
            <a:solidFill>
              <a:sysClr val="windowText" lastClr="000000"/>
            </a:solidFill>
            <a:latin typeface="+mn-ea"/>
            <a:ea typeface="+mn-ea"/>
          </a:endParaRPr>
        </a:p>
        <a:p>
          <a:pPr algn="l"/>
          <a:r>
            <a:rPr lang="en-US" altLang="ko-KR" sz="900">
              <a:solidFill>
                <a:sysClr val="windowText" lastClr="000000"/>
              </a:solidFill>
              <a:latin typeface="+mn-ea"/>
              <a:ea typeface="+mn-ea"/>
            </a:rPr>
            <a:t>=11/12</a:t>
          </a:r>
          <a:r>
            <a:rPr lang="ko-KR" altLang="en-US" sz="900">
              <a:solidFill>
                <a:sysClr val="windowText" lastClr="000000"/>
              </a:solidFill>
              <a:latin typeface="+mn-ea"/>
              <a:ea typeface="+mn-ea"/>
            </a:rPr>
            <a:t>일 이봉기</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7</xdr:col>
      <xdr:colOff>1343025</xdr:colOff>
      <xdr:row>10</xdr:row>
      <xdr:rowOff>114300</xdr:rowOff>
    </xdr:from>
    <xdr:to>
      <xdr:col>9</xdr:col>
      <xdr:colOff>742950</xdr:colOff>
      <xdr:row>14</xdr:row>
      <xdr:rowOff>9525</xdr:rowOff>
    </xdr:to>
    <xdr:sp macro="" textlink="">
      <xdr:nvSpPr>
        <xdr:cNvPr id="8" name="TextBox 2">
          <a:extLst>
            <a:ext uri="{FF2B5EF4-FFF2-40B4-BE49-F238E27FC236}">
              <a16:creationId xmlns:a16="http://schemas.microsoft.com/office/drawing/2014/main" id="{9AA28838-665C-4BDF-79F5-AA8A267D832A}"/>
            </a:ext>
          </a:extLst>
        </xdr:cNvPr>
        <xdr:cNvSpPr txBox="1"/>
      </xdr:nvSpPr>
      <xdr:spPr>
        <a:xfrm>
          <a:off x="6067425" y="2743200"/>
          <a:ext cx="1933575" cy="65722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dp-43-2</a:t>
          </a:r>
          <a:r>
            <a:rPr lang="ko-KR" altLang="en-US" sz="1100" b="0" i="0" u="none" strike="noStrike">
              <a:solidFill>
                <a:srgbClr val="000000"/>
              </a:solidFill>
              <a:latin typeface="Aptos Narrow" panose="020B0004020202020204" pitchFamily="34" charset="0"/>
            </a:rPr>
            <a:t>로 통합</a:t>
          </a:r>
          <a:r>
            <a:rPr lang="en-US" altLang="ko-KR" sz="1100" b="0" i="0" u="none" strike="noStrike">
              <a:solidFill>
                <a:srgbClr val="000000"/>
              </a:solidFill>
              <a:latin typeface="Aptos Narrow" panose="020B0004020202020204" pitchFamily="34" charset="0"/>
            </a:rPr>
            <a:t>.  </a:t>
          </a:r>
          <a:r>
            <a:rPr lang="ko-KR" altLang="en-US" sz="1100" b="0" i="0" u="none" strike="noStrike">
              <a:solidFill>
                <a:srgbClr val="000000"/>
              </a:solidFill>
              <a:latin typeface="Aptos Narrow" panose="020B0004020202020204" pitchFamily="34" charset="0"/>
            </a:rPr>
            <a:t>취소됨</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7</xdr:col>
      <xdr:colOff>1190625</xdr:colOff>
      <xdr:row>6</xdr:row>
      <xdr:rowOff>381000</xdr:rowOff>
    </xdr:from>
    <xdr:to>
      <xdr:col>9</xdr:col>
      <xdr:colOff>590550</xdr:colOff>
      <xdr:row>9</xdr:row>
      <xdr:rowOff>266700</xdr:rowOff>
    </xdr:to>
    <xdr:sp macro="" textlink="">
      <xdr:nvSpPr>
        <xdr:cNvPr id="5" name="TextBox 1">
          <a:extLst>
            <a:ext uri="{FF2B5EF4-FFF2-40B4-BE49-F238E27FC236}">
              <a16:creationId xmlns:a16="http://schemas.microsoft.com/office/drawing/2014/main" id="{040D0BBE-D4FC-4DD5-97EC-8AB030278AB8}"/>
            </a:ext>
          </a:extLst>
        </xdr:cNvPr>
        <xdr:cNvSpPr txBox="1"/>
      </xdr:nvSpPr>
      <xdr:spPr>
        <a:xfrm>
          <a:off x="5915025" y="2047875"/>
          <a:ext cx="1933575" cy="657225"/>
        </a:xfrm>
        <a:prstGeom prst="rect">
          <a:avLst/>
        </a:prstGeom>
        <a:solidFill>
          <a:srgbClr val="FFFF00"/>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dp-43-1</a:t>
          </a:r>
          <a:r>
            <a:rPr lang="ko-KR" altLang="en-US" sz="1100" b="0" i="0" u="none" strike="noStrike">
              <a:solidFill>
                <a:srgbClr val="000000"/>
              </a:solidFill>
              <a:latin typeface="Aptos Narrow" panose="020B0004020202020204" pitchFamily="34" charset="0"/>
            </a:rPr>
            <a:t>로 통합</a:t>
          </a:r>
          <a:r>
            <a:rPr lang="en-US" altLang="ko-KR" sz="1100" b="0" i="0" u="none" strike="noStrike">
              <a:solidFill>
                <a:srgbClr val="000000"/>
              </a:solidFill>
              <a:latin typeface="Aptos Narrow" panose="020B0004020202020204" pitchFamily="34" charset="0"/>
            </a:rPr>
            <a:t>.  </a:t>
          </a:r>
          <a:r>
            <a:rPr lang="ko-KR" altLang="en-US" sz="1100" b="0" i="0" u="none" strike="noStrike">
              <a:solidFill>
                <a:srgbClr val="000000"/>
              </a:solidFill>
              <a:latin typeface="Aptos Narrow" panose="020B0004020202020204" pitchFamily="34" charset="0"/>
            </a:rPr>
            <a:t>취소됨</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7</xdr:col>
      <xdr:colOff>1323975</xdr:colOff>
      <xdr:row>7</xdr:row>
      <xdr:rowOff>0</xdr:rowOff>
    </xdr:from>
    <xdr:to>
      <xdr:col>9</xdr:col>
      <xdr:colOff>723900</xdr:colOff>
      <xdr:row>8</xdr:row>
      <xdr:rowOff>314325</xdr:rowOff>
    </xdr:to>
    <xdr:sp macro="" textlink="">
      <xdr:nvSpPr>
        <xdr:cNvPr id="4" name="TextBox 1">
          <a:extLst>
            <a:ext uri="{FF2B5EF4-FFF2-40B4-BE49-F238E27FC236}">
              <a16:creationId xmlns:a16="http://schemas.microsoft.com/office/drawing/2014/main" id="{43636390-1A2D-4040-8DBB-B0666E5F4373}"/>
            </a:ext>
          </a:extLst>
        </xdr:cNvPr>
        <xdr:cNvSpPr txBox="1"/>
      </xdr:nvSpPr>
      <xdr:spPr>
        <a:xfrm>
          <a:off x="6048375" y="2057400"/>
          <a:ext cx="1933575" cy="657225"/>
        </a:xfrm>
        <a:prstGeom prst="rect">
          <a:avLst/>
        </a:prstGeom>
        <a:solidFill>
          <a:srgbClr val="FFFF00"/>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dp-43-1</a:t>
          </a:r>
          <a:r>
            <a:rPr lang="ko-KR" altLang="en-US" sz="1100" b="0" i="0" u="none" strike="noStrike">
              <a:solidFill>
                <a:srgbClr val="000000"/>
              </a:solidFill>
              <a:latin typeface="Aptos Narrow" panose="020B0004020202020204" pitchFamily="34" charset="0"/>
            </a:rPr>
            <a:t>로 통합</a:t>
          </a:r>
          <a:r>
            <a:rPr lang="en-US" altLang="ko-KR" sz="1100" b="0" i="0" u="none" strike="noStrike">
              <a:solidFill>
                <a:srgbClr val="000000"/>
              </a:solidFill>
              <a:latin typeface="Aptos Narrow" panose="020B0004020202020204" pitchFamily="34" charset="0"/>
            </a:rPr>
            <a:t>.  </a:t>
          </a:r>
          <a:r>
            <a:rPr lang="ko-KR" altLang="en-US" sz="1100" b="0" i="0" u="none" strike="noStrike">
              <a:solidFill>
                <a:srgbClr val="000000"/>
              </a:solidFill>
              <a:latin typeface="Aptos Narrow" panose="020B0004020202020204" pitchFamily="34" charset="0"/>
            </a:rPr>
            <a:t>취소됨</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68580</xdr:colOff>
      <xdr:row>36</xdr:row>
      <xdr:rowOff>7620</xdr:rowOff>
    </xdr:from>
    <xdr:to>
      <xdr:col>19</xdr:col>
      <xdr:colOff>225395</xdr:colOff>
      <xdr:row>47</xdr:row>
      <xdr:rowOff>81579</xdr:rowOff>
    </xdr:to>
    <xdr:pic>
      <xdr:nvPicPr>
        <xdr:cNvPr id="3" name="그림 1">
          <a:extLst>
            <a:ext uri="{FF2B5EF4-FFF2-40B4-BE49-F238E27FC236}">
              <a16:creationId xmlns:a16="http://schemas.microsoft.com/office/drawing/2014/main" id="{81001644-F87D-4174-944D-1F65890E50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41720" y="7947660"/>
          <a:ext cx="11144855" cy="2641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6</xdr:col>
      <xdr:colOff>1889760</xdr:colOff>
      <xdr:row>3</xdr:row>
      <xdr:rowOff>152400</xdr:rowOff>
    </xdr:from>
    <xdr:to>
      <xdr:col>14</xdr:col>
      <xdr:colOff>505507</xdr:colOff>
      <xdr:row>5</xdr:row>
      <xdr:rowOff>319145</xdr:rowOff>
    </xdr:to>
    <xdr:pic>
      <xdr:nvPicPr>
        <xdr:cNvPr id="2" name="그림 1">
          <a:extLst>
            <a:ext uri="{FF2B5EF4-FFF2-40B4-BE49-F238E27FC236}">
              <a16:creationId xmlns:a16="http://schemas.microsoft.com/office/drawing/2014/main" id="{B558FC33-E4E5-7DF2-250F-9712DBDE3185}"/>
            </a:ext>
          </a:extLst>
        </xdr:cNvPr>
        <xdr:cNvPicPr>
          <a:picLocks noChangeAspect="1"/>
        </xdr:cNvPicPr>
      </xdr:nvPicPr>
      <xdr:blipFill>
        <a:blip xmlns:r="http://schemas.openxmlformats.org/officeDocument/2006/relationships" r:embed="rId1"/>
        <a:stretch>
          <a:fillRect/>
        </a:stretch>
      </xdr:blipFill>
      <xdr:spPr>
        <a:xfrm>
          <a:off x="6294120" y="830580"/>
          <a:ext cx="7872142" cy="662997"/>
        </a:xfrm>
        <a:prstGeom prst="rect">
          <a:avLst/>
        </a:prstGeom>
      </xdr:spPr>
    </xdr:pic>
    <xdr:clientData/>
  </xdr:twoCellAnchor>
  <xdr:twoCellAnchor>
    <xdr:from>
      <xdr:col>7</xdr:col>
      <xdr:colOff>137160</xdr:colOff>
      <xdr:row>3</xdr:row>
      <xdr:rowOff>144780</xdr:rowOff>
    </xdr:from>
    <xdr:to>
      <xdr:col>7</xdr:col>
      <xdr:colOff>320040</xdr:colOff>
      <xdr:row>4</xdr:row>
      <xdr:rowOff>68580</xdr:rowOff>
    </xdr:to>
    <xdr:sp macro="" textlink="">
      <xdr:nvSpPr>
        <xdr:cNvPr id="3" name="직사각형 2">
          <a:extLst>
            <a:ext uri="{FF2B5EF4-FFF2-40B4-BE49-F238E27FC236}">
              <a16:creationId xmlns:a16="http://schemas.microsoft.com/office/drawing/2014/main" id="{2502388C-7718-0396-1020-F25523BCBCF3}"/>
            </a:ext>
          </a:extLst>
        </xdr:cNvPr>
        <xdr:cNvSpPr/>
      </xdr:nvSpPr>
      <xdr:spPr>
        <a:xfrm>
          <a:off x="6461760" y="822960"/>
          <a:ext cx="182880" cy="1524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900">
            <a:solidFill>
              <a:sysClr val="windowText" lastClr="000000"/>
            </a:solidFill>
            <a:latin typeface="+mn-ea"/>
            <a:ea typeface="+mn-ea"/>
          </a:endParaRPr>
        </a:p>
      </xdr:txBody>
    </xdr:sp>
    <xdr:clientData/>
  </xdr:twoCellAnchor>
  <xdr:twoCellAnchor>
    <xdr:from>
      <xdr:col>7</xdr:col>
      <xdr:colOff>1173480</xdr:colOff>
      <xdr:row>3</xdr:row>
      <xdr:rowOff>99060</xdr:rowOff>
    </xdr:from>
    <xdr:to>
      <xdr:col>7</xdr:col>
      <xdr:colOff>1356360</xdr:colOff>
      <xdr:row>4</xdr:row>
      <xdr:rowOff>22860</xdr:rowOff>
    </xdr:to>
    <xdr:sp macro="" textlink="">
      <xdr:nvSpPr>
        <xdr:cNvPr id="4" name="직사각형 3">
          <a:extLst>
            <a:ext uri="{FF2B5EF4-FFF2-40B4-BE49-F238E27FC236}">
              <a16:creationId xmlns:a16="http://schemas.microsoft.com/office/drawing/2014/main" id="{17F131BF-0CD4-415E-A504-81617D523647}"/>
            </a:ext>
          </a:extLst>
        </xdr:cNvPr>
        <xdr:cNvSpPr/>
      </xdr:nvSpPr>
      <xdr:spPr>
        <a:xfrm>
          <a:off x="7498080" y="777240"/>
          <a:ext cx="182880" cy="1524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900">
            <a:solidFill>
              <a:sysClr val="windowText" lastClr="000000"/>
            </a:solidFill>
            <a:latin typeface="+mn-ea"/>
            <a:ea typeface="+mn-ea"/>
          </a:endParaRPr>
        </a:p>
      </xdr:txBody>
    </xdr:sp>
    <xdr:clientData/>
  </xdr:twoCellAnchor>
  <xdr:twoCellAnchor>
    <xdr:from>
      <xdr:col>7</xdr:col>
      <xdr:colOff>1905000</xdr:colOff>
      <xdr:row>3</xdr:row>
      <xdr:rowOff>91440</xdr:rowOff>
    </xdr:from>
    <xdr:to>
      <xdr:col>7</xdr:col>
      <xdr:colOff>2087880</xdr:colOff>
      <xdr:row>4</xdr:row>
      <xdr:rowOff>15240</xdr:rowOff>
    </xdr:to>
    <xdr:sp macro="" textlink="">
      <xdr:nvSpPr>
        <xdr:cNvPr id="5" name="직사각형 4">
          <a:extLst>
            <a:ext uri="{FF2B5EF4-FFF2-40B4-BE49-F238E27FC236}">
              <a16:creationId xmlns:a16="http://schemas.microsoft.com/office/drawing/2014/main" id="{93789A43-44DE-469F-8DE8-D17E6FB38A13}"/>
            </a:ext>
          </a:extLst>
        </xdr:cNvPr>
        <xdr:cNvSpPr/>
      </xdr:nvSpPr>
      <xdr:spPr>
        <a:xfrm>
          <a:off x="8229600" y="769620"/>
          <a:ext cx="182880" cy="1524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900">
            <a:solidFill>
              <a:sysClr val="windowText" lastClr="000000"/>
            </a:solidFill>
            <a:latin typeface="+mn-ea"/>
            <a:ea typeface="+mn-ea"/>
          </a:endParaRPr>
        </a:p>
      </xdr:txBody>
    </xdr:sp>
    <xdr:clientData/>
  </xdr:twoCellAnchor>
  <xdr:twoCellAnchor>
    <xdr:from>
      <xdr:col>9</xdr:col>
      <xdr:colOff>228600</xdr:colOff>
      <xdr:row>3</xdr:row>
      <xdr:rowOff>137160</xdr:rowOff>
    </xdr:from>
    <xdr:to>
      <xdr:col>9</xdr:col>
      <xdr:colOff>411480</xdr:colOff>
      <xdr:row>4</xdr:row>
      <xdr:rowOff>60960</xdr:rowOff>
    </xdr:to>
    <xdr:sp macro="" textlink="">
      <xdr:nvSpPr>
        <xdr:cNvPr id="6" name="직사각형 5">
          <a:extLst>
            <a:ext uri="{FF2B5EF4-FFF2-40B4-BE49-F238E27FC236}">
              <a16:creationId xmlns:a16="http://schemas.microsoft.com/office/drawing/2014/main" id="{AB63BA06-8180-4EEA-84B0-AFF72C3B13BD}"/>
            </a:ext>
          </a:extLst>
        </xdr:cNvPr>
        <xdr:cNvSpPr/>
      </xdr:nvSpPr>
      <xdr:spPr>
        <a:xfrm>
          <a:off x="9098280" y="815340"/>
          <a:ext cx="182880" cy="1524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900">
            <a:solidFill>
              <a:sysClr val="windowText" lastClr="000000"/>
            </a:solidFill>
            <a:latin typeface="+mn-ea"/>
            <a:ea typeface="+mn-ea"/>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2</xdr:col>
      <xdr:colOff>257735</xdr:colOff>
      <xdr:row>25</xdr:row>
      <xdr:rowOff>33617</xdr:rowOff>
    </xdr:from>
    <xdr:to>
      <xdr:col>8</xdr:col>
      <xdr:colOff>974912</xdr:colOff>
      <xdr:row>37</xdr:row>
      <xdr:rowOff>0</xdr:rowOff>
    </xdr:to>
    <xdr:sp macro="" textlink="">
      <xdr:nvSpPr>
        <xdr:cNvPr id="4" name="직사각형 1">
          <a:extLst>
            <a:ext uri="{FF2B5EF4-FFF2-40B4-BE49-F238E27FC236}">
              <a16:creationId xmlns:a16="http://schemas.microsoft.com/office/drawing/2014/main" id="{BDD0FCD8-7FED-71A2-B93C-1E326DFB4F88}"/>
            </a:ext>
          </a:extLst>
        </xdr:cNvPr>
        <xdr:cNvSpPr/>
      </xdr:nvSpPr>
      <xdr:spPr>
        <a:xfrm>
          <a:off x="728382" y="4415117"/>
          <a:ext cx="7463118" cy="1983442"/>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solidFill>
                <a:sysClr val="windowText" lastClr="000000"/>
              </a:solidFill>
              <a:latin typeface="+mn-ea"/>
              <a:ea typeface="+mn-ea"/>
            </a:rPr>
            <a:t>회사코드에서 영업조직으로 수정 </a:t>
          </a:r>
          <a:r>
            <a:rPr lang="en-US" altLang="ko-KR" sz="1100">
              <a:solidFill>
                <a:sysClr val="windowText" lastClr="000000"/>
              </a:solidFill>
              <a:latin typeface="+mn-ea"/>
              <a:ea typeface="+mn-ea"/>
            </a:rPr>
            <a:t>(2025-12-01 </a:t>
          </a:r>
          <a:r>
            <a:rPr lang="ko-KR" altLang="en-US" sz="1100">
              <a:solidFill>
                <a:sysClr val="windowText" lastClr="000000"/>
              </a:solidFill>
              <a:latin typeface="+mn-ea"/>
              <a:ea typeface="+mn-ea"/>
            </a:rPr>
            <a:t>이봉기</a:t>
          </a:r>
          <a:r>
            <a:rPr lang="en-US" altLang="ko-KR" sz="1100">
              <a:solidFill>
                <a:sysClr val="windowText" lastClr="000000"/>
              </a:solidFill>
              <a:latin typeface="+mn-ea"/>
              <a:ea typeface="+mn-ea"/>
            </a:rPr>
            <a:t> )</a:t>
          </a:r>
        </a:p>
        <a:p>
          <a:pPr algn="l"/>
          <a:r>
            <a:rPr lang="ko-KR" altLang="en-US" sz="1100">
              <a:solidFill>
                <a:sysClr val="windowText" lastClr="000000"/>
              </a:solidFill>
              <a:latin typeface="+mn-ea"/>
              <a:ea typeface="+mn-ea"/>
            </a:rPr>
            <a:t>압축사유 추가 </a:t>
          </a:r>
          <a:endParaRPr lang="en-US" altLang="ko-KR" sz="1100">
            <a:solidFill>
              <a:sysClr val="windowText" lastClr="000000"/>
            </a:solidFill>
            <a:latin typeface="+mn-ea"/>
            <a:ea typeface="+mn-ea"/>
          </a:endParaRPr>
        </a:p>
        <a:p>
          <a:pPr algn="l"/>
          <a:r>
            <a:rPr lang="en-US" altLang="ko-KR" sz="1100">
              <a:solidFill>
                <a:sysClr val="windowText" lastClr="000000"/>
              </a:solidFill>
              <a:latin typeface="+mn-ea"/>
              <a:ea typeface="+mn-ea"/>
            </a:rPr>
            <a:t> (</a:t>
          </a:r>
          <a:r>
            <a:rPr lang="ko-KR" altLang="en-US" sz="1100">
              <a:solidFill>
                <a:sysClr val="windowText" lastClr="000000"/>
              </a:solidFill>
              <a:latin typeface="+mn-ea"/>
              <a:ea typeface="+mn-ea"/>
            </a:rPr>
            <a:t>사유코드</a:t>
          </a:r>
          <a:endParaRPr lang="en-US" altLang="ko-KR" sz="1100">
            <a:solidFill>
              <a:sysClr val="windowText" lastClr="000000"/>
            </a:solidFill>
            <a:latin typeface="+mn-ea"/>
            <a:ea typeface="+mn-ea"/>
          </a:endParaRPr>
        </a:p>
        <a:p>
          <a:pPr algn="l"/>
          <a:r>
            <a:rPr lang="en-US" altLang="ko-KR" sz="1100">
              <a:solidFill>
                <a:sysClr val="windowText" lastClr="000000"/>
              </a:solidFill>
              <a:latin typeface="+mn-ea"/>
              <a:ea typeface="+mn-ea"/>
            </a:rPr>
            <a:t>  </a:t>
          </a:r>
          <a:r>
            <a:rPr lang="ko-KR" altLang="en-US" sz="1100">
              <a:solidFill>
                <a:sysClr val="windowText" lastClr="000000"/>
              </a:solidFill>
              <a:latin typeface="+mn-ea"/>
              <a:ea typeface="+mn-ea"/>
            </a:rPr>
            <a:t> </a:t>
          </a:r>
          <a:r>
            <a:rPr lang="en-US" altLang="ko-KR" sz="1100">
              <a:solidFill>
                <a:sysClr val="windowText" lastClr="000000"/>
              </a:solidFill>
              <a:latin typeface="+mn-ea"/>
              <a:ea typeface="+mn-ea"/>
            </a:rPr>
            <a:t>1. </a:t>
          </a:r>
          <a:r>
            <a:rPr lang="ko-KR" altLang="en-US" sz="1100">
              <a:solidFill>
                <a:sysClr val="windowText" lastClr="000000"/>
              </a:solidFill>
              <a:latin typeface="+mn-ea"/>
              <a:ea typeface="+mn-ea"/>
            </a:rPr>
            <a:t>단종</a:t>
          </a:r>
          <a:r>
            <a:rPr lang="ko-KR" altLang="en-US" sz="1100" baseline="0">
              <a:solidFill>
                <a:sysClr val="windowText" lastClr="000000"/>
              </a:solidFill>
              <a:latin typeface="+mn-ea"/>
              <a:ea typeface="+mn-ea"/>
            </a:rPr>
            <a:t> </a:t>
          </a:r>
          <a:r>
            <a:rPr lang="en-US" altLang="ko-KR" sz="1100" baseline="0">
              <a:solidFill>
                <a:sysClr val="windowText" lastClr="000000"/>
              </a:solidFill>
              <a:latin typeface="+mn-ea"/>
              <a:ea typeface="+mn-ea"/>
            </a:rPr>
            <a:t>SKU </a:t>
          </a:r>
          <a:r>
            <a:rPr lang="ko-KR" altLang="en-US" sz="1100" baseline="0">
              <a:solidFill>
                <a:sysClr val="windowText" lastClr="000000"/>
              </a:solidFill>
              <a:latin typeface="+mn-ea"/>
              <a:ea typeface="+mn-ea"/>
            </a:rPr>
            <a:t>소량 잔여재고</a:t>
          </a:r>
          <a:r>
            <a:rPr lang="en-US" altLang="ko-KR" sz="1100" baseline="0">
              <a:solidFill>
                <a:sysClr val="windowText" lastClr="000000"/>
              </a:solidFill>
              <a:latin typeface="+mn-ea"/>
              <a:ea typeface="+mn-ea"/>
            </a:rPr>
            <a:t>,  </a:t>
          </a:r>
        </a:p>
        <a:p>
          <a:pPr algn="l"/>
          <a:r>
            <a:rPr lang="en-US" altLang="ko-KR" sz="1100" baseline="0">
              <a:solidFill>
                <a:sysClr val="windowText" lastClr="000000"/>
              </a:solidFill>
              <a:latin typeface="+mn-ea"/>
              <a:ea typeface="+mn-ea"/>
            </a:rPr>
            <a:t>   2. </a:t>
          </a:r>
          <a:r>
            <a:rPr lang="ko-KR" altLang="en-US" sz="1100" baseline="0">
              <a:solidFill>
                <a:sysClr val="windowText" lastClr="000000"/>
              </a:solidFill>
              <a:latin typeface="+mn-ea"/>
              <a:ea typeface="+mn-ea"/>
            </a:rPr>
            <a:t>미사용견본</a:t>
          </a:r>
          <a:r>
            <a:rPr lang="en-US" altLang="ko-KR" sz="1100" baseline="0">
              <a:solidFill>
                <a:sysClr val="windowText" lastClr="000000"/>
              </a:solidFill>
              <a:latin typeface="+mn-ea"/>
              <a:ea typeface="+mn-ea"/>
            </a:rPr>
            <a:t>/</a:t>
          </a:r>
          <a:r>
            <a:rPr lang="ko-KR" altLang="en-US" sz="1100" baseline="0">
              <a:solidFill>
                <a:sysClr val="windowText" lastClr="000000"/>
              </a:solidFill>
              <a:latin typeface="+mn-ea"/>
              <a:ea typeface="+mn-ea"/>
            </a:rPr>
            <a:t>외주</a:t>
          </a:r>
          <a:r>
            <a:rPr lang="en-US" altLang="ko-KR" sz="1100" baseline="0">
              <a:solidFill>
                <a:sysClr val="windowText" lastClr="000000"/>
              </a:solidFill>
              <a:latin typeface="+mn-ea"/>
              <a:ea typeface="+mn-ea"/>
            </a:rPr>
            <a:t>, </a:t>
          </a:r>
        </a:p>
        <a:p>
          <a:pPr algn="l"/>
          <a:r>
            <a:rPr lang="en-US" altLang="ko-KR" sz="1100" baseline="0">
              <a:solidFill>
                <a:sysClr val="windowText" lastClr="000000"/>
              </a:solidFill>
              <a:latin typeface="+mn-ea"/>
              <a:ea typeface="+mn-ea"/>
            </a:rPr>
            <a:t>   3. </a:t>
          </a:r>
          <a:r>
            <a:rPr lang="ko-KR" altLang="en-US" sz="1100" baseline="0">
              <a:solidFill>
                <a:sysClr val="windowText" lastClr="000000"/>
              </a:solidFill>
              <a:latin typeface="+mn-ea"/>
              <a:ea typeface="+mn-ea"/>
            </a:rPr>
            <a:t>성장 및 매출기여 하위본품</a:t>
          </a:r>
          <a:r>
            <a:rPr lang="en-US" altLang="ko-KR" sz="1100" baseline="0">
              <a:solidFill>
                <a:sysClr val="windowText" lastClr="000000"/>
              </a:solidFill>
              <a:latin typeface="+mn-ea"/>
              <a:ea typeface="+mn-ea"/>
            </a:rPr>
            <a:t>,  </a:t>
          </a:r>
        </a:p>
        <a:p>
          <a:pPr algn="l"/>
          <a:r>
            <a:rPr lang="en-US" altLang="ko-KR" sz="1100" baseline="0">
              <a:solidFill>
                <a:sysClr val="windowText" lastClr="000000"/>
              </a:solidFill>
              <a:latin typeface="+mn-ea"/>
              <a:ea typeface="+mn-ea"/>
            </a:rPr>
            <a:t>   4. </a:t>
          </a:r>
          <a:r>
            <a:rPr lang="ko-KR" altLang="en-US" sz="1100" baseline="0">
              <a:solidFill>
                <a:sysClr val="windowText" lastClr="000000"/>
              </a:solidFill>
              <a:latin typeface="+mn-ea"/>
              <a:ea typeface="+mn-ea"/>
            </a:rPr>
            <a:t>생산단종 후 압축 미진행 </a:t>
          </a:r>
          <a:r>
            <a:rPr lang="en-US" altLang="ko-KR" sz="1100" baseline="0">
              <a:solidFill>
                <a:sysClr val="windowText" lastClr="000000"/>
              </a:solidFill>
              <a:latin typeface="+mn-ea"/>
              <a:ea typeface="+mn-ea"/>
            </a:rPr>
            <a:t>SKU</a:t>
          </a:r>
          <a:endParaRPr lang="ko-KR" altLang="en-US" sz="1100">
            <a:solidFill>
              <a:sysClr val="windowText" lastClr="000000"/>
            </a:solidFill>
            <a:latin typeface="+mn-ea"/>
            <a:ea typeface="+mn-ea"/>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2</xdr:col>
      <xdr:colOff>508001</xdr:colOff>
      <xdr:row>47</xdr:row>
      <xdr:rowOff>127000</xdr:rowOff>
    </xdr:from>
    <xdr:to>
      <xdr:col>8</xdr:col>
      <xdr:colOff>677334</xdr:colOff>
      <xdr:row>56</xdr:row>
      <xdr:rowOff>169334</xdr:rowOff>
    </xdr:to>
    <xdr:sp macro="" textlink="">
      <xdr:nvSpPr>
        <xdr:cNvPr id="2" name="직사각형 1">
          <a:extLst>
            <a:ext uri="{FF2B5EF4-FFF2-40B4-BE49-F238E27FC236}">
              <a16:creationId xmlns:a16="http://schemas.microsoft.com/office/drawing/2014/main" id="{041C502F-F68D-8DC9-E7B1-2062859368CE}"/>
            </a:ext>
          </a:extLst>
        </xdr:cNvPr>
        <xdr:cNvSpPr/>
      </xdr:nvSpPr>
      <xdr:spPr>
        <a:xfrm>
          <a:off x="984251" y="11070167"/>
          <a:ext cx="6921500" cy="2042584"/>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200">
              <a:solidFill>
                <a:sysClr val="windowText" lastClr="000000"/>
              </a:solidFill>
              <a:latin typeface="+mn-ea"/>
              <a:ea typeface="+mn-ea"/>
            </a:rPr>
            <a:t>계획용 재고와</a:t>
          </a:r>
          <a:r>
            <a:rPr lang="ko-KR" altLang="en-US" sz="1200" baseline="0">
              <a:solidFill>
                <a:sysClr val="windowText" lastClr="000000"/>
              </a:solidFill>
              <a:latin typeface="+mn-ea"/>
              <a:ea typeface="+mn-ea"/>
            </a:rPr>
            <a:t> 동일하게 주</a:t>
          </a:r>
          <a:r>
            <a:rPr lang="en-US" altLang="ko-KR" sz="1200" baseline="0">
              <a:solidFill>
                <a:sysClr val="windowText" lastClr="000000"/>
              </a:solidFill>
              <a:latin typeface="+mn-ea"/>
              <a:ea typeface="+mn-ea"/>
            </a:rPr>
            <a:t>1</a:t>
          </a:r>
          <a:r>
            <a:rPr lang="ko-KR" altLang="en-US" sz="1200" baseline="0">
              <a:solidFill>
                <a:sysClr val="windowText" lastClr="000000"/>
              </a:solidFill>
              <a:latin typeface="+mn-ea"/>
              <a:ea typeface="+mn-ea"/>
            </a:rPr>
            <a:t>회 인터페이스  </a:t>
          </a:r>
          <a:r>
            <a:rPr lang="en-US" altLang="ko-KR" sz="1200" baseline="0">
              <a:solidFill>
                <a:sysClr val="windowText" lastClr="000000"/>
              </a:solidFill>
              <a:latin typeface="+mn-ea"/>
              <a:ea typeface="+mn-ea"/>
            </a:rPr>
            <a:t>(</a:t>
          </a:r>
          <a:r>
            <a:rPr lang="ko-KR" altLang="en-US" sz="1200" baseline="0">
              <a:solidFill>
                <a:sysClr val="windowText" lastClr="000000"/>
              </a:solidFill>
              <a:latin typeface="+mn-ea"/>
              <a:ea typeface="+mn-ea"/>
            </a:rPr>
            <a:t>다만</a:t>
          </a:r>
          <a:r>
            <a:rPr lang="en-US" altLang="ko-KR" sz="1200" baseline="0">
              <a:solidFill>
                <a:sysClr val="windowText" lastClr="000000"/>
              </a:solidFill>
              <a:latin typeface="+mn-ea"/>
              <a:ea typeface="+mn-ea"/>
            </a:rPr>
            <a:t>, </a:t>
          </a:r>
          <a:r>
            <a:rPr lang="ko-KR" altLang="en-US" sz="1200" baseline="0">
              <a:solidFill>
                <a:sysClr val="windowText" lastClr="000000"/>
              </a:solidFill>
              <a:latin typeface="+mn-ea"/>
              <a:ea typeface="+mn-ea"/>
            </a:rPr>
            <a:t>추후 변경 가능함</a:t>
          </a:r>
          <a:r>
            <a:rPr lang="en-US" altLang="ko-KR" sz="1200" baseline="0">
              <a:solidFill>
                <a:sysClr val="windowText" lastClr="000000"/>
              </a:solidFill>
              <a:latin typeface="+mn-ea"/>
              <a:ea typeface="+mn-ea"/>
            </a:rPr>
            <a:t>)</a:t>
          </a:r>
        </a:p>
        <a:p>
          <a:pPr algn="l"/>
          <a:endParaRPr lang="en-US" altLang="ko-KR" sz="1200">
            <a:solidFill>
              <a:sysClr val="windowText" lastClr="000000"/>
            </a:solidFill>
            <a:latin typeface="+mn-ea"/>
            <a:ea typeface="+mn-ea"/>
          </a:endParaRPr>
        </a:p>
        <a:p>
          <a:pPr algn="l"/>
          <a:r>
            <a:rPr lang="en-US" altLang="ko-KR" sz="1200">
              <a:solidFill>
                <a:sysClr val="windowText" lastClr="000000"/>
              </a:solidFill>
              <a:latin typeface="+mn-ea"/>
              <a:ea typeface="+mn-ea"/>
            </a:rPr>
            <a:t>Storage bin </a:t>
          </a:r>
          <a:r>
            <a:rPr lang="ko-KR" altLang="en-US" sz="1200">
              <a:solidFill>
                <a:sysClr val="windowText" lastClr="000000"/>
              </a:solidFill>
              <a:latin typeface="+mn-ea"/>
              <a:ea typeface="+mn-ea"/>
            </a:rPr>
            <a:t>단위까지의 데이터는 필요없음</a:t>
          </a:r>
          <a:endParaRPr lang="en-US" altLang="ko-KR" sz="1200">
            <a:solidFill>
              <a:sysClr val="windowText" lastClr="000000"/>
            </a:solidFill>
            <a:latin typeface="+mn-ea"/>
            <a:ea typeface="+mn-ea"/>
          </a:endParaRPr>
        </a:p>
        <a:p>
          <a:pPr algn="l"/>
          <a:endParaRPr lang="en-US" altLang="ko-KR" sz="1200">
            <a:solidFill>
              <a:sysClr val="windowText" lastClr="000000"/>
            </a:solidFill>
            <a:latin typeface="+mn-ea"/>
            <a:ea typeface="+mn-ea"/>
          </a:endParaRPr>
        </a:p>
        <a:p>
          <a:pPr algn="l"/>
          <a:r>
            <a:rPr lang="ko-KR" altLang="en-US" sz="1200">
              <a:solidFill>
                <a:sysClr val="windowText" lastClr="000000"/>
              </a:solidFill>
              <a:latin typeface="+mn-ea"/>
              <a:ea typeface="+mn-ea"/>
            </a:rPr>
            <a:t>저장위치별 제품별 </a:t>
          </a:r>
          <a:r>
            <a:rPr lang="en-US" altLang="ko-KR" sz="1200">
              <a:solidFill>
                <a:sysClr val="windowText" lastClr="000000"/>
              </a:solidFill>
              <a:latin typeface="+mn-ea"/>
              <a:ea typeface="+mn-ea"/>
            </a:rPr>
            <a:t>Production Date</a:t>
          </a:r>
          <a:r>
            <a:rPr lang="ko-KR" altLang="en-US" sz="1200">
              <a:solidFill>
                <a:sysClr val="windowText" lastClr="000000"/>
              </a:solidFill>
              <a:latin typeface="+mn-ea"/>
              <a:ea typeface="+mn-ea"/>
            </a:rPr>
            <a:t>별 합계수량이 인터페이스 되어야함</a:t>
          </a:r>
          <a:endParaRPr lang="en-US" altLang="ko-KR" sz="1200">
            <a:solidFill>
              <a:sysClr val="windowText" lastClr="000000"/>
            </a:solidFill>
            <a:latin typeface="+mn-ea"/>
            <a:ea typeface="+mn-ea"/>
          </a:endParaRPr>
        </a:p>
        <a:p>
          <a:pPr algn="l"/>
          <a:endParaRPr lang="ko-KR" altLang="en-US" sz="1200">
            <a:solidFill>
              <a:sysClr val="windowText" lastClr="000000"/>
            </a:solidFill>
            <a:latin typeface="+mn-ea"/>
            <a:ea typeface="+mn-ea"/>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2</xdr:col>
      <xdr:colOff>807156</xdr:colOff>
      <xdr:row>0</xdr:row>
      <xdr:rowOff>172123</xdr:rowOff>
    </xdr:from>
    <xdr:to>
      <xdr:col>9</xdr:col>
      <xdr:colOff>24093</xdr:colOff>
      <xdr:row>7</xdr:row>
      <xdr:rowOff>160918</xdr:rowOff>
    </xdr:to>
    <xdr:sp macro="" textlink="">
      <xdr:nvSpPr>
        <xdr:cNvPr id="2" name="사각형: 둥근 모서리 1">
          <a:extLst>
            <a:ext uri="{FF2B5EF4-FFF2-40B4-BE49-F238E27FC236}">
              <a16:creationId xmlns:a16="http://schemas.microsoft.com/office/drawing/2014/main" id="{D374270C-DEE9-03C7-2900-847B08BB30B3}"/>
            </a:ext>
          </a:extLst>
        </xdr:cNvPr>
        <xdr:cNvSpPr/>
      </xdr:nvSpPr>
      <xdr:spPr>
        <a:xfrm>
          <a:off x="1277803" y="172123"/>
          <a:ext cx="6691261" cy="1288677"/>
        </a:xfrm>
        <a:prstGeom prst="roundRect">
          <a:avLst>
            <a:gd name="adj" fmla="val 4509"/>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600" b="1">
              <a:solidFill>
                <a:sysClr val="windowText" lastClr="000000"/>
              </a:solidFill>
              <a:latin typeface="+mn-ea"/>
              <a:ea typeface="+mn-ea"/>
            </a:rPr>
            <a:t>내역은 기본 한국어</a:t>
          </a:r>
          <a:r>
            <a:rPr lang="en-US" altLang="ko-KR" sz="1600" b="1">
              <a:solidFill>
                <a:sysClr val="windowText" lastClr="000000"/>
              </a:solidFill>
              <a:latin typeface="+mn-ea"/>
              <a:ea typeface="+mn-ea"/>
            </a:rPr>
            <a:t>-</a:t>
          </a:r>
          <a:r>
            <a:rPr lang="ko-KR" altLang="en-US" sz="1600" b="1">
              <a:solidFill>
                <a:sysClr val="windowText" lastClr="000000"/>
              </a:solidFill>
              <a:latin typeface="+mn-ea"/>
              <a:ea typeface="+mn-ea"/>
            </a:rPr>
            <a:t>영어</a:t>
          </a:r>
          <a:r>
            <a:rPr lang="en-US" altLang="ko-KR" sz="1600" b="1">
              <a:solidFill>
                <a:sysClr val="windowText" lastClr="000000"/>
              </a:solidFill>
              <a:latin typeface="+mn-ea"/>
              <a:ea typeface="+mn-ea"/>
            </a:rPr>
            <a:t>-</a:t>
          </a:r>
          <a:r>
            <a:rPr lang="ko-KR" altLang="en-US" sz="1600" b="1">
              <a:solidFill>
                <a:sysClr val="windowText" lastClr="000000"/>
              </a:solidFill>
              <a:latin typeface="+mn-ea"/>
              <a:ea typeface="+mn-ea"/>
            </a:rPr>
            <a:t>중국어 </a:t>
          </a:r>
          <a:r>
            <a:rPr lang="en-US" altLang="ko-KR" sz="1600" b="1">
              <a:solidFill>
                <a:sysClr val="windowText" lastClr="000000"/>
              </a:solidFill>
              <a:latin typeface="+mn-ea"/>
              <a:ea typeface="+mn-ea"/>
            </a:rPr>
            <a:t>3</a:t>
          </a:r>
          <a:r>
            <a:rPr lang="ko-KR" altLang="en-US" sz="1600" b="1">
              <a:solidFill>
                <a:sysClr val="windowText" lastClr="000000"/>
              </a:solidFill>
              <a:latin typeface="+mn-ea"/>
              <a:ea typeface="+mn-ea"/>
            </a:rPr>
            <a:t>개 언어 입니다</a:t>
          </a:r>
          <a:r>
            <a:rPr lang="en-US" altLang="ko-KR" sz="1600" b="1">
              <a:solidFill>
                <a:sysClr val="windowText" lastClr="000000"/>
              </a:solidFill>
              <a:latin typeface="+mn-ea"/>
              <a:ea typeface="+mn-ea"/>
            </a:rPr>
            <a:t>. </a:t>
          </a:r>
        </a:p>
        <a:p>
          <a:pPr algn="l"/>
          <a:r>
            <a:rPr lang="ko-KR" altLang="en-US" sz="1600" b="1">
              <a:solidFill>
                <a:sysClr val="windowText" lastClr="000000"/>
              </a:solidFill>
              <a:latin typeface="+mn-ea"/>
              <a:ea typeface="+mn-ea"/>
            </a:rPr>
            <a:t>공간을 위해 생략 합니다</a:t>
          </a:r>
          <a:r>
            <a:rPr lang="en-US" altLang="ko-KR" sz="1600" b="1" baseline="0">
              <a:solidFill>
                <a:sysClr val="windowText" lastClr="000000"/>
              </a:solidFill>
              <a:latin typeface="+mn-ea"/>
              <a:ea typeface="+mn-ea"/>
            </a:rPr>
            <a:t>  (</a:t>
          </a:r>
          <a:r>
            <a:rPr lang="ko-KR" altLang="en-US" sz="1600" b="1" baseline="0">
              <a:solidFill>
                <a:sysClr val="windowText" lastClr="000000"/>
              </a:solidFill>
              <a:latin typeface="+mn-ea"/>
              <a:ea typeface="+mn-ea"/>
            </a:rPr>
            <a:t>제품계층구조처럼 </a:t>
          </a:r>
          <a:r>
            <a:rPr lang="en-US" altLang="ko-KR" sz="1600" b="1" baseline="0">
              <a:solidFill>
                <a:sysClr val="windowText" lastClr="000000"/>
              </a:solidFill>
              <a:latin typeface="+mn-ea"/>
              <a:ea typeface="+mn-ea"/>
            </a:rPr>
            <a:t>3</a:t>
          </a:r>
          <a:r>
            <a:rPr lang="ko-KR" altLang="en-US" sz="1600" b="1" baseline="0">
              <a:solidFill>
                <a:sysClr val="windowText" lastClr="000000"/>
              </a:solidFill>
              <a:latin typeface="+mn-ea"/>
              <a:ea typeface="+mn-ea"/>
            </a:rPr>
            <a:t>개언어 기준 필요</a:t>
          </a:r>
          <a:r>
            <a:rPr lang="en-US" altLang="ko-KR" sz="1600" b="1" baseline="0">
              <a:solidFill>
                <a:sysClr val="windowText" lastClr="000000"/>
              </a:solidFill>
              <a:latin typeface="+mn-ea"/>
              <a:ea typeface="+mn-ea"/>
            </a:rPr>
            <a:t>)</a:t>
          </a:r>
          <a:endParaRPr lang="en-US" altLang="ko-KR" sz="1600" b="1">
            <a:solidFill>
              <a:sysClr val="windowText" lastClr="000000"/>
            </a:solidFill>
            <a:latin typeface="+mn-ea"/>
            <a:ea typeface="+mn-ea"/>
          </a:endParaRPr>
        </a:p>
        <a:p>
          <a:pPr algn="l"/>
          <a:r>
            <a:rPr lang="en-US" altLang="ko-KR" sz="1600" b="1">
              <a:solidFill>
                <a:sysClr val="windowText" lastClr="000000"/>
              </a:solidFill>
              <a:latin typeface="+mn-ea"/>
              <a:ea typeface="+mn-ea"/>
            </a:rPr>
            <a:t>BW</a:t>
          </a:r>
          <a:r>
            <a:rPr lang="ko-KR" altLang="en-US" sz="1600" b="1">
              <a:solidFill>
                <a:sysClr val="windowText" lastClr="000000"/>
              </a:solidFill>
              <a:latin typeface="+mn-ea"/>
              <a:ea typeface="+mn-ea"/>
            </a:rPr>
            <a:t>용 작성중인 정의서입니다</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3</xdr:col>
      <xdr:colOff>1053354</xdr:colOff>
      <xdr:row>12</xdr:row>
      <xdr:rowOff>11206</xdr:rowOff>
    </xdr:from>
    <xdr:to>
      <xdr:col>15</xdr:col>
      <xdr:colOff>1512794</xdr:colOff>
      <xdr:row>24</xdr:row>
      <xdr:rowOff>22412</xdr:rowOff>
    </xdr:to>
    <xdr:sp macro="" textlink="">
      <xdr:nvSpPr>
        <xdr:cNvPr id="2" name="직사각형 1">
          <a:extLst>
            <a:ext uri="{FF2B5EF4-FFF2-40B4-BE49-F238E27FC236}">
              <a16:creationId xmlns:a16="http://schemas.microsoft.com/office/drawing/2014/main" id="{947A78F9-6AB6-574B-1FB6-E611A7315187}"/>
            </a:ext>
          </a:extLst>
        </xdr:cNvPr>
        <xdr:cNvSpPr/>
      </xdr:nvSpPr>
      <xdr:spPr>
        <a:xfrm>
          <a:off x="3406589" y="3148853"/>
          <a:ext cx="11732558" cy="2700618"/>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a:solidFill>
                <a:sysClr val="windowText" lastClr="000000"/>
              </a:solidFill>
              <a:latin typeface="+mn-ea"/>
              <a:ea typeface="+mn-ea"/>
            </a:rPr>
            <a:t>SP-19</a:t>
          </a:r>
          <a:r>
            <a:rPr lang="en-US" altLang="ko-KR" sz="1100" baseline="0">
              <a:solidFill>
                <a:sysClr val="windowText" lastClr="000000"/>
              </a:solidFill>
              <a:latin typeface="+mn-ea"/>
              <a:ea typeface="+mn-ea"/>
            </a:rPr>
            <a:t> </a:t>
          </a:r>
          <a:r>
            <a:rPr lang="ko-KR" altLang="en-US" sz="1100" baseline="0">
              <a:solidFill>
                <a:sysClr val="windowText" lastClr="000000"/>
              </a:solidFill>
              <a:latin typeface="+mn-ea"/>
              <a:ea typeface="+mn-ea"/>
            </a:rPr>
            <a:t>자재마스터 대체단위 인터페이스 매핑구조  에 기 정의되어 있음</a:t>
          </a:r>
          <a:br>
            <a:rPr lang="en-US" altLang="ko-KR" sz="1100" baseline="0">
              <a:solidFill>
                <a:sysClr val="windowText" lastClr="000000"/>
              </a:solidFill>
              <a:latin typeface="+mn-ea"/>
              <a:ea typeface="+mn-ea"/>
            </a:rPr>
          </a:br>
          <a:br>
            <a:rPr lang="en-US" altLang="ko-KR" sz="1100" baseline="0">
              <a:solidFill>
                <a:sysClr val="windowText" lastClr="000000"/>
              </a:solidFill>
              <a:latin typeface="+mn-ea"/>
              <a:ea typeface="+mn-ea"/>
            </a:rPr>
          </a:br>
          <a:r>
            <a:rPr lang="en-US" altLang="ko-KR" sz="1100" baseline="0">
              <a:solidFill>
                <a:sysClr val="windowText" lastClr="000000"/>
              </a:solidFill>
              <a:latin typeface="+mn-ea"/>
              <a:ea typeface="+mn-ea"/>
            </a:rPr>
            <a:t>SAP  ZPP02230  </a:t>
          </a:r>
          <a:r>
            <a:rPr lang="ko-KR" altLang="en-US" sz="1100" baseline="0">
              <a:solidFill>
                <a:sysClr val="windowText" lastClr="000000"/>
              </a:solidFill>
              <a:latin typeface="+mn-ea"/>
              <a:ea typeface="+mn-ea"/>
            </a:rPr>
            <a:t>티코드 데이터 확인  완료 </a:t>
          </a:r>
          <a:r>
            <a:rPr lang="en-US" altLang="ko-KR" sz="1100" baseline="0">
              <a:solidFill>
                <a:sysClr val="windowText" lastClr="000000"/>
              </a:solidFill>
              <a:latin typeface="+mn-ea"/>
              <a:ea typeface="+mn-ea"/>
            </a:rPr>
            <a:t>(251126)</a:t>
          </a:r>
        </a:p>
        <a:p>
          <a:pPr algn="l"/>
          <a:endParaRPr lang="en-US" altLang="ko-KR" sz="1100" baseline="0">
            <a:solidFill>
              <a:sysClr val="windowText" lastClr="000000"/>
            </a:solidFill>
            <a:latin typeface="+mn-ea"/>
            <a:ea typeface="+mn-ea"/>
          </a:endParaRPr>
        </a:p>
        <a:p>
          <a:pPr algn="l"/>
          <a:endParaRPr lang="en-US" altLang="ko-KR" sz="1100" baseline="0">
            <a:solidFill>
              <a:sysClr val="windowText" lastClr="000000"/>
            </a:solidFill>
            <a:latin typeface="+mn-ea"/>
            <a:ea typeface="+mn-ea"/>
          </a:endParaRPr>
        </a:p>
        <a:p>
          <a:pPr algn="l"/>
          <a:r>
            <a:rPr lang="ko-KR" altLang="en-US" sz="1100" baseline="0">
              <a:solidFill>
                <a:sysClr val="windowText" lastClr="000000"/>
              </a:solidFill>
              <a:latin typeface="+mn-ea"/>
              <a:ea typeface="+mn-ea"/>
            </a:rPr>
            <a:t>최종 </a:t>
          </a:r>
          <a:r>
            <a:rPr lang="en-US" altLang="ko-KR" sz="1100" baseline="0">
              <a:solidFill>
                <a:sysClr val="windowText" lastClr="000000"/>
              </a:solidFill>
              <a:latin typeface="+mn-ea"/>
              <a:ea typeface="+mn-ea"/>
            </a:rPr>
            <a:t>:  </a:t>
          </a:r>
          <a:r>
            <a:rPr lang="ko-KR" altLang="en-US" sz="1100" baseline="0">
              <a:solidFill>
                <a:sysClr val="windowText" lastClr="000000"/>
              </a:solidFill>
              <a:latin typeface="+mn-ea"/>
              <a:ea typeface="+mn-ea"/>
            </a:rPr>
            <a:t>추가하지 않음</a:t>
          </a:r>
          <a:endParaRPr lang="ko-KR" altLang="en-US" sz="1100">
            <a:solidFill>
              <a:sysClr val="windowText" lastClr="000000"/>
            </a:solidFill>
            <a:latin typeface="+mn-ea"/>
            <a:ea typeface="+mn-ea"/>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7</xdr:col>
      <xdr:colOff>845820</xdr:colOff>
      <xdr:row>2</xdr:row>
      <xdr:rowOff>236220</xdr:rowOff>
    </xdr:from>
    <xdr:to>
      <xdr:col>8</xdr:col>
      <xdr:colOff>312420</xdr:colOff>
      <xdr:row>5</xdr:row>
      <xdr:rowOff>259080</xdr:rowOff>
    </xdr:to>
    <xdr:sp macro="" textlink="">
      <xdr:nvSpPr>
        <xdr:cNvPr id="2" name="말풍선: 사각형 1">
          <a:extLst>
            <a:ext uri="{FF2B5EF4-FFF2-40B4-BE49-F238E27FC236}">
              <a16:creationId xmlns:a16="http://schemas.microsoft.com/office/drawing/2014/main" id="{638C8ABB-0FA5-B435-D4C7-4FA51A32C31A}"/>
            </a:ext>
          </a:extLst>
        </xdr:cNvPr>
        <xdr:cNvSpPr/>
      </xdr:nvSpPr>
      <xdr:spPr>
        <a:xfrm>
          <a:off x="5593080" y="647700"/>
          <a:ext cx="1584960" cy="853440"/>
        </a:xfrm>
        <a:prstGeom prst="wedgeRectCallout">
          <a:avLst>
            <a:gd name="adj1" fmla="val -31410"/>
            <a:gd name="adj2" fmla="val -72322"/>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900">
              <a:solidFill>
                <a:sysClr val="windowText" lastClr="000000"/>
              </a:solidFill>
              <a:latin typeface="+mn-ea"/>
              <a:ea typeface="+mn-ea"/>
            </a:rPr>
            <a:t>Sales</a:t>
          </a:r>
          <a:r>
            <a:rPr lang="en-US" altLang="ko-KR" sz="900" baseline="0">
              <a:solidFill>
                <a:sysClr val="windowText" lastClr="000000"/>
              </a:solidFill>
              <a:latin typeface="+mn-ea"/>
              <a:ea typeface="+mn-ea"/>
            </a:rPr>
            <a:t> </a:t>
          </a:r>
          <a:r>
            <a:rPr lang="ko-KR" altLang="en-US" sz="900" baseline="0">
              <a:solidFill>
                <a:sysClr val="windowText" lastClr="000000"/>
              </a:solidFill>
              <a:latin typeface="+mn-ea"/>
              <a:ea typeface="+mn-ea"/>
            </a:rPr>
            <a:t>조직과 </a:t>
          </a:r>
          <a:r>
            <a:rPr lang="en-US" altLang="ko-KR" sz="900" baseline="0">
              <a:solidFill>
                <a:sysClr val="windowText" lastClr="000000"/>
              </a:solidFill>
              <a:latin typeface="+mn-ea"/>
              <a:ea typeface="+mn-ea"/>
            </a:rPr>
            <a:t>pg1</a:t>
          </a:r>
          <a:r>
            <a:rPr lang="ko-KR" altLang="en-US" sz="900" baseline="0">
              <a:solidFill>
                <a:sysClr val="windowText" lastClr="000000"/>
              </a:solidFill>
              <a:latin typeface="+mn-ea"/>
              <a:ea typeface="+mn-ea"/>
            </a:rPr>
            <a:t>코드 매핑</a:t>
          </a:r>
          <a:r>
            <a:rPr lang="en-US" altLang="ko-KR" sz="900" baseline="0">
              <a:solidFill>
                <a:sysClr val="windowText" lastClr="000000"/>
              </a:solidFill>
              <a:latin typeface="+mn-ea"/>
              <a:ea typeface="+mn-ea"/>
            </a:rPr>
            <a:t>.</a:t>
          </a:r>
        </a:p>
        <a:p>
          <a:pPr algn="l"/>
          <a:r>
            <a:rPr lang="ko-KR" altLang="en-US" sz="900" baseline="0">
              <a:solidFill>
                <a:sysClr val="windowText" lastClr="000000"/>
              </a:solidFill>
              <a:latin typeface="+mn-ea"/>
              <a:ea typeface="+mn-ea"/>
            </a:rPr>
            <a:t>인터페이스 항목이 맞는지</a:t>
          </a:r>
          <a:endParaRPr lang="en-US" altLang="ko-KR" sz="900" baseline="0">
            <a:solidFill>
              <a:sysClr val="windowText" lastClr="000000"/>
            </a:solidFill>
            <a:latin typeface="+mn-ea"/>
            <a:ea typeface="+mn-ea"/>
          </a:endParaRPr>
        </a:p>
        <a:p>
          <a:pPr algn="l"/>
          <a:r>
            <a:rPr lang="ko-KR" altLang="en-US" sz="900" baseline="0">
              <a:solidFill>
                <a:sysClr val="windowText" lastClr="000000"/>
              </a:solidFill>
              <a:latin typeface="+mn-ea"/>
              <a:ea typeface="+mn-ea"/>
            </a:rPr>
            <a:t>확인필요</a:t>
          </a:r>
          <a:r>
            <a:rPr lang="en-US" altLang="ko-KR" sz="900" baseline="0">
              <a:solidFill>
                <a:sysClr val="windowText" lastClr="000000"/>
              </a:solidFill>
              <a:latin typeface="+mn-ea"/>
              <a:ea typeface="+mn-ea"/>
            </a:rPr>
            <a:t>.</a:t>
          </a:r>
          <a:endParaRPr lang="ko-KR" altLang="en-US" sz="900">
            <a:solidFill>
              <a:sysClr val="windowText" lastClr="000000"/>
            </a:solidFill>
            <a:latin typeface="+mn-ea"/>
            <a:ea typeface="+mn-ea"/>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4</xdr:col>
      <xdr:colOff>236220</xdr:colOff>
      <xdr:row>8</xdr:row>
      <xdr:rowOff>274320</xdr:rowOff>
    </xdr:from>
    <xdr:to>
      <xdr:col>6</xdr:col>
      <xdr:colOff>624840</xdr:colOff>
      <xdr:row>12</xdr:row>
      <xdr:rowOff>137160</xdr:rowOff>
    </xdr:to>
    <xdr:sp macro="" textlink="">
      <xdr:nvSpPr>
        <xdr:cNvPr id="2" name="말풍선: 사각형 1">
          <a:extLst>
            <a:ext uri="{FF2B5EF4-FFF2-40B4-BE49-F238E27FC236}">
              <a16:creationId xmlns:a16="http://schemas.microsoft.com/office/drawing/2014/main" id="{29C3F459-DA8E-410A-9C6A-D35B346B1610}"/>
            </a:ext>
          </a:extLst>
        </xdr:cNvPr>
        <xdr:cNvSpPr/>
      </xdr:nvSpPr>
      <xdr:spPr>
        <a:xfrm>
          <a:off x="2865120" y="2514600"/>
          <a:ext cx="1584960" cy="853440"/>
        </a:xfrm>
        <a:prstGeom prst="wedgeRectCallout">
          <a:avLst>
            <a:gd name="adj1" fmla="val -93910"/>
            <a:gd name="adj2" fmla="val -9196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900">
              <a:solidFill>
                <a:sysClr val="windowText" lastClr="000000"/>
              </a:solidFill>
              <a:latin typeface="+mn-ea"/>
              <a:ea typeface="+mn-ea"/>
            </a:rPr>
            <a:t>칼럼명 시작이 </a:t>
          </a:r>
          <a:r>
            <a:rPr lang="en-US" altLang="ko-KR" sz="900">
              <a:solidFill>
                <a:sysClr val="windowText" lastClr="000000"/>
              </a:solidFill>
              <a:latin typeface="+mn-ea"/>
              <a:ea typeface="+mn-ea"/>
            </a:rPr>
            <a:t>0</a:t>
          </a:r>
          <a:r>
            <a:rPr lang="ko-KR" altLang="en-US" sz="900">
              <a:solidFill>
                <a:sysClr val="windowText" lastClr="000000"/>
              </a:solidFill>
              <a:latin typeface="+mn-ea"/>
              <a:ea typeface="+mn-ea"/>
            </a:rPr>
            <a:t>으로 시작</a:t>
          </a:r>
          <a:endParaRPr lang="en-US" altLang="ko-KR" sz="900">
            <a:solidFill>
              <a:sysClr val="windowText" lastClr="000000"/>
            </a:solidFill>
            <a:latin typeface="+mn-ea"/>
            <a:ea typeface="+mn-ea"/>
          </a:endParaRPr>
        </a:p>
        <a:p>
          <a:pPr algn="l"/>
          <a:r>
            <a:rPr lang="ko-KR" altLang="en-US" sz="900">
              <a:solidFill>
                <a:sysClr val="windowText" lastClr="000000"/>
              </a:solidFill>
              <a:latin typeface="+mn-ea"/>
              <a:ea typeface="+mn-ea"/>
            </a:rPr>
            <a:t>맞는 건지 확인 필요</a:t>
          </a:r>
          <a:r>
            <a:rPr lang="en-US" altLang="ko-KR" sz="900">
              <a:solidFill>
                <a:sysClr val="windowText" lastClr="000000"/>
              </a:solidFill>
              <a:latin typeface="+mn-ea"/>
              <a:ea typeface="+mn-ea"/>
            </a:rPr>
            <a:t>.</a:t>
          </a:r>
        </a:p>
        <a:p>
          <a:pPr algn="l"/>
          <a:endParaRPr lang="ko-KR" altLang="en-US" sz="900">
            <a:solidFill>
              <a:sysClr val="windowText" lastClr="000000"/>
            </a:solidFill>
            <a:latin typeface="+mn-ea"/>
            <a:ea typeface="+mn-ea"/>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FF00"/>
        </a:solidFill>
      </a:spPr>
      <a:bodyPr vertOverflow="clip" horzOverflow="clip" rtlCol="0" anchor="t"/>
      <a:lstStyle>
        <a:defPPr algn="l">
          <a:defRPr sz="900">
            <a:solidFill>
              <a:sysClr val="windowText" lastClr="000000"/>
            </a:solidFill>
            <a:latin typeface="+mn-ea"/>
            <a:ea typeface="+mn-ea"/>
          </a:defRPr>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8.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2.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14.bin"/></Relationships>
</file>

<file path=xl/worksheets/_rels/sheet13.xml.rels><?xml version="1.0" encoding="UTF-8" standalone="yes"?>
<Relationships xmlns="http://schemas.openxmlformats.org/package/2006/relationships"><Relationship Id="rId1" Type="http://schemas.openxmlformats.org/officeDocument/2006/relationships/customProperty" Target="../customProperty15.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customProperty" Target="../customProperty16.bin"/></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17.bin"/></Relationships>
</file>

<file path=xl/worksheets/_rels/sheet16.xml.rels><?xml version="1.0" encoding="UTF-8" standalone="yes"?>
<Relationships xmlns="http://schemas.openxmlformats.org/package/2006/relationships"><Relationship Id="rId1" Type="http://schemas.openxmlformats.org/officeDocument/2006/relationships/customProperty" Target="../customProperty1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customProperty" Target="../customProperty1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customProperty" Target="../customProperty20.bin"/></Relationships>
</file>

<file path=xl/worksheets/_rels/sheet19.xml.rels><?xml version="1.0" encoding="UTF-8" standalone="yes"?>
<Relationships xmlns="http://schemas.openxmlformats.org/package/2006/relationships"><Relationship Id="rId1" Type="http://schemas.openxmlformats.org/officeDocument/2006/relationships/customProperty" Target="../customProperty21.bin"/></Relationships>
</file>

<file path=xl/worksheets/_rels/sheet20.xml.rels><?xml version="1.0" encoding="UTF-8" standalone="yes"?>
<Relationships xmlns="http://schemas.openxmlformats.org/package/2006/relationships"><Relationship Id="rId1" Type="http://schemas.openxmlformats.org/officeDocument/2006/relationships/customProperty" Target="../customProperty2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customProperty" Target="../customProperty2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customProperty" Target="../customProperty24.bin"/></Relationships>
</file>

<file path=xl/worksheets/_rels/sheet23.xml.rels><?xml version="1.0" encoding="UTF-8" standalone="yes"?>
<Relationships xmlns="http://schemas.openxmlformats.org/package/2006/relationships"><Relationship Id="rId1" Type="http://schemas.openxmlformats.org/officeDocument/2006/relationships/customProperty" Target="../customProperty25.bin"/></Relationships>
</file>

<file path=xl/worksheets/_rels/sheet24.xml.rels><?xml version="1.0" encoding="UTF-8" standalone="yes"?>
<Relationships xmlns="http://schemas.openxmlformats.org/package/2006/relationships"><Relationship Id="rId1" Type="http://schemas.openxmlformats.org/officeDocument/2006/relationships/customProperty" Target="../customProperty26.bin"/></Relationships>
</file>

<file path=xl/worksheets/_rels/sheet25.xml.rels><?xml version="1.0" encoding="UTF-8" standalone="yes"?>
<Relationships xmlns="http://schemas.openxmlformats.org/package/2006/relationships"><Relationship Id="rId1" Type="http://schemas.openxmlformats.org/officeDocument/2006/relationships/customProperty" Target="../customProperty27.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customProperty" Target="../customProperty28.bin"/></Relationships>
</file>

<file path=xl/worksheets/_rels/sheet27.xml.rels><?xml version="1.0" encoding="UTF-8" standalone="yes"?>
<Relationships xmlns="http://schemas.openxmlformats.org/package/2006/relationships"><Relationship Id="rId1" Type="http://schemas.openxmlformats.org/officeDocument/2006/relationships/customProperty" Target="../customProperty29.bin"/></Relationships>
</file>

<file path=xl/worksheets/_rels/sheet28.xml.rels><?xml version="1.0" encoding="UTF-8" standalone="yes"?>
<Relationships xmlns="http://schemas.openxmlformats.org/package/2006/relationships"><Relationship Id="rId1" Type="http://schemas.openxmlformats.org/officeDocument/2006/relationships/customProperty" Target="../customProperty30.bin"/></Relationships>
</file>

<file path=xl/worksheets/_rels/sheet29.xml.rels><?xml version="1.0" encoding="UTF-8" standalone="yes"?>
<Relationships xmlns="http://schemas.openxmlformats.org/package/2006/relationships"><Relationship Id="rId1" Type="http://schemas.openxmlformats.org/officeDocument/2006/relationships/customProperty" Target="../customProperty31.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customProperty" Target="../customProperty32.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customProperty" Target="../customProperty33.bin"/></Relationships>
</file>

<file path=xl/worksheets/_rels/sheet32.xml.rels><?xml version="1.0" encoding="UTF-8" standalone="yes"?>
<Relationships xmlns="http://schemas.openxmlformats.org/package/2006/relationships"><Relationship Id="rId1" Type="http://schemas.openxmlformats.org/officeDocument/2006/relationships/customProperty" Target="../customProperty34.bin"/></Relationships>
</file>

<file path=xl/worksheets/_rels/sheet33.xml.rels><?xml version="1.0" encoding="UTF-8" standalone="yes"?>
<Relationships xmlns="http://schemas.openxmlformats.org/package/2006/relationships"><Relationship Id="rId1" Type="http://schemas.openxmlformats.org/officeDocument/2006/relationships/customProperty" Target="../customProperty35.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36.bin"/></Relationships>
</file>

<file path=xl/worksheets/_rels/sheet35.xml.rels><?xml version="1.0" encoding="UTF-8" standalone="yes"?>
<Relationships xmlns="http://schemas.openxmlformats.org/package/2006/relationships"><Relationship Id="rId1" Type="http://schemas.openxmlformats.org/officeDocument/2006/relationships/customProperty" Target="../customProperty37.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customProperty" Target="../customProperty3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customProperty" Target="../customProperty39.bin"/></Relationships>
</file>

<file path=xl/worksheets/_rels/sheet38.xml.rels><?xml version="1.0" encoding="UTF-8" standalone="yes"?>
<Relationships xmlns="http://schemas.openxmlformats.org/package/2006/relationships"><Relationship Id="rId1" Type="http://schemas.openxmlformats.org/officeDocument/2006/relationships/customProperty" Target="../customProperty4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customProperty" Target="../customProperty41.bin"/></Relationships>
</file>

<file path=xl/worksheets/_rels/sheet40.xml.rels><?xml version="1.0" encoding="UTF-8" standalone="yes"?>
<Relationships xmlns="http://schemas.openxmlformats.org/package/2006/relationships"><Relationship Id="rId1" Type="http://schemas.openxmlformats.org/officeDocument/2006/relationships/customProperty" Target="../customProperty42.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customProperty" Target="../customProperty43.bin"/></Relationships>
</file>

<file path=xl/worksheets/_rels/sheet42.xml.rels><?xml version="1.0" encoding="UTF-8" standalone="yes"?>
<Relationships xmlns="http://schemas.openxmlformats.org/package/2006/relationships"><Relationship Id="rId1" Type="http://schemas.openxmlformats.org/officeDocument/2006/relationships/customProperty" Target="../customProperty44.bin"/></Relationships>
</file>

<file path=xl/worksheets/_rels/sheet43.xml.rels><?xml version="1.0" encoding="UTF-8" standalone="yes"?>
<Relationships xmlns="http://schemas.openxmlformats.org/package/2006/relationships"><Relationship Id="rId1" Type="http://schemas.openxmlformats.org/officeDocument/2006/relationships/customProperty" Target="../customProperty45.bin"/></Relationships>
</file>

<file path=xl/worksheets/_rels/sheet44.xml.rels><?xml version="1.0" encoding="UTF-8" standalone="yes"?>
<Relationships xmlns="http://schemas.openxmlformats.org/package/2006/relationships"><Relationship Id="rId1" Type="http://schemas.openxmlformats.org/officeDocument/2006/relationships/customProperty" Target="../customProperty46.bin"/></Relationships>
</file>

<file path=xl/worksheets/_rels/sheet45.xml.rels><?xml version="1.0" encoding="UTF-8" standalone="yes"?>
<Relationships xmlns="http://schemas.openxmlformats.org/package/2006/relationships"><Relationship Id="rId1" Type="http://schemas.openxmlformats.org/officeDocument/2006/relationships/customProperty" Target="../customProperty47.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customProperty" Target="../customProperty48.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customProperty" Target="../customProperty49.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customProperty" Target="../customProperty50.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customProperty" Target="../customProperty51.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customProperty" Target="../customProperty52.bin"/></Relationships>
</file>

<file path=xl/worksheets/_rels/sheet51.xml.rels><?xml version="1.0" encoding="UTF-8" standalone="yes"?>
<Relationships xmlns="http://schemas.openxmlformats.org/package/2006/relationships"><Relationship Id="rId1" Type="http://schemas.openxmlformats.org/officeDocument/2006/relationships/customProperty" Target="../customProperty53.bin"/></Relationships>
</file>

<file path=xl/worksheets/_rels/sheet52.xml.rels><?xml version="1.0" encoding="UTF-8" standalone="yes"?>
<Relationships xmlns="http://schemas.openxmlformats.org/package/2006/relationships"><Relationship Id="rId1" Type="http://schemas.openxmlformats.org/officeDocument/2006/relationships/customProperty" Target="../customProperty54.bin"/></Relationships>
</file>

<file path=xl/worksheets/_rels/sheet53.xml.rels><?xml version="1.0" encoding="UTF-8" standalone="yes"?>
<Relationships xmlns="http://schemas.openxmlformats.org/package/2006/relationships"><Relationship Id="rId1" Type="http://schemas.openxmlformats.org/officeDocument/2006/relationships/customProperty" Target="../customProperty55.bin"/></Relationships>
</file>

<file path=xl/worksheets/_rels/sheet54.xml.rels><?xml version="1.0" encoding="UTF-8" standalone="yes"?>
<Relationships xmlns="http://schemas.openxmlformats.org/package/2006/relationships"><Relationship Id="rId2" Type="http://schemas.openxmlformats.org/officeDocument/2006/relationships/customProperty" Target="../customProperty56.bin"/><Relationship Id="rId1" Type="http://schemas.openxmlformats.org/officeDocument/2006/relationships/printerSettings" Target="../printerSettings/printerSettings2.bin"/></Relationships>
</file>

<file path=xl/worksheets/_rels/sheet55.xml.rels><?xml version="1.0" encoding="UTF-8" standalone="yes"?>
<Relationships xmlns="http://schemas.openxmlformats.org/package/2006/relationships"><Relationship Id="rId1" Type="http://schemas.openxmlformats.org/officeDocument/2006/relationships/customProperty" Target="../customProperty57.bin"/></Relationships>
</file>

<file path=xl/worksheets/_rels/sheet56.xml.rels><?xml version="1.0" encoding="UTF-8" standalone="yes"?>
<Relationships xmlns="http://schemas.openxmlformats.org/package/2006/relationships"><Relationship Id="rId1" Type="http://schemas.openxmlformats.org/officeDocument/2006/relationships/customProperty" Target="../customProperty58.bin"/></Relationships>
</file>

<file path=xl/worksheets/_rels/sheet57.xml.rels><?xml version="1.0" encoding="UTF-8" standalone="yes"?>
<Relationships xmlns="http://schemas.openxmlformats.org/package/2006/relationships"><Relationship Id="rId1" Type="http://schemas.openxmlformats.org/officeDocument/2006/relationships/customProperty" Target="../customProperty59.bin"/></Relationships>
</file>

<file path=xl/worksheets/_rels/sheet58.xml.rels><?xml version="1.0" encoding="UTF-8" standalone="yes"?>
<Relationships xmlns="http://schemas.openxmlformats.org/package/2006/relationships"><Relationship Id="rId1" Type="http://schemas.openxmlformats.org/officeDocument/2006/relationships/customProperty" Target="../customProperty60.bin"/></Relationships>
</file>

<file path=xl/worksheets/_rels/sheet59.xml.rels><?xml version="1.0" encoding="UTF-8" standalone="yes"?>
<Relationships xmlns="http://schemas.openxmlformats.org/package/2006/relationships"><Relationship Id="rId1" Type="http://schemas.openxmlformats.org/officeDocument/2006/relationships/customProperty" Target="../customProperty61.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customProperty" Target="../customProperty62.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customProperty" Target="../customProperty63.bin"/></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2.xml"/><Relationship Id="rId1" Type="http://schemas.openxmlformats.org/officeDocument/2006/relationships/customProperty" Target="../customProperty64.bin"/><Relationship Id="rId4" Type="http://schemas.openxmlformats.org/officeDocument/2006/relationships/comments" Target="../comments2.xml"/></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customProperty" Target="../customProperty65.bin"/></Relationships>
</file>

<file path=xl/worksheets/_rels/sheet64.xml.rels><?xml version="1.0" encoding="UTF-8" standalone="yes"?>
<Relationships xmlns="http://schemas.openxmlformats.org/package/2006/relationships"><Relationship Id="rId1" Type="http://schemas.openxmlformats.org/officeDocument/2006/relationships/customProperty" Target="../customProperty66.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customProperty" Target="../customProperty67.bin"/></Relationships>
</file>

<file path=xl/worksheets/_rels/sheet66.xml.rels><?xml version="1.0" encoding="UTF-8" standalone="yes"?>
<Relationships xmlns="http://schemas.openxmlformats.org/package/2006/relationships"><Relationship Id="rId1" Type="http://schemas.openxmlformats.org/officeDocument/2006/relationships/customProperty" Target="../customProperty68.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customProperty" Target="../customProperty69.bin"/></Relationships>
</file>

<file path=xl/worksheets/_rels/sheet68.xml.rels><?xml version="1.0" encoding="UTF-8" standalone="yes"?>
<Relationships xmlns="http://schemas.openxmlformats.org/package/2006/relationships"><Relationship Id="rId1" Type="http://schemas.openxmlformats.org/officeDocument/2006/relationships/customProperty" Target="../customProperty70.bin"/></Relationships>
</file>

<file path=xl/worksheets/_rels/sheet69.xml.rels><?xml version="1.0" encoding="UTF-8" standalone="yes"?>
<Relationships xmlns="http://schemas.openxmlformats.org/package/2006/relationships"><Relationship Id="rId1" Type="http://schemas.openxmlformats.org/officeDocument/2006/relationships/customProperty" Target="../customProperty71.bin"/></Relationships>
</file>

<file path=xl/worksheets/_rels/sheet70.xml.rels><?xml version="1.0" encoding="UTF-8" standalone="yes"?>
<Relationships xmlns="http://schemas.openxmlformats.org/package/2006/relationships"><Relationship Id="rId1" Type="http://schemas.openxmlformats.org/officeDocument/2006/relationships/customProperty" Target="../customProperty72.bin"/></Relationships>
</file>

<file path=xl/worksheets/_rels/sheet7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73.bin"/><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72.xml.rels><?xml version="1.0" encoding="UTF-8" standalone="yes"?>
<Relationships xmlns="http://schemas.openxmlformats.org/package/2006/relationships"><Relationship Id="rId1" Type="http://schemas.openxmlformats.org/officeDocument/2006/relationships/customProperty" Target="../customProperty74.bin"/></Relationships>
</file>

<file path=xl/worksheets/_rels/sheet73.xml.rels><?xml version="1.0" encoding="UTF-8" standalone="yes"?>
<Relationships xmlns="http://schemas.openxmlformats.org/package/2006/relationships"><Relationship Id="rId1" Type="http://schemas.openxmlformats.org/officeDocument/2006/relationships/customProperty" Target="../customProperty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0DA59-D131-4FFB-BCE1-9839758832F7}">
  <dimension ref="A1"/>
  <sheetViews>
    <sheetView workbookViewId="0"/>
  </sheetViews>
  <sheetFormatPr defaultRowHeight="16.5"/>
  <sheetData/>
  <phoneticPr fontId="4" type="noConversion"/>
  <pageMargins left="0.7" right="0.7" top="0.75" bottom="0.75" header="0.3" footer="0.3"/>
  <customProperties>
    <customPr name="_pios_id" r:id="rId1"/>
    <customPr name="CofWorksheetType" r:id="rId2"/>
    <customPr name="serializedData2"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ADF33-11E3-43F5-8C39-C6BDDCFB9068}">
  <dimension ref="A1:AK80"/>
  <sheetViews>
    <sheetView showGridLines="0" tabSelected="1" zoomScaleNormal="100" workbookViewId="0">
      <pane xSplit="8" ySplit="2" topLeftCell="I3" activePane="bottomRight" state="frozen"/>
      <selection pane="topRight" activeCell="G1" sqref="G1"/>
      <selection pane="bottomLeft" activeCell="A3" sqref="A3"/>
      <selection pane="bottomRight" activeCell="D4" sqref="D4"/>
    </sheetView>
  </sheetViews>
  <sheetFormatPr defaultColWidth="9.125" defaultRowHeight="19.5" customHeight="1"/>
  <cols>
    <col min="1" max="1" width="1.375" style="4" customWidth="1"/>
    <col min="2" max="2" width="5.5" style="4" customWidth="1"/>
    <col min="3" max="4" width="8.125" style="4" customWidth="1"/>
    <col min="5" max="5" width="9.25" style="4" bestFit="1" customWidth="1"/>
    <col min="6" max="7" width="9.125" style="4" customWidth="1"/>
    <col min="8" max="8" width="29.75" style="69" customWidth="1"/>
    <col min="9" max="9" width="11.5" style="5" customWidth="1"/>
    <col min="10" max="10" width="5.5" style="4" bestFit="1" customWidth="1"/>
    <col min="11" max="11" width="7.5" style="4" bestFit="1" customWidth="1"/>
    <col min="12" max="12" width="7.875" style="4" bestFit="1" customWidth="1"/>
    <col min="13" max="13" width="0.125" style="5" customWidth="1"/>
    <col min="14" max="14" width="22.25" style="4" customWidth="1"/>
    <col min="15" max="15" width="26.375" style="5" customWidth="1"/>
    <col min="16" max="16" width="28.25" style="5" customWidth="1"/>
    <col min="17" max="17" width="25.75" style="5" customWidth="1"/>
    <col min="18" max="18" width="11.375" style="4" customWidth="1"/>
    <col min="19" max="24" width="0" style="4" hidden="1" customWidth="1"/>
    <col min="25" max="28" width="9.125" style="4"/>
    <col min="29" max="29" width="48.125" style="4" bestFit="1" customWidth="1"/>
    <col min="30" max="30" width="9.125" style="4"/>
    <col min="31" max="31" width="29.875" style="4" customWidth="1"/>
    <col min="32" max="32" width="50.875" style="4" customWidth="1"/>
    <col min="33" max="35" width="9.125" style="4"/>
    <col min="36" max="36" width="21.625" style="4" customWidth="1"/>
    <col min="37" max="37" width="28.375" style="4" customWidth="1"/>
    <col min="38" max="16384" width="9.125" style="4"/>
  </cols>
  <sheetData>
    <row r="1" spans="1:37" ht="19.5" customHeight="1">
      <c r="B1" s="153"/>
      <c r="O1" s="4"/>
      <c r="P1" s="4"/>
      <c r="Q1" s="4"/>
    </row>
    <row r="2" spans="1:37" ht="30" customHeight="1">
      <c r="B2" s="906" t="s">
        <v>0</v>
      </c>
      <c r="C2" s="907" t="s">
        <v>1</v>
      </c>
      <c r="D2" s="907" t="s">
        <v>2</v>
      </c>
      <c r="E2" s="907" t="s">
        <v>3</v>
      </c>
      <c r="F2" s="907" t="s">
        <v>4</v>
      </c>
      <c r="G2" s="907" t="s">
        <v>5</v>
      </c>
      <c r="H2" s="908" t="s">
        <v>6</v>
      </c>
      <c r="I2" s="907" t="s">
        <v>7</v>
      </c>
      <c r="J2" s="907" t="s">
        <v>8</v>
      </c>
      <c r="K2" s="907" t="s">
        <v>9</v>
      </c>
      <c r="L2" s="907" t="s">
        <v>10</v>
      </c>
      <c r="M2" s="907" t="s">
        <v>11</v>
      </c>
      <c r="N2" s="907" t="s">
        <v>12</v>
      </c>
      <c r="O2" s="909" t="s">
        <v>13</v>
      </c>
      <c r="P2" s="931" t="s">
        <v>14</v>
      </c>
      <c r="Q2" s="910" t="s">
        <v>15</v>
      </c>
      <c r="R2" s="5"/>
      <c r="S2" s="253" t="s">
        <v>16</v>
      </c>
      <c r="T2" s="254"/>
      <c r="U2" s="254"/>
      <c r="V2" s="253" t="s">
        <v>17</v>
      </c>
      <c r="W2" s="254" t="s">
        <v>18</v>
      </c>
      <c r="X2" s="254" t="s">
        <v>19</v>
      </c>
      <c r="Y2" s="254" t="s">
        <v>20</v>
      </c>
      <c r="Z2" s="255" t="s">
        <v>21</v>
      </c>
      <c r="AA2" s="255" t="s">
        <v>22</v>
      </c>
      <c r="AB2" s="255" t="s">
        <v>23</v>
      </c>
      <c r="AC2" s="255" t="s">
        <v>24</v>
      </c>
      <c r="AD2" s="256" t="s">
        <v>25</v>
      </c>
      <c r="AE2" s="256" t="s">
        <v>26</v>
      </c>
      <c r="AF2" s="256" t="s">
        <v>27</v>
      </c>
      <c r="AG2" s="256" t="s">
        <v>28</v>
      </c>
      <c r="AH2" s="256" t="s">
        <v>29</v>
      </c>
      <c r="AI2" s="254" t="s">
        <v>30</v>
      </c>
      <c r="AJ2" s="254" t="s">
        <v>31</v>
      </c>
      <c r="AK2" s="257" t="s">
        <v>32</v>
      </c>
    </row>
    <row r="3" spans="1:37" ht="16.5">
      <c r="B3" s="1282">
        <v>1</v>
      </c>
      <c r="C3" s="911" t="s">
        <v>33</v>
      </c>
      <c r="D3" s="911" t="s">
        <v>34</v>
      </c>
      <c r="E3" s="946" t="s">
        <v>35</v>
      </c>
      <c r="F3" s="911" t="s">
        <v>36</v>
      </c>
      <c r="G3" s="911" t="s">
        <v>37</v>
      </c>
      <c r="H3" s="912" t="s">
        <v>38</v>
      </c>
      <c r="I3" s="913" t="s">
        <v>39</v>
      </c>
      <c r="J3" s="913" t="s">
        <v>40</v>
      </c>
      <c r="K3" s="913" t="s">
        <v>41</v>
      </c>
      <c r="L3" s="913" t="s">
        <v>42</v>
      </c>
      <c r="M3" s="913">
        <v>1</v>
      </c>
      <c r="N3" s="914" t="s">
        <v>43</v>
      </c>
      <c r="O3" s="915" t="s">
        <v>44</v>
      </c>
      <c r="P3" s="915" t="s">
        <v>45</v>
      </c>
      <c r="Q3" s="916"/>
      <c r="S3" s="408">
        <v>45967</v>
      </c>
      <c r="T3" s="246"/>
      <c r="U3" s="247"/>
      <c r="V3" s="245" t="s">
        <v>46</v>
      </c>
      <c r="W3" s="246" t="s">
        <v>33</v>
      </c>
      <c r="X3" s="247" t="s">
        <v>47</v>
      </c>
      <c r="Y3" s="246" t="s">
        <v>48</v>
      </c>
      <c r="Z3" s="248"/>
      <c r="AA3" s="248" t="s">
        <v>49</v>
      </c>
      <c r="AB3" s="248"/>
      <c r="AC3" s="249"/>
      <c r="AD3" s="249" t="s">
        <v>50</v>
      </c>
      <c r="AE3" s="249" t="s">
        <v>51</v>
      </c>
      <c r="AF3" s="249" t="s">
        <v>52</v>
      </c>
      <c r="AG3" s="249" t="s">
        <v>53</v>
      </c>
      <c r="AH3" s="250">
        <v>1</v>
      </c>
      <c r="AI3" s="251" t="s">
        <v>54</v>
      </c>
      <c r="AJ3" s="251" t="s">
        <v>55</v>
      </c>
      <c r="AK3" s="252" t="s">
        <v>56</v>
      </c>
    </row>
    <row r="4" spans="1:37" ht="24">
      <c r="B4" s="1283">
        <v>2</v>
      </c>
      <c r="C4" s="1" t="s">
        <v>33</v>
      </c>
      <c r="D4" s="1" t="s">
        <v>57</v>
      </c>
      <c r="E4" s="946" t="s">
        <v>58</v>
      </c>
      <c r="F4" s="1" t="s">
        <v>36</v>
      </c>
      <c r="G4" s="1" t="s">
        <v>59</v>
      </c>
      <c r="H4" s="820" t="s">
        <v>60</v>
      </c>
      <c r="I4" s="2" t="s">
        <v>46</v>
      </c>
      <c r="J4" s="2" t="s">
        <v>40</v>
      </c>
      <c r="K4" s="2" t="s">
        <v>41</v>
      </c>
      <c r="L4" s="2" t="s">
        <v>42</v>
      </c>
      <c r="M4" s="2">
        <v>1</v>
      </c>
      <c r="N4" s="3" t="s">
        <v>61</v>
      </c>
      <c r="O4" s="151" t="s">
        <v>62</v>
      </c>
      <c r="P4" s="151" t="s">
        <v>63</v>
      </c>
      <c r="Q4" s="817"/>
      <c r="S4" s="238"/>
      <c r="T4" s="32"/>
      <c r="U4" s="31"/>
      <c r="V4" s="238" t="s">
        <v>64</v>
      </c>
      <c r="W4" s="32" t="s">
        <v>33</v>
      </c>
      <c r="X4" s="31" t="s">
        <v>47</v>
      </c>
      <c r="Y4" s="32" t="s">
        <v>48</v>
      </c>
      <c r="Z4" s="35"/>
      <c r="AA4" s="35" t="s">
        <v>49</v>
      </c>
      <c r="AB4" s="35"/>
      <c r="AC4" s="36" t="s">
        <v>65</v>
      </c>
      <c r="AD4" s="36" t="s">
        <v>50</v>
      </c>
      <c r="AE4" s="36" t="s">
        <v>66</v>
      </c>
      <c r="AF4" s="36" t="s">
        <v>67</v>
      </c>
      <c r="AG4" s="36" t="s">
        <v>68</v>
      </c>
      <c r="AH4" s="220">
        <v>3</v>
      </c>
      <c r="AI4" s="34" t="s">
        <v>69</v>
      </c>
      <c r="AJ4" s="34" t="s">
        <v>70</v>
      </c>
      <c r="AK4" s="239" t="s">
        <v>71</v>
      </c>
    </row>
    <row r="5" spans="1:37" ht="16.5">
      <c r="B5" s="1283">
        <f t="shared" ref="B5:B36" si="0">+B4+1</f>
        <v>3</v>
      </c>
      <c r="C5" s="1" t="s">
        <v>33</v>
      </c>
      <c r="D5" s="1" t="s">
        <v>72</v>
      </c>
      <c r="E5" s="946" t="s">
        <v>73</v>
      </c>
      <c r="F5" s="1" t="s">
        <v>36</v>
      </c>
      <c r="G5" s="1" t="s">
        <v>74</v>
      </c>
      <c r="H5" s="820" t="s">
        <v>75</v>
      </c>
      <c r="I5" s="2" t="s">
        <v>46</v>
      </c>
      <c r="J5" s="2" t="s">
        <v>40</v>
      </c>
      <c r="K5" s="2" t="s">
        <v>41</v>
      </c>
      <c r="L5" s="2" t="s">
        <v>42</v>
      </c>
      <c r="M5" s="2">
        <v>1</v>
      </c>
      <c r="N5" s="3" t="s">
        <v>76</v>
      </c>
      <c r="O5" s="151" t="s">
        <v>77</v>
      </c>
      <c r="P5" s="151" t="s">
        <v>78</v>
      </c>
      <c r="Q5" s="817"/>
      <c r="S5" s="238"/>
      <c r="T5" s="32"/>
      <c r="U5" s="31"/>
      <c r="V5" s="238" t="s">
        <v>64</v>
      </c>
      <c r="W5" s="32" t="s">
        <v>33</v>
      </c>
      <c r="X5" s="31" t="s">
        <v>47</v>
      </c>
      <c r="Y5" s="32" t="s">
        <v>48</v>
      </c>
      <c r="Z5" s="35"/>
      <c r="AA5" s="35" t="s">
        <v>49</v>
      </c>
      <c r="AB5" s="35"/>
      <c r="AC5" s="36"/>
      <c r="AD5" s="36" t="s">
        <v>79</v>
      </c>
      <c r="AE5" s="36" t="s">
        <v>80</v>
      </c>
      <c r="AF5" s="36" t="s">
        <v>67</v>
      </c>
      <c r="AG5" s="36" t="s">
        <v>68</v>
      </c>
      <c r="AH5" s="220">
        <v>3</v>
      </c>
      <c r="AI5" s="34" t="s">
        <v>69</v>
      </c>
      <c r="AJ5" s="34" t="s">
        <v>81</v>
      </c>
      <c r="AK5" s="239" t="s">
        <v>82</v>
      </c>
    </row>
    <row r="6" spans="1:37" ht="16.5">
      <c r="B6" s="1283">
        <f t="shared" si="0"/>
        <v>4</v>
      </c>
      <c r="C6" s="1" t="s">
        <v>33</v>
      </c>
      <c r="D6" s="1" t="s">
        <v>83</v>
      </c>
      <c r="E6" s="946" t="s">
        <v>3718</v>
      </c>
      <c r="F6" s="1" t="s">
        <v>36</v>
      </c>
      <c r="G6" s="1" t="s">
        <v>84</v>
      </c>
      <c r="H6" s="820" t="s">
        <v>85</v>
      </c>
      <c r="I6" s="2" t="s">
        <v>46</v>
      </c>
      <c r="J6" s="2" t="s">
        <v>40</v>
      </c>
      <c r="K6" s="2" t="s">
        <v>41</v>
      </c>
      <c r="L6" s="2" t="s">
        <v>42</v>
      </c>
      <c r="M6" s="2">
        <v>1</v>
      </c>
      <c r="N6" s="3" t="s">
        <v>86</v>
      </c>
      <c r="O6" s="151" t="s">
        <v>87</v>
      </c>
      <c r="P6" s="151" t="s">
        <v>88</v>
      </c>
      <c r="Q6" s="817"/>
      <c r="S6" s="238"/>
      <c r="T6" s="32"/>
      <c r="U6" s="31"/>
      <c r="V6" s="238" t="s">
        <v>64</v>
      </c>
      <c r="W6" s="32" t="s">
        <v>33</v>
      </c>
      <c r="X6" s="31" t="s">
        <v>47</v>
      </c>
      <c r="Y6" s="32" t="s">
        <v>48</v>
      </c>
      <c r="Z6" s="35"/>
      <c r="AA6" s="35" t="s">
        <v>49</v>
      </c>
      <c r="AB6" s="35"/>
      <c r="AC6" s="38" t="s">
        <v>89</v>
      </c>
      <c r="AD6" s="38" t="s">
        <v>50</v>
      </c>
      <c r="AE6" s="38" t="s">
        <v>90</v>
      </c>
      <c r="AF6" s="38" t="s">
        <v>52</v>
      </c>
      <c r="AG6" s="38" t="s">
        <v>53</v>
      </c>
      <c r="AH6" s="219">
        <v>1</v>
      </c>
      <c r="AI6" s="34" t="s">
        <v>69</v>
      </c>
      <c r="AJ6" s="34" t="s">
        <v>70</v>
      </c>
      <c r="AK6" s="239" t="s">
        <v>91</v>
      </c>
    </row>
    <row r="7" spans="1:37" ht="16.5">
      <c r="B7" s="141">
        <f t="shared" si="0"/>
        <v>5</v>
      </c>
      <c r="C7" s="1" t="s">
        <v>92</v>
      </c>
      <c r="D7" s="1" t="s">
        <v>93</v>
      </c>
      <c r="E7" s="946" t="s">
        <v>94</v>
      </c>
      <c r="F7" s="1" t="s">
        <v>36</v>
      </c>
      <c r="G7" s="1" t="s">
        <v>95</v>
      </c>
      <c r="H7" s="820" t="s">
        <v>96</v>
      </c>
      <c r="I7" s="2" t="s">
        <v>46</v>
      </c>
      <c r="J7" s="2" t="s">
        <v>97</v>
      </c>
      <c r="K7" s="2" t="s">
        <v>41</v>
      </c>
      <c r="L7" s="2" t="s">
        <v>42</v>
      </c>
      <c r="M7" s="2">
        <v>2</v>
      </c>
      <c r="N7" s="3" t="s">
        <v>98</v>
      </c>
      <c r="O7" s="151" t="s">
        <v>99</v>
      </c>
      <c r="P7" s="151" t="s">
        <v>100</v>
      </c>
      <c r="Q7" s="817"/>
      <c r="S7" s="238"/>
      <c r="T7" s="32"/>
      <c r="U7" s="31"/>
      <c r="V7" s="238" t="s">
        <v>64</v>
      </c>
      <c r="W7" s="32" t="s">
        <v>92</v>
      </c>
      <c r="X7" s="31" t="s">
        <v>47</v>
      </c>
      <c r="Y7" s="32" t="s">
        <v>101</v>
      </c>
      <c r="Z7" s="35"/>
      <c r="AA7" s="35" t="s">
        <v>49</v>
      </c>
      <c r="AB7" s="35"/>
      <c r="AC7" s="44" t="s">
        <v>102</v>
      </c>
      <c r="AD7" s="44" t="s">
        <v>103</v>
      </c>
      <c r="AE7" s="44" t="s">
        <v>104</v>
      </c>
      <c r="AF7" s="44" t="s">
        <v>105</v>
      </c>
      <c r="AG7" s="44" t="s">
        <v>68</v>
      </c>
      <c r="AH7" s="219">
        <v>3</v>
      </c>
      <c r="AI7" s="259" t="s">
        <v>69</v>
      </c>
      <c r="AJ7" s="259" t="s">
        <v>106</v>
      </c>
      <c r="AK7" s="258" t="s">
        <v>107</v>
      </c>
    </row>
    <row r="8" spans="1:37" ht="16.5">
      <c r="B8" s="1283">
        <f t="shared" si="0"/>
        <v>6</v>
      </c>
      <c r="C8" s="1" t="s">
        <v>33</v>
      </c>
      <c r="D8" s="1" t="s">
        <v>108</v>
      </c>
      <c r="E8" s="946" t="s">
        <v>109</v>
      </c>
      <c r="F8" s="1" t="s">
        <v>36</v>
      </c>
      <c r="G8" s="1" t="s">
        <v>110</v>
      </c>
      <c r="H8" s="820" t="s">
        <v>111</v>
      </c>
      <c r="I8" s="2" t="s">
        <v>46</v>
      </c>
      <c r="J8" s="2" t="s">
        <v>97</v>
      </c>
      <c r="K8" s="2" t="s">
        <v>41</v>
      </c>
      <c r="L8" s="2" t="s">
        <v>42</v>
      </c>
      <c r="M8" s="2">
        <v>2</v>
      </c>
      <c r="N8" s="3" t="s">
        <v>112</v>
      </c>
      <c r="O8" s="151" t="s">
        <v>113</v>
      </c>
      <c r="P8" s="151" t="s">
        <v>114</v>
      </c>
      <c r="Q8" s="817" t="s">
        <v>115</v>
      </c>
      <c r="S8" s="238"/>
      <c r="T8" s="32"/>
      <c r="U8" s="31"/>
      <c r="V8" s="238" t="s">
        <v>64</v>
      </c>
      <c r="W8" s="32" t="s">
        <v>33</v>
      </c>
      <c r="X8" s="31" t="s">
        <v>47</v>
      </c>
      <c r="Y8" s="32" t="s">
        <v>101</v>
      </c>
      <c r="Z8" s="35"/>
      <c r="AA8" s="35" t="s">
        <v>49</v>
      </c>
      <c r="AB8" s="35"/>
      <c r="AC8" s="38" t="s">
        <v>116</v>
      </c>
      <c r="AD8" s="38" t="s">
        <v>50</v>
      </c>
      <c r="AE8" s="38" t="s">
        <v>117</v>
      </c>
      <c r="AF8" s="38" t="s">
        <v>118</v>
      </c>
      <c r="AG8" s="38" t="s">
        <v>119</v>
      </c>
      <c r="AH8" s="219">
        <v>5</v>
      </c>
      <c r="AI8" s="259" t="s">
        <v>69</v>
      </c>
      <c r="AJ8" s="259" t="s">
        <v>106</v>
      </c>
      <c r="AK8" s="258" t="s">
        <v>120</v>
      </c>
    </row>
    <row r="9" spans="1:37" ht="36">
      <c r="B9" s="1283">
        <f t="shared" si="0"/>
        <v>7</v>
      </c>
      <c r="C9" s="1" t="s">
        <v>33</v>
      </c>
      <c r="D9" s="664" t="s">
        <v>121</v>
      </c>
      <c r="E9" s="946" t="s">
        <v>122</v>
      </c>
      <c r="F9" s="1" t="s">
        <v>36</v>
      </c>
      <c r="G9" s="1" t="s">
        <v>123</v>
      </c>
      <c r="H9" s="820" t="s">
        <v>124</v>
      </c>
      <c r="I9" s="2" t="s">
        <v>46</v>
      </c>
      <c r="J9" s="2" t="s">
        <v>97</v>
      </c>
      <c r="K9" s="2" t="s">
        <v>41</v>
      </c>
      <c r="L9" s="2" t="s">
        <v>42</v>
      </c>
      <c r="M9" s="2">
        <v>2</v>
      </c>
      <c r="N9" s="3" t="s">
        <v>125</v>
      </c>
      <c r="O9" s="151" t="s">
        <v>126</v>
      </c>
      <c r="P9" s="151" t="s">
        <v>127</v>
      </c>
      <c r="Q9" s="817"/>
      <c r="S9" s="238"/>
      <c r="T9" s="31"/>
      <c r="U9" s="31"/>
      <c r="V9" s="238" t="s">
        <v>64</v>
      </c>
      <c r="W9" s="31" t="s">
        <v>128</v>
      </c>
      <c r="X9" s="31" t="s">
        <v>129</v>
      </c>
      <c r="Y9" s="31" t="s">
        <v>130</v>
      </c>
      <c r="Z9" s="31"/>
      <c r="AA9" s="31" t="s">
        <v>49</v>
      </c>
      <c r="AB9" s="31"/>
      <c r="AC9" s="47" t="s">
        <v>131</v>
      </c>
      <c r="AD9" s="47" t="s">
        <v>79</v>
      </c>
      <c r="AE9" s="47" t="s">
        <v>132</v>
      </c>
      <c r="AF9" s="221" t="s">
        <v>133</v>
      </c>
      <c r="AG9" s="47" t="s">
        <v>132</v>
      </c>
      <c r="AH9" s="222">
        <v>5</v>
      </c>
      <c r="AI9" s="259" t="s">
        <v>81</v>
      </c>
      <c r="AJ9" s="259" t="s">
        <v>55</v>
      </c>
      <c r="AK9" s="258" t="s">
        <v>134</v>
      </c>
    </row>
    <row r="10" spans="1:37" ht="16.5">
      <c r="B10" s="141">
        <f t="shared" si="0"/>
        <v>8</v>
      </c>
      <c r="C10" s="1" t="s">
        <v>135</v>
      </c>
      <c r="D10" s="1" t="s">
        <v>136</v>
      </c>
      <c r="E10" s="946" t="s">
        <v>137</v>
      </c>
      <c r="F10" s="1" t="s">
        <v>36</v>
      </c>
      <c r="G10" s="1" t="s">
        <v>138</v>
      </c>
      <c r="H10" s="820" t="s">
        <v>139</v>
      </c>
      <c r="I10" s="2" t="s">
        <v>46</v>
      </c>
      <c r="J10" s="2" t="s">
        <v>97</v>
      </c>
      <c r="K10" s="2" t="s">
        <v>41</v>
      </c>
      <c r="L10" s="2" t="s">
        <v>42</v>
      </c>
      <c r="M10" s="2">
        <v>2</v>
      </c>
      <c r="N10" s="3" t="s">
        <v>140</v>
      </c>
      <c r="O10" s="151" t="s">
        <v>141</v>
      </c>
      <c r="P10" s="151" t="s">
        <v>142</v>
      </c>
      <c r="Q10" s="817"/>
      <c r="R10" s="490"/>
      <c r="S10" s="240"/>
      <c r="T10" s="31"/>
      <c r="U10" s="31"/>
      <c r="V10" s="240" t="s">
        <v>64</v>
      </c>
      <c r="W10" s="31" t="s">
        <v>135</v>
      </c>
      <c r="X10" s="31" t="s">
        <v>47</v>
      </c>
      <c r="Y10" s="31" t="s">
        <v>101</v>
      </c>
      <c r="Z10" s="31" t="s">
        <v>143</v>
      </c>
      <c r="AA10" s="31" t="s">
        <v>143</v>
      </c>
      <c r="AB10" s="31" t="s">
        <v>144</v>
      </c>
      <c r="AC10" s="38"/>
      <c r="AD10" s="38" t="s">
        <v>145</v>
      </c>
      <c r="AE10" s="38" t="s">
        <v>146</v>
      </c>
      <c r="AF10" s="38"/>
      <c r="AG10" s="38" t="s">
        <v>53</v>
      </c>
      <c r="AH10" s="219">
        <v>1</v>
      </c>
      <c r="AI10" s="259" t="s">
        <v>69</v>
      </c>
      <c r="AJ10" s="259" t="s">
        <v>106</v>
      </c>
      <c r="AK10" s="258" t="s">
        <v>147</v>
      </c>
    </row>
    <row r="11" spans="1:37" ht="16.5">
      <c r="B11" s="141">
        <f t="shared" si="0"/>
        <v>9</v>
      </c>
      <c r="C11" s="1" t="s">
        <v>92</v>
      </c>
      <c r="D11" s="1" t="s">
        <v>148</v>
      </c>
      <c r="E11" s="946" t="s">
        <v>149</v>
      </c>
      <c r="F11" s="1" t="s">
        <v>36</v>
      </c>
      <c r="G11" s="1" t="s">
        <v>150</v>
      </c>
      <c r="H11" s="820" t="s">
        <v>151</v>
      </c>
      <c r="I11" s="2" t="s">
        <v>46</v>
      </c>
      <c r="J11" s="2" t="s">
        <v>97</v>
      </c>
      <c r="K11" s="2" t="s">
        <v>41</v>
      </c>
      <c r="L11" s="2" t="s">
        <v>42</v>
      </c>
      <c r="M11" s="2">
        <v>2</v>
      </c>
      <c r="N11" s="3" t="s">
        <v>152</v>
      </c>
      <c r="O11" s="151" t="s">
        <v>153</v>
      </c>
      <c r="P11" s="151" t="s">
        <v>154</v>
      </c>
      <c r="Q11" s="817"/>
      <c r="S11" s="238"/>
      <c r="T11" s="31"/>
      <c r="U11" s="31"/>
      <c r="V11" s="238" t="s">
        <v>64</v>
      </c>
      <c r="W11" s="31" t="s">
        <v>92</v>
      </c>
      <c r="X11" s="31" t="s">
        <v>47</v>
      </c>
      <c r="Y11" s="31" t="s">
        <v>101</v>
      </c>
      <c r="Z11" s="31"/>
      <c r="AA11" s="31" t="s">
        <v>49</v>
      </c>
      <c r="AB11" s="31"/>
      <c r="AC11" s="44"/>
      <c r="AD11" s="44" t="s">
        <v>103</v>
      </c>
      <c r="AE11" s="44" t="s">
        <v>155</v>
      </c>
      <c r="AF11" s="44" t="s">
        <v>156</v>
      </c>
      <c r="AG11" s="44" t="s">
        <v>68</v>
      </c>
      <c r="AH11" s="219">
        <v>3</v>
      </c>
      <c r="AI11" s="259" t="s">
        <v>69</v>
      </c>
      <c r="AJ11" s="259" t="s">
        <v>106</v>
      </c>
      <c r="AK11" s="258" t="s">
        <v>157</v>
      </c>
    </row>
    <row r="12" spans="1:37" ht="33">
      <c r="B12" s="141">
        <f t="shared" si="0"/>
        <v>10</v>
      </c>
      <c r="C12" s="1" t="s">
        <v>33</v>
      </c>
      <c r="D12" s="1" t="s">
        <v>158</v>
      </c>
      <c r="E12" s="946" t="s">
        <v>159</v>
      </c>
      <c r="F12" s="1" t="s">
        <v>36</v>
      </c>
      <c r="G12" s="1" t="s">
        <v>160</v>
      </c>
      <c r="H12" s="820" t="s">
        <v>161</v>
      </c>
      <c r="I12" s="2" t="s">
        <v>46</v>
      </c>
      <c r="J12" s="2" t="s">
        <v>40</v>
      </c>
      <c r="K12" s="2" t="s">
        <v>41</v>
      </c>
      <c r="L12" s="2" t="s">
        <v>42</v>
      </c>
      <c r="M12" s="2">
        <v>1</v>
      </c>
      <c r="N12" s="3" t="s">
        <v>162</v>
      </c>
      <c r="O12" s="151" t="s">
        <v>163</v>
      </c>
      <c r="P12" s="151" t="s">
        <v>164</v>
      </c>
      <c r="Q12" s="817"/>
      <c r="S12" s="238"/>
      <c r="T12" s="31"/>
      <c r="U12" s="31"/>
      <c r="V12" s="238" t="s">
        <v>64</v>
      </c>
      <c r="W12" s="31" t="s">
        <v>128</v>
      </c>
      <c r="X12" s="31" t="s">
        <v>53</v>
      </c>
      <c r="Y12" s="31" t="s">
        <v>165</v>
      </c>
      <c r="Z12" s="31"/>
      <c r="AA12" s="31"/>
      <c r="AB12" s="31"/>
      <c r="AC12" s="44"/>
      <c r="AD12" s="44" t="s">
        <v>79</v>
      </c>
      <c r="AE12" s="44" t="s">
        <v>166</v>
      </c>
      <c r="AF12" s="44" t="s">
        <v>167</v>
      </c>
      <c r="AG12" s="44" t="s">
        <v>68</v>
      </c>
      <c r="AH12" s="219">
        <v>3</v>
      </c>
      <c r="AI12" s="259"/>
      <c r="AJ12" s="259"/>
      <c r="AK12" s="258"/>
    </row>
    <row r="13" spans="1:37" ht="16.5">
      <c r="B13" s="141">
        <f t="shared" si="0"/>
        <v>11</v>
      </c>
      <c r="C13" s="1" t="s">
        <v>33</v>
      </c>
      <c r="D13" s="1" t="s">
        <v>168</v>
      </c>
      <c r="E13" s="946" t="s">
        <v>169</v>
      </c>
      <c r="F13" s="1" t="s">
        <v>36</v>
      </c>
      <c r="G13" s="1" t="s">
        <v>170</v>
      </c>
      <c r="H13" s="820" t="s">
        <v>171</v>
      </c>
      <c r="I13" s="2" t="s">
        <v>46</v>
      </c>
      <c r="J13" s="2" t="s">
        <v>40</v>
      </c>
      <c r="K13" s="2" t="s">
        <v>41</v>
      </c>
      <c r="L13" s="2" t="s">
        <v>42</v>
      </c>
      <c r="M13" s="2">
        <v>2</v>
      </c>
      <c r="N13" s="3" t="s">
        <v>172</v>
      </c>
      <c r="O13" s="151" t="s">
        <v>173</v>
      </c>
      <c r="P13" s="151" t="s">
        <v>174</v>
      </c>
      <c r="Q13" s="817"/>
      <c r="S13" s="238"/>
      <c r="T13" s="31"/>
      <c r="U13" s="31"/>
      <c r="V13" s="238" t="s">
        <v>64</v>
      </c>
      <c r="W13" s="31" t="s">
        <v>33</v>
      </c>
      <c r="X13" s="31" t="s">
        <v>47</v>
      </c>
      <c r="Y13" s="31" t="s">
        <v>48</v>
      </c>
      <c r="Z13" s="31"/>
      <c r="AA13" s="31" t="s">
        <v>49</v>
      </c>
      <c r="AB13" s="31"/>
      <c r="AC13" s="37" t="s">
        <v>175</v>
      </c>
      <c r="AD13" s="37" t="s">
        <v>79</v>
      </c>
      <c r="AE13" s="37" t="s">
        <v>176</v>
      </c>
      <c r="AF13" s="38"/>
      <c r="AG13" s="38" t="s">
        <v>53</v>
      </c>
      <c r="AH13" s="223">
        <v>1</v>
      </c>
      <c r="AI13" s="259" t="s">
        <v>177</v>
      </c>
      <c r="AJ13" s="259" t="s">
        <v>106</v>
      </c>
      <c r="AK13" s="258" t="s">
        <v>178</v>
      </c>
    </row>
    <row r="14" spans="1:37" ht="16.5">
      <c r="B14" s="141">
        <f t="shared" si="0"/>
        <v>12</v>
      </c>
      <c r="C14" s="1" t="s">
        <v>135</v>
      </c>
      <c r="D14" s="1" t="s">
        <v>179</v>
      </c>
      <c r="E14" s="946" t="s">
        <v>180</v>
      </c>
      <c r="F14" s="1" t="s">
        <v>36</v>
      </c>
      <c r="G14" s="1" t="s">
        <v>181</v>
      </c>
      <c r="H14" s="820" t="s">
        <v>182</v>
      </c>
      <c r="I14" s="2" t="s">
        <v>46</v>
      </c>
      <c r="J14" s="2" t="s">
        <v>183</v>
      </c>
      <c r="K14" s="2" t="s">
        <v>41</v>
      </c>
      <c r="L14" s="2" t="s">
        <v>42</v>
      </c>
      <c r="M14" s="2">
        <v>1</v>
      </c>
      <c r="N14" s="3" t="s">
        <v>184</v>
      </c>
      <c r="O14" s="151" t="s">
        <v>185</v>
      </c>
      <c r="P14" s="151" t="s">
        <v>186</v>
      </c>
      <c r="Q14" s="817"/>
      <c r="R14" s="490"/>
      <c r="S14" s="238"/>
      <c r="T14" s="31"/>
      <c r="U14" s="31"/>
      <c r="V14" s="238" t="s">
        <v>64</v>
      </c>
      <c r="W14" s="31" t="s">
        <v>135</v>
      </c>
      <c r="X14" s="31" t="s">
        <v>47</v>
      </c>
      <c r="Y14" s="31" t="s">
        <v>101</v>
      </c>
      <c r="Z14" s="31" t="s">
        <v>143</v>
      </c>
      <c r="AA14" s="31" t="s">
        <v>143</v>
      </c>
      <c r="AB14" s="31" t="s">
        <v>187</v>
      </c>
      <c r="AC14" s="38"/>
      <c r="AD14" s="38" t="s">
        <v>145</v>
      </c>
      <c r="AE14" s="38" t="s">
        <v>188</v>
      </c>
      <c r="AF14" s="48"/>
      <c r="AG14" s="38" t="s">
        <v>53</v>
      </c>
      <c r="AH14" s="219">
        <v>1</v>
      </c>
      <c r="AI14" s="259" t="s">
        <v>177</v>
      </c>
      <c r="AJ14" s="259" t="s">
        <v>106</v>
      </c>
      <c r="AK14" s="258" t="s">
        <v>147</v>
      </c>
    </row>
    <row r="15" spans="1:37" ht="48">
      <c r="A15" s="944" t="s">
        <v>189</v>
      </c>
      <c r="B15" s="141">
        <f t="shared" si="0"/>
        <v>13</v>
      </c>
      <c r="C15" s="1" t="s">
        <v>33</v>
      </c>
      <c r="D15" s="1" t="s">
        <v>190</v>
      </c>
      <c r="E15" s="946" t="s">
        <v>191</v>
      </c>
      <c r="F15" s="1" t="s">
        <v>36</v>
      </c>
      <c r="G15" s="1" t="s">
        <v>192</v>
      </c>
      <c r="H15" s="820" t="s">
        <v>193</v>
      </c>
      <c r="I15" s="2" t="s">
        <v>64</v>
      </c>
      <c r="J15" s="2" t="s">
        <v>183</v>
      </c>
      <c r="K15" s="2" t="s">
        <v>194</v>
      </c>
      <c r="L15" s="2" t="s">
        <v>195</v>
      </c>
      <c r="M15" s="2">
        <v>1</v>
      </c>
      <c r="N15" s="3" t="s">
        <v>196</v>
      </c>
      <c r="O15" s="151" t="s">
        <v>197</v>
      </c>
      <c r="P15" s="151" t="s">
        <v>198</v>
      </c>
      <c r="Q15" s="817" t="s">
        <v>199</v>
      </c>
      <c r="R15" s="490"/>
      <c r="S15" s="238"/>
      <c r="T15" s="31"/>
      <c r="U15" s="31"/>
      <c r="V15" s="238"/>
      <c r="W15" s="31"/>
      <c r="X15" s="31"/>
      <c r="Y15" s="31" t="s">
        <v>101</v>
      </c>
      <c r="Z15" s="31" t="s">
        <v>143</v>
      </c>
      <c r="AA15" s="31" t="s">
        <v>143</v>
      </c>
      <c r="AB15" s="31" t="s">
        <v>200</v>
      </c>
      <c r="AC15" s="38"/>
      <c r="AD15" s="38"/>
      <c r="AE15" s="38"/>
      <c r="AF15" s="48"/>
      <c r="AG15" s="38"/>
      <c r="AH15" s="219"/>
      <c r="AI15" s="259"/>
      <c r="AJ15" s="259"/>
      <c r="AK15" s="258"/>
    </row>
    <row r="16" spans="1:37" ht="24">
      <c r="B16" s="142">
        <f t="shared" si="0"/>
        <v>14</v>
      </c>
      <c r="C16" s="65" t="s">
        <v>33</v>
      </c>
      <c r="D16" s="65" t="s">
        <v>201</v>
      </c>
      <c r="E16" s="65" t="s">
        <v>202</v>
      </c>
      <c r="F16" s="65" t="s">
        <v>36</v>
      </c>
      <c r="G16" s="65" t="s">
        <v>203</v>
      </c>
      <c r="H16" s="821" t="s">
        <v>204</v>
      </c>
      <c r="I16" s="2" t="s">
        <v>205</v>
      </c>
      <c r="J16" s="2" t="s">
        <v>40</v>
      </c>
      <c r="K16" s="2" t="s">
        <v>41</v>
      </c>
      <c r="L16" s="2" t="s">
        <v>42</v>
      </c>
      <c r="M16" s="2">
        <v>1</v>
      </c>
      <c r="N16" s="3" t="s">
        <v>206</v>
      </c>
      <c r="O16" s="151" t="s">
        <v>207</v>
      </c>
      <c r="P16" s="151" t="s">
        <v>208</v>
      </c>
      <c r="Q16" s="817" t="s">
        <v>209</v>
      </c>
      <c r="S16" s="238"/>
      <c r="T16" s="31"/>
      <c r="U16" s="31"/>
      <c r="V16" s="238" t="s">
        <v>210</v>
      </c>
      <c r="W16" s="31" t="s">
        <v>33</v>
      </c>
      <c r="X16" s="31" t="s">
        <v>47</v>
      </c>
      <c r="Y16" s="31" t="s">
        <v>48</v>
      </c>
      <c r="Z16" s="31"/>
      <c r="AA16" s="31" t="s">
        <v>49</v>
      </c>
      <c r="AB16" s="31"/>
      <c r="AC16" s="37"/>
      <c r="AD16" s="37" t="s">
        <v>50</v>
      </c>
      <c r="AE16" s="37" t="s">
        <v>211</v>
      </c>
      <c r="AF16" s="37"/>
      <c r="AG16" s="38" t="s">
        <v>53</v>
      </c>
      <c r="AH16" s="223">
        <v>1</v>
      </c>
      <c r="AI16" s="259" t="s">
        <v>54</v>
      </c>
      <c r="AJ16" s="259" t="s">
        <v>81</v>
      </c>
      <c r="AK16" s="258" t="s">
        <v>212</v>
      </c>
    </row>
    <row r="17" spans="1:37" ht="16.5">
      <c r="B17" s="142">
        <f t="shared" si="0"/>
        <v>15</v>
      </c>
      <c r="C17" s="65" t="s">
        <v>135</v>
      </c>
      <c r="D17" s="65" t="s">
        <v>213</v>
      </c>
      <c r="E17" s="65" t="s">
        <v>214</v>
      </c>
      <c r="F17" s="65" t="s">
        <v>36</v>
      </c>
      <c r="G17" s="65" t="s">
        <v>215</v>
      </c>
      <c r="H17" s="821" t="s">
        <v>216</v>
      </c>
      <c r="I17" s="2" t="s">
        <v>205</v>
      </c>
      <c r="J17" s="2" t="s">
        <v>183</v>
      </c>
      <c r="K17" s="2" t="s">
        <v>41</v>
      </c>
      <c r="L17" s="2" t="s">
        <v>42</v>
      </c>
      <c r="M17" s="2">
        <v>2</v>
      </c>
      <c r="N17" s="3" t="s">
        <v>217</v>
      </c>
      <c r="O17" s="151" t="s">
        <v>218</v>
      </c>
      <c r="P17" s="151" t="s">
        <v>219</v>
      </c>
      <c r="Q17" s="817" t="s">
        <v>220</v>
      </c>
      <c r="R17" s="490"/>
      <c r="S17" s="240"/>
      <c r="T17" s="31"/>
      <c r="U17" s="31"/>
      <c r="V17" s="240" t="s">
        <v>210</v>
      </c>
      <c r="W17" s="31" t="s">
        <v>135</v>
      </c>
      <c r="X17" s="31" t="s">
        <v>47</v>
      </c>
      <c r="Y17" s="31" t="s">
        <v>101</v>
      </c>
      <c r="Z17" s="31" t="s">
        <v>143</v>
      </c>
      <c r="AA17" s="31" t="s">
        <v>143</v>
      </c>
      <c r="AB17" s="31" t="s">
        <v>221</v>
      </c>
      <c r="AC17" s="38"/>
      <c r="AD17" s="38" t="s">
        <v>145</v>
      </c>
      <c r="AE17" s="38" t="s">
        <v>222</v>
      </c>
      <c r="AF17" s="38"/>
      <c r="AG17" s="38" t="s">
        <v>53</v>
      </c>
      <c r="AH17" s="219">
        <v>1</v>
      </c>
      <c r="AI17" s="259" t="s">
        <v>69</v>
      </c>
      <c r="AJ17" s="259" t="s">
        <v>106</v>
      </c>
      <c r="AK17" s="258" t="s">
        <v>147</v>
      </c>
    </row>
    <row r="18" spans="1:37" ht="16.5">
      <c r="B18" s="142">
        <f t="shared" si="0"/>
        <v>16</v>
      </c>
      <c r="C18" s="65" t="s">
        <v>135</v>
      </c>
      <c r="D18" s="65" t="s">
        <v>223</v>
      </c>
      <c r="E18" s="65" t="s">
        <v>224</v>
      </c>
      <c r="F18" s="65" t="s">
        <v>36</v>
      </c>
      <c r="G18" s="65" t="s">
        <v>225</v>
      </c>
      <c r="H18" s="821" t="s">
        <v>226</v>
      </c>
      <c r="I18" s="2" t="s">
        <v>205</v>
      </c>
      <c r="J18" s="2" t="s">
        <v>183</v>
      </c>
      <c r="K18" s="2" t="s">
        <v>41</v>
      </c>
      <c r="L18" s="2" t="s">
        <v>42</v>
      </c>
      <c r="M18" s="2">
        <v>2</v>
      </c>
      <c r="N18" s="3" t="s">
        <v>227</v>
      </c>
      <c r="O18" s="151" t="s">
        <v>228</v>
      </c>
      <c r="P18" s="151" t="s">
        <v>229</v>
      </c>
      <c r="Q18" s="817" t="s">
        <v>230</v>
      </c>
      <c r="R18" s="490"/>
      <c r="S18" s="238"/>
      <c r="T18" s="31"/>
      <c r="U18" s="31"/>
      <c r="V18" s="238" t="s">
        <v>210</v>
      </c>
      <c r="W18" s="31" t="s">
        <v>135</v>
      </c>
      <c r="X18" s="31" t="s">
        <v>47</v>
      </c>
      <c r="Y18" s="31" t="s">
        <v>101</v>
      </c>
      <c r="Z18" s="31" t="s">
        <v>143</v>
      </c>
      <c r="AA18" s="31" t="s">
        <v>143</v>
      </c>
      <c r="AB18" s="31" t="s">
        <v>231</v>
      </c>
      <c r="AC18" s="47" t="s">
        <v>232</v>
      </c>
      <c r="AD18" s="47" t="s">
        <v>145</v>
      </c>
      <c r="AE18" s="47" t="s">
        <v>233</v>
      </c>
      <c r="AF18" s="47"/>
      <c r="AG18" s="38" t="s">
        <v>53</v>
      </c>
      <c r="AH18" s="222">
        <v>1</v>
      </c>
      <c r="AI18" s="259" t="s">
        <v>69</v>
      </c>
      <c r="AJ18" s="259" t="s">
        <v>106</v>
      </c>
      <c r="AK18" s="258" t="s">
        <v>147</v>
      </c>
    </row>
    <row r="19" spans="1:37" ht="16.5">
      <c r="A19" s="944" t="s">
        <v>189</v>
      </c>
      <c r="B19" s="142">
        <f t="shared" si="0"/>
        <v>17</v>
      </c>
      <c r="C19" s="65" t="s">
        <v>33</v>
      </c>
      <c r="D19" s="65" t="s">
        <v>234</v>
      </c>
      <c r="E19" s="65" t="s">
        <v>235</v>
      </c>
      <c r="F19" s="65" t="s">
        <v>36</v>
      </c>
      <c r="G19" s="65" t="s">
        <v>236</v>
      </c>
      <c r="H19" s="821" t="s">
        <v>237</v>
      </c>
      <c r="I19" s="2" t="s">
        <v>205</v>
      </c>
      <c r="J19" s="2" t="s">
        <v>183</v>
      </c>
      <c r="K19" s="2" t="s">
        <v>41</v>
      </c>
      <c r="L19" s="2" t="s">
        <v>42</v>
      </c>
      <c r="M19" s="2">
        <v>2</v>
      </c>
      <c r="N19" s="3" t="s">
        <v>238</v>
      </c>
      <c r="O19" s="151" t="s">
        <v>239</v>
      </c>
      <c r="P19" s="151" t="s">
        <v>240</v>
      </c>
      <c r="Q19" s="817"/>
      <c r="R19" s="490"/>
      <c r="S19" s="238"/>
      <c r="T19" s="31"/>
      <c r="U19" s="31"/>
      <c r="V19" s="238" t="s">
        <v>210</v>
      </c>
      <c r="W19" s="31" t="s">
        <v>33</v>
      </c>
      <c r="X19" s="31" t="s">
        <v>47</v>
      </c>
      <c r="Y19" s="31" t="s">
        <v>101</v>
      </c>
      <c r="Z19" s="31"/>
      <c r="AA19" s="31" t="s">
        <v>49</v>
      </c>
      <c r="AB19" s="31"/>
      <c r="AC19" s="38"/>
      <c r="AD19" s="38" t="s">
        <v>50</v>
      </c>
      <c r="AE19" s="38" t="s">
        <v>241</v>
      </c>
      <c r="AF19" s="38"/>
      <c r="AG19" s="38" t="s">
        <v>53</v>
      </c>
      <c r="AH19" s="219">
        <v>1</v>
      </c>
      <c r="AI19" s="259" t="s">
        <v>69</v>
      </c>
      <c r="AJ19" s="259" t="s">
        <v>106</v>
      </c>
      <c r="AK19" s="258" t="s">
        <v>242</v>
      </c>
    </row>
    <row r="20" spans="1:37" ht="16.5">
      <c r="B20" s="142">
        <f t="shared" si="0"/>
        <v>18</v>
      </c>
      <c r="C20" s="65" t="s">
        <v>135</v>
      </c>
      <c r="D20" s="65" t="s">
        <v>243</v>
      </c>
      <c r="E20" s="65" t="s">
        <v>244</v>
      </c>
      <c r="F20" s="65" t="s">
        <v>36</v>
      </c>
      <c r="G20" s="65" t="s">
        <v>245</v>
      </c>
      <c r="H20" s="821" t="s">
        <v>246</v>
      </c>
      <c r="I20" s="2" t="s">
        <v>205</v>
      </c>
      <c r="J20" s="2" t="s">
        <v>183</v>
      </c>
      <c r="K20" s="2" t="s">
        <v>41</v>
      </c>
      <c r="L20" s="2" t="s">
        <v>42</v>
      </c>
      <c r="M20" s="2">
        <v>3</v>
      </c>
      <c r="N20" s="3" t="s">
        <v>247</v>
      </c>
      <c r="O20" s="151" t="s">
        <v>248</v>
      </c>
      <c r="P20" s="151" t="s">
        <v>249</v>
      </c>
      <c r="Q20" s="817"/>
      <c r="R20" s="490"/>
      <c r="S20" s="238"/>
      <c r="T20" s="31"/>
      <c r="U20" s="31"/>
      <c r="V20" s="238" t="s">
        <v>210</v>
      </c>
      <c r="W20" s="31" t="s">
        <v>135</v>
      </c>
      <c r="X20" s="31" t="s">
        <v>47</v>
      </c>
      <c r="Y20" s="31" t="s">
        <v>101</v>
      </c>
      <c r="Z20" s="31" t="s">
        <v>143</v>
      </c>
      <c r="AA20" s="31" t="s">
        <v>143</v>
      </c>
      <c r="AB20" s="31" t="s">
        <v>231</v>
      </c>
      <c r="AC20" s="38"/>
      <c r="AD20" s="38" t="s">
        <v>145</v>
      </c>
      <c r="AE20" s="38" t="s">
        <v>250</v>
      </c>
      <c r="AF20" s="38"/>
      <c r="AG20" s="38" t="s">
        <v>53</v>
      </c>
      <c r="AH20" s="219">
        <v>1</v>
      </c>
      <c r="AI20" s="259" t="s">
        <v>69</v>
      </c>
      <c r="AJ20" s="259" t="s">
        <v>106</v>
      </c>
      <c r="AK20" s="258" t="s">
        <v>147</v>
      </c>
    </row>
    <row r="21" spans="1:37" ht="16.5">
      <c r="B21" s="142">
        <f t="shared" si="0"/>
        <v>19</v>
      </c>
      <c r="C21" s="65" t="s">
        <v>135</v>
      </c>
      <c r="D21" s="65" t="s">
        <v>251</v>
      </c>
      <c r="E21" s="65" t="s">
        <v>252</v>
      </c>
      <c r="F21" s="65" t="s">
        <v>36</v>
      </c>
      <c r="G21" s="65" t="s">
        <v>253</v>
      </c>
      <c r="H21" s="821" t="s">
        <v>254</v>
      </c>
      <c r="I21" s="2" t="s">
        <v>205</v>
      </c>
      <c r="J21" s="2" t="s">
        <v>183</v>
      </c>
      <c r="K21" s="2" t="s">
        <v>194</v>
      </c>
      <c r="L21" s="2" t="s">
        <v>42</v>
      </c>
      <c r="M21" s="2">
        <v>3</v>
      </c>
      <c r="N21" s="3" t="s">
        <v>255</v>
      </c>
      <c r="O21" s="151" t="s">
        <v>256</v>
      </c>
      <c r="P21" s="151" t="s">
        <v>257</v>
      </c>
      <c r="Q21" s="817"/>
      <c r="R21" s="490"/>
      <c r="S21" s="238"/>
      <c r="T21" s="31"/>
      <c r="U21" s="31"/>
      <c r="V21" s="238" t="s">
        <v>210</v>
      </c>
      <c r="W21" s="31" t="s">
        <v>135</v>
      </c>
      <c r="X21" s="31" t="s">
        <v>258</v>
      </c>
      <c r="Y21" s="31" t="s">
        <v>101</v>
      </c>
      <c r="Z21" s="31" t="s">
        <v>143</v>
      </c>
      <c r="AA21" s="31" t="s">
        <v>143</v>
      </c>
      <c r="AB21" s="31" t="s">
        <v>259</v>
      </c>
      <c r="AC21" s="38" t="s">
        <v>260</v>
      </c>
      <c r="AD21" s="38" t="s">
        <v>145</v>
      </c>
      <c r="AE21" s="38" t="s">
        <v>261</v>
      </c>
      <c r="AF21" s="38" t="s">
        <v>262</v>
      </c>
      <c r="AG21" s="38" t="s">
        <v>68</v>
      </c>
      <c r="AH21" s="219">
        <v>3</v>
      </c>
      <c r="AI21" s="259" t="s">
        <v>263</v>
      </c>
      <c r="AJ21" s="259" t="s">
        <v>106</v>
      </c>
      <c r="AK21" s="258" t="s">
        <v>147</v>
      </c>
    </row>
    <row r="22" spans="1:37" ht="16.5">
      <c r="B22" s="143">
        <f t="shared" si="0"/>
        <v>20</v>
      </c>
      <c r="C22" s="66" t="s">
        <v>33</v>
      </c>
      <c r="D22" s="66" t="s">
        <v>264</v>
      </c>
      <c r="E22" s="66" t="s">
        <v>265</v>
      </c>
      <c r="F22" s="66" t="s">
        <v>36</v>
      </c>
      <c r="G22" s="66" t="s">
        <v>266</v>
      </c>
      <c r="H22" s="822" t="s">
        <v>267</v>
      </c>
      <c r="I22" s="2" t="s">
        <v>268</v>
      </c>
      <c r="J22" s="2" t="s">
        <v>40</v>
      </c>
      <c r="K22" s="2" t="s">
        <v>41</v>
      </c>
      <c r="L22" s="2" t="s">
        <v>42</v>
      </c>
      <c r="M22" s="2">
        <v>1</v>
      </c>
      <c r="N22" s="3" t="s">
        <v>269</v>
      </c>
      <c r="O22" s="151" t="s">
        <v>270</v>
      </c>
      <c r="P22" s="151" t="s">
        <v>271</v>
      </c>
      <c r="Q22" s="817"/>
      <c r="S22" s="238"/>
      <c r="T22" s="31"/>
      <c r="U22" s="31"/>
      <c r="V22" s="238" t="s">
        <v>272</v>
      </c>
      <c r="W22" s="31" t="s">
        <v>33</v>
      </c>
      <c r="X22" s="31" t="s">
        <v>47</v>
      </c>
      <c r="Y22" s="31" t="s">
        <v>48</v>
      </c>
      <c r="Z22" s="31"/>
      <c r="AA22" s="31" t="s">
        <v>49</v>
      </c>
      <c r="AB22" s="31"/>
      <c r="AC22" s="36"/>
      <c r="AD22" s="36" t="s">
        <v>79</v>
      </c>
      <c r="AE22" s="36" t="s">
        <v>273</v>
      </c>
      <c r="AF22" s="36" t="s">
        <v>274</v>
      </c>
      <c r="AG22" s="36" t="s">
        <v>68</v>
      </c>
      <c r="AH22" s="220">
        <v>3</v>
      </c>
      <c r="AI22" s="259" t="s">
        <v>177</v>
      </c>
      <c r="AJ22" s="259" t="s">
        <v>106</v>
      </c>
      <c r="AK22" s="258" t="s">
        <v>275</v>
      </c>
    </row>
    <row r="23" spans="1:37" ht="16.5">
      <c r="B23" s="143">
        <f t="shared" si="0"/>
        <v>21</v>
      </c>
      <c r="C23" s="66" t="s">
        <v>33</v>
      </c>
      <c r="D23" s="66" t="s">
        <v>276</v>
      </c>
      <c r="E23" s="66" t="s">
        <v>277</v>
      </c>
      <c r="F23" s="66" t="s">
        <v>36</v>
      </c>
      <c r="G23" s="66" t="s">
        <v>278</v>
      </c>
      <c r="H23" s="823" t="s">
        <v>279</v>
      </c>
      <c r="I23" s="2" t="s">
        <v>268</v>
      </c>
      <c r="J23" s="2" t="s">
        <v>40</v>
      </c>
      <c r="K23" s="2" t="s">
        <v>41</v>
      </c>
      <c r="L23" s="2" t="s">
        <v>42</v>
      </c>
      <c r="M23" s="2">
        <v>1</v>
      </c>
      <c r="N23" s="3" t="s">
        <v>280</v>
      </c>
      <c r="O23" s="151" t="s">
        <v>281</v>
      </c>
      <c r="P23" s="151" t="s">
        <v>282</v>
      </c>
      <c r="Q23" s="817"/>
      <c r="S23" s="238"/>
      <c r="T23" s="31"/>
      <c r="U23" s="31"/>
      <c r="V23" s="238" t="s">
        <v>272</v>
      </c>
      <c r="W23" s="31" t="s">
        <v>33</v>
      </c>
      <c r="X23" s="31" t="s">
        <v>47</v>
      </c>
      <c r="Y23" s="31" t="s">
        <v>48</v>
      </c>
      <c r="Z23" s="31"/>
      <c r="AA23" s="31" t="s">
        <v>49</v>
      </c>
      <c r="AB23" s="31"/>
      <c r="AC23" s="37" t="s">
        <v>283</v>
      </c>
      <c r="AD23" s="37" t="s">
        <v>79</v>
      </c>
      <c r="AE23" s="37" t="s">
        <v>284</v>
      </c>
      <c r="AF23" s="37"/>
      <c r="AG23" s="38" t="s">
        <v>53</v>
      </c>
      <c r="AH23" s="223">
        <v>1</v>
      </c>
      <c r="AI23" s="259" t="s">
        <v>54</v>
      </c>
      <c r="AJ23" s="259" t="s">
        <v>55</v>
      </c>
      <c r="AK23" s="258" t="s">
        <v>285</v>
      </c>
    </row>
    <row r="24" spans="1:37" ht="16.5">
      <c r="A24" s="944" t="s">
        <v>189</v>
      </c>
      <c r="B24" s="143">
        <f t="shared" si="0"/>
        <v>22</v>
      </c>
      <c r="C24" s="66" t="s">
        <v>33</v>
      </c>
      <c r="D24" s="66" t="s">
        <v>286</v>
      </c>
      <c r="E24" s="66" t="s">
        <v>287</v>
      </c>
      <c r="F24" s="66" t="s">
        <v>36</v>
      </c>
      <c r="G24" s="66" t="s">
        <v>288</v>
      </c>
      <c r="H24" s="823" t="s">
        <v>289</v>
      </c>
      <c r="I24" s="2" t="s">
        <v>268</v>
      </c>
      <c r="J24" s="2" t="s">
        <v>183</v>
      </c>
      <c r="K24" s="2" t="s">
        <v>41</v>
      </c>
      <c r="L24" s="2" t="s">
        <v>42</v>
      </c>
      <c r="M24" s="2">
        <v>1</v>
      </c>
      <c r="N24" s="3" t="s">
        <v>290</v>
      </c>
      <c r="O24" s="151" t="s">
        <v>291</v>
      </c>
      <c r="P24" s="151" t="s">
        <v>292</v>
      </c>
      <c r="Q24" s="817"/>
      <c r="S24" s="238"/>
      <c r="T24" s="31"/>
      <c r="U24" s="31"/>
      <c r="V24" s="238" t="s">
        <v>272</v>
      </c>
      <c r="W24" s="31" t="s">
        <v>33</v>
      </c>
      <c r="X24" s="31" t="s">
        <v>47</v>
      </c>
      <c r="Y24" s="31" t="s">
        <v>48</v>
      </c>
      <c r="Z24" s="31"/>
      <c r="AA24" s="31" t="s">
        <v>49</v>
      </c>
      <c r="AB24" s="31"/>
      <c r="AC24" s="37" t="s">
        <v>293</v>
      </c>
      <c r="AD24" s="37" t="s">
        <v>79</v>
      </c>
      <c r="AE24" s="37" t="s">
        <v>294</v>
      </c>
      <c r="AF24" s="37"/>
      <c r="AG24" s="37" t="s">
        <v>68</v>
      </c>
      <c r="AH24" s="223">
        <v>3</v>
      </c>
      <c r="AI24" s="259" t="s">
        <v>69</v>
      </c>
      <c r="AJ24" s="259" t="s">
        <v>106</v>
      </c>
      <c r="AK24" s="258" t="s">
        <v>295</v>
      </c>
    </row>
    <row r="25" spans="1:37" ht="16.5">
      <c r="A25" s="944" t="s">
        <v>189</v>
      </c>
      <c r="B25" s="143">
        <f t="shared" si="0"/>
        <v>23</v>
      </c>
      <c r="C25" s="66" t="s">
        <v>33</v>
      </c>
      <c r="D25" s="66" t="s">
        <v>296</v>
      </c>
      <c r="E25" s="66" t="s">
        <v>297</v>
      </c>
      <c r="F25" s="66" t="s">
        <v>36</v>
      </c>
      <c r="G25" s="66" t="s">
        <v>298</v>
      </c>
      <c r="H25" s="823" t="s">
        <v>299</v>
      </c>
      <c r="I25" s="2" t="s">
        <v>268</v>
      </c>
      <c r="J25" s="2" t="s">
        <v>183</v>
      </c>
      <c r="K25" s="2" t="s">
        <v>41</v>
      </c>
      <c r="L25" s="2" t="s">
        <v>42</v>
      </c>
      <c r="M25" s="2">
        <v>1</v>
      </c>
      <c r="N25" s="3" t="s">
        <v>300</v>
      </c>
      <c r="O25" s="151" t="s">
        <v>301</v>
      </c>
      <c r="P25" s="151" t="s">
        <v>302</v>
      </c>
      <c r="Q25" s="817"/>
      <c r="S25" s="238"/>
      <c r="T25" s="31"/>
      <c r="U25" s="31"/>
      <c r="V25" s="238" t="s">
        <v>272</v>
      </c>
      <c r="W25" s="31" t="s">
        <v>33</v>
      </c>
      <c r="X25" s="31" t="s">
        <v>47</v>
      </c>
      <c r="Y25" s="31" t="s">
        <v>48</v>
      </c>
      <c r="Z25" s="31"/>
      <c r="AA25" s="31" t="s">
        <v>49</v>
      </c>
      <c r="AB25" s="31"/>
      <c r="AC25" s="37" t="s">
        <v>303</v>
      </c>
      <c r="AD25" s="37" t="s">
        <v>79</v>
      </c>
      <c r="AE25" s="37" t="s">
        <v>304</v>
      </c>
      <c r="AF25" s="37"/>
      <c r="AG25" s="38" t="s">
        <v>53</v>
      </c>
      <c r="AH25" s="223">
        <v>1</v>
      </c>
      <c r="AI25" s="259" t="s">
        <v>69</v>
      </c>
      <c r="AJ25" s="259" t="s">
        <v>106</v>
      </c>
      <c r="AK25" s="258" t="s">
        <v>305</v>
      </c>
    </row>
    <row r="26" spans="1:37" ht="24">
      <c r="B26" s="143">
        <f t="shared" si="0"/>
        <v>24</v>
      </c>
      <c r="C26" s="66" t="s">
        <v>33</v>
      </c>
      <c r="D26" s="66" t="s">
        <v>306</v>
      </c>
      <c r="E26" s="66" t="s">
        <v>307</v>
      </c>
      <c r="F26" s="66" t="s">
        <v>36</v>
      </c>
      <c r="G26" s="66" t="s">
        <v>308</v>
      </c>
      <c r="H26" s="823" t="s">
        <v>309</v>
      </c>
      <c r="I26" s="2" t="s">
        <v>268</v>
      </c>
      <c r="J26" s="2" t="s">
        <v>40</v>
      </c>
      <c r="K26" s="2" t="s">
        <v>41</v>
      </c>
      <c r="L26" s="2" t="s">
        <v>42</v>
      </c>
      <c r="M26" s="2">
        <v>2</v>
      </c>
      <c r="N26" s="3" t="s">
        <v>310</v>
      </c>
      <c r="O26" s="151" t="s">
        <v>311</v>
      </c>
      <c r="P26" s="151" t="s">
        <v>312</v>
      </c>
      <c r="Q26" s="817"/>
      <c r="S26" s="238"/>
      <c r="T26" s="31"/>
      <c r="U26" s="31"/>
      <c r="V26" s="238" t="s">
        <v>272</v>
      </c>
      <c r="W26" s="31" t="s">
        <v>33</v>
      </c>
      <c r="X26" s="31" t="s">
        <v>47</v>
      </c>
      <c r="Y26" s="31" t="s">
        <v>48</v>
      </c>
      <c r="Z26" s="31"/>
      <c r="AA26" s="31" t="s">
        <v>49</v>
      </c>
      <c r="AB26" s="31"/>
      <c r="AC26" s="37" t="s">
        <v>313</v>
      </c>
      <c r="AD26" s="37" t="s">
        <v>79</v>
      </c>
      <c r="AE26" s="37" t="s">
        <v>314</v>
      </c>
      <c r="AF26" s="37"/>
      <c r="AG26" s="38" t="s">
        <v>53</v>
      </c>
      <c r="AH26" s="223">
        <v>1</v>
      </c>
      <c r="AI26" s="259" t="s">
        <v>69</v>
      </c>
      <c r="AJ26" s="259" t="s">
        <v>106</v>
      </c>
      <c r="AK26" s="258" t="s">
        <v>315</v>
      </c>
    </row>
    <row r="27" spans="1:37" ht="16.5">
      <c r="B27" s="143">
        <f t="shared" si="0"/>
        <v>25</v>
      </c>
      <c r="C27" s="66" t="s">
        <v>33</v>
      </c>
      <c r="D27" s="66" t="s">
        <v>316</v>
      </c>
      <c r="E27" s="66" t="s">
        <v>317</v>
      </c>
      <c r="F27" s="66" t="s">
        <v>36</v>
      </c>
      <c r="G27" s="66" t="s">
        <v>318</v>
      </c>
      <c r="H27" s="823" t="s">
        <v>319</v>
      </c>
      <c r="I27" s="2" t="s">
        <v>268</v>
      </c>
      <c r="J27" s="2" t="s">
        <v>40</v>
      </c>
      <c r="K27" s="2" t="s">
        <v>41</v>
      </c>
      <c r="L27" s="2" t="s">
        <v>42</v>
      </c>
      <c r="M27" s="2">
        <v>2</v>
      </c>
      <c r="N27" s="3" t="s">
        <v>320</v>
      </c>
      <c r="O27" s="151" t="s">
        <v>321</v>
      </c>
      <c r="P27" s="151" t="s">
        <v>322</v>
      </c>
      <c r="Q27" s="817"/>
      <c r="S27" s="238"/>
      <c r="T27" s="31"/>
      <c r="U27" s="31"/>
      <c r="V27" s="238" t="s">
        <v>272</v>
      </c>
      <c r="W27" s="31" t="s">
        <v>33</v>
      </c>
      <c r="X27" s="31" t="s">
        <v>47</v>
      </c>
      <c r="Y27" s="31" t="s">
        <v>48</v>
      </c>
      <c r="Z27" s="31"/>
      <c r="AA27" s="31" t="s">
        <v>49</v>
      </c>
      <c r="AB27" s="31"/>
      <c r="AC27" s="36"/>
      <c r="AD27" s="37" t="s">
        <v>79</v>
      </c>
      <c r="AE27" s="36" t="s">
        <v>323</v>
      </c>
      <c r="AF27" s="36"/>
      <c r="AG27" s="38" t="s">
        <v>53</v>
      </c>
      <c r="AH27" s="220">
        <v>1</v>
      </c>
      <c r="AI27" s="259" t="s">
        <v>54</v>
      </c>
      <c r="AJ27" s="259" t="s">
        <v>106</v>
      </c>
      <c r="AK27" s="258" t="s">
        <v>324</v>
      </c>
    </row>
    <row r="28" spans="1:37" ht="16.5">
      <c r="B28" s="143">
        <f t="shared" si="0"/>
        <v>26</v>
      </c>
      <c r="C28" s="66" t="s">
        <v>33</v>
      </c>
      <c r="D28" s="66" t="s">
        <v>325</v>
      </c>
      <c r="E28" s="66" t="s">
        <v>326</v>
      </c>
      <c r="F28" s="66" t="s">
        <v>36</v>
      </c>
      <c r="G28" s="66" t="s">
        <v>327</v>
      </c>
      <c r="H28" s="823" t="s">
        <v>328</v>
      </c>
      <c r="I28" s="2" t="s">
        <v>268</v>
      </c>
      <c r="J28" s="2" t="s">
        <v>183</v>
      </c>
      <c r="K28" s="2" t="s">
        <v>41</v>
      </c>
      <c r="L28" s="2" t="s">
        <v>42</v>
      </c>
      <c r="M28" s="2">
        <v>1</v>
      </c>
      <c r="N28" s="3" t="s">
        <v>329</v>
      </c>
      <c r="O28" s="151" t="s">
        <v>330</v>
      </c>
      <c r="P28" s="151" t="s">
        <v>331</v>
      </c>
      <c r="Q28" s="817"/>
      <c r="S28" s="238"/>
      <c r="T28" s="31"/>
      <c r="U28" s="31"/>
      <c r="V28" s="238" t="s">
        <v>272</v>
      </c>
      <c r="W28" s="31" t="s">
        <v>33</v>
      </c>
      <c r="X28" s="31" t="s">
        <v>47</v>
      </c>
      <c r="Y28" s="31" t="s">
        <v>48</v>
      </c>
      <c r="Z28" s="31"/>
      <c r="AA28" s="31" t="s">
        <v>49</v>
      </c>
      <c r="AB28" s="31"/>
      <c r="AC28" s="38" t="s">
        <v>332</v>
      </c>
      <c r="AD28" s="38" t="s">
        <v>79</v>
      </c>
      <c r="AE28" s="38" t="s">
        <v>333</v>
      </c>
      <c r="AF28" s="38"/>
      <c r="AG28" s="38" t="s">
        <v>53</v>
      </c>
      <c r="AH28" s="219">
        <v>1</v>
      </c>
      <c r="AI28" s="259" t="s">
        <v>334</v>
      </c>
      <c r="AJ28" s="260" t="s">
        <v>335</v>
      </c>
      <c r="AK28" s="258" t="s">
        <v>336</v>
      </c>
    </row>
    <row r="29" spans="1:37" ht="16.5">
      <c r="A29" s="944" t="s">
        <v>189</v>
      </c>
      <c r="B29" s="143">
        <f t="shared" si="0"/>
        <v>27</v>
      </c>
      <c r="C29" s="66" t="s">
        <v>33</v>
      </c>
      <c r="D29" s="66" t="s">
        <v>337</v>
      </c>
      <c r="E29" s="66" t="s">
        <v>338</v>
      </c>
      <c r="F29" s="66" t="s">
        <v>36</v>
      </c>
      <c r="G29" s="66" t="s">
        <v>339</v>
      </c>
      <c r="H29" s="823" t="s">
        <v>340</v>
      </c>
      <c r="I29" s="2" t="s">
        <v>268</v>
      </c>
      <c r="J29" s="2" t="s">
        <v>183</v>
      </c>
      <c r="K29" s="2" t="s">
        <v>41</v>
      </c>
      <c r="L29" s="2" t="s">
        <v>42</v>
      </c>
      <c r="M29" s="2">
        <v>1</v>
      </c>
      <c r="N29" s="3" t="s">
        <v>341</v>
      </c>
      <c r="O29" s="151" t="s">
        <v>342</v>
      </c>
      <c r="P29" s="151" t="s">
        <v>343</v>
      </c>
      <c r="Q29" s="817"/>
      <c r="S29" s="238"/>
      <c r="T29" s="31"/>
      <c r="U29" s="31"/>
      <c r="V29" s="238" t="s">
        <v>272</v>
      </c>
      <c r="W29" s="31" t="s">
        <v>33</v>
      </c>
      <c r="X29" s="31" t="s">
        <v>47</v>
      </c>
      <c r="Y29" s="31" t="s">
        <v>101</v>
      </c>
      <c r="Z29" s="31"/>
      <c r="AA29" s="31" t="s">
        <v>49</v>
      </c>
      <c r="AB29" s="31"/>
      <c r="AC29" s="38" t="s">
        <v>344</v>
      </c>
      <c r="AD29" s="38" t="s">
        <v>345</v>
      </c>
      <c r="AE29" s="38" t="s">
        <v>346</v>
      </c>
      <c r="AF29" s="38" t="s">
        <v>347</v>
      </c>
      <c r="AG29" s="38" t="s">
        <v>53</v>
      </c>
      <c r="AH29" s="219">
        <v>1</v>
      </c>
      <c r="AI29" s="259" t="s">
        <v>69</v>
      </c>
      <c r="AJ29" s="259" t="s">
        <v>348</v>
      </c>
      <c r="AK29" s="258" t="s">
        <v>349</v>
      </c>
    </row>
    <row r="30" spans="1:37" ht="16.5">
      <c r="B30" s="143">
        <f t="shared" si="0"/>
        <v>28</v>
      </c>
      <c r="C30" s="66" t="s">
        <v>33</v>
      </c>
      <c r="D30" s="66" t="s">
        <v>350</v>
      </c>
      <c r="E30" s="66" t="s">
        <v>351</v>
      </c>
      <c r="F30" s="66" t="s">
        <v>36</v>
      </c>
      <c r="G30" s="66" t="s">
        <v>352</v>
      </c>
      <c r="H30" s="823" t="s">
        <v>353</v>
      </c>
      <c r="I30" s="2" t="s">
        <v>268</v>
      </c>
      <c r="J30" s="2" t="s">
        <v>183</v>
      </c>
      <c r="K30" s="2" t="s">
        <v>41</v>
      </c>
      <c r="L30" s="2" t="s">
        <v>42</v>
      </c>
      <c r="M30" s="2">
        <v>1</v>
      </c>
      <c r="N30" s="3" t="s">
        <v>354</v>
      </c>
      <c r="O30" s="151" t="s">
        <v>355</v>
      </c>
      <c r="P30" s="151" t="s">
        <v>356</v>
      </c>
      <c r="Q30" s="817"/>
      <c r="S30" s="238"/>
      <c r="T30" s="31"/>
      <c r="U30" s="31"/>
      <c r="V30" s="238" t="s">
        <v>272</v>
      </c>
      <c r="W30" s="31" t="s">
        <v>33</v>
      </c>
      <c r="X30" s="31" t="s">
        <v>47</v>
      </c>
      <c r="Y30" s="31" t="s">
        <v>101</v>
      </c>
      <c r="Z30" s="31"/>
      <c r="AA30" s="31" t="s">
        <v>49</v>
      </c>
      <c r="AB30" s="31"/>
      <c r="AC30" s="37" t="s">
        <v>357</v>
      </c>
      <c r="AD30" s="37" t="s">
        <v>79</v>
      </c>
      <c r="AE30" s="37" t="s">
        <v>358</v>
      </c>
      <c r="AF30" s="37"/>
      <c r="AG30" s="38" t="s">
        <v>53</v>
      </c>
      <c r="AH30" s="223">
        <v>1</v>
      </c>
      <c r="AI30" s="259" t="s">
        <v>334</v>
      </c>
      <c r="AJ30" s="259" t="s">
        <v>106</v>
      </c>
      <c r="AK30" s="258" t="s">
        <v>359</v>
      </c>
    </row>
    <row r="31" spans="1:37" ht="16.5">
      <c r="B31" s="144">
        <f t="shared" si="0"/>
        <v>29</v>
      </c>
      <c r="C31" s="137" t="s">
        <v>360</v>
      </c>
      <c r="D31" s="137" t="s">
        <v>361</v>
      </c>
      <c r="E31" s="137" t="s">
        <v>361</v>
      </c>
      <c r="F31" s="137" t="s">
        <v>36</v>
      </c>
      <c r="G31" s="137" t="s">
        <v>362</v>
      </c>
      <c r="H31" s="824" t="s">
        <v>363</v>
      </c>
      <c r="I31" s="2" t="s">
        <v>364</v>
      </c>
      <c r="J31" s="2" t="s">
        <v>40</v>
      </c>
      <c r="K31" s="2" t="s">
        <v>41</v>
      </c>
      <c r="L31" s="2" t="s">
        <v>42</v>
      </c>
      <c r="M31" s="2">
        <v>2</v>
      </c>
      <c r="N31" s="3" t="s">
        <v>365</v>
      </c>
      <c r="O31" s="151" t="s">
        <v>366</v>
      </c>
      <c r="P31" s="151" t="s">
        <v>367</v>
      </c>
      <c r="Q31" s="817"/>
      <c r="S31" s="238"/>
      <c r="T31" s="31"/>
      <c r="U31" s="31"/>
      <c r="V31" s="238" t="s">
        <v>368</v>
      </c>
      <c r="W31" s="31" t="s">
        <v>360</v>
      </c>
      <c r="X31" s="31" t="s">
        <v>47</v>
      </c>
      <c r="Y31" s="31" t="s">
        <v>369</v>
      </c>
      <c r="Z31" s="31"/>
      <c r="AA31" s="31" t="s">
        <v>49</v>
      </c>
      <c r="AB31" s="31"/>
      <c r="AC31" s="38"/>
      <c r="AD31" s="38" t="s">
        <v>370</v>
      </c>
      <c r="AE31" s="38" t="s">
        <v>371</v>
      </c>
      <c r="AF31" s="38" t="s">
        <v>372</v>
      </c>
      <c r="AG31" s="38" t="s">
        <v>119</v>
      </c>
      <c r="AH31" s="219">
        <v>5</v>
      </c>
      <c r="AI31" s="259" t="s">
        <v>334</v>
      </c>
      <c r="AJ31" s="259" t="s">
        <v>373</v>
      </c>
      <c r="AK31" s="258" t="s">
        <v>374</v>
      </c>
    </row>
    <row r="32" spans="1:37" ht="16.5">
      <c r="B32" s="144">
        <f t="shared" si="0"/>
        <v>30</v>
      </c>
      <c r="C32" s="137" t="s">
        <v>360</v>
      </c>
      <c r="D32" s="137" t="s">
        <v>375</v>
      </c>
      <c r="E32" s="137" t="s">
        <v>375</v>
      </c>
      <c r="F32" s="137" t="s">
        <v>36</v>
      </c>
      <c r="G32" s="137" t="s">
        <v>362</v>
      </c>
      <c r="H32" s="824" t="s">
        <v>376</v>
      </c>
      <c r="I32" s="2" t="s">
        <v>364</v>
      </c>
      <c r="J32" s="2" t="s">
        <v>40</v>
      </c>
      <c r="K32" s="2" t="s">
        <v>41</v>
      </c>
      <c r="L32" s="2" t="s">
        <v>42</v>
      </c>
      <c r="M32" s="2">
        <v>1</v>
      </c>
      <c r="N32" s="3" t="s">
        <v>377</v>
      </c>
      <c r="O32" s="151" t="s">
        <v>378</v>
      </c>
      <c r="P32" s="151" t="s">
        <v>379</v>
      </c>
      <c r="Q32" s="817"/>
      <c r="S32" s="238"/>
      <c r="T32" s="31"/>
      <c r="U32" s="31"/>
      <c r="V32" s="238" t="s">
        <v>368</v>
      </c>
      <c r="W32" s="31" t="s">
        <v>360</v>
      </c>
      <c r="X32" s="31" t="s">
        <v>47</v>
      </c>
      <c r="Y32" s="31" t="s">
        <v>48</v>
      </c>
      <c r="Z32" s="31"/>
      <c r="AA32" s="31" t="s">
        <v>49</v>
      </c>
      <c r="AB32" s="31"/>
      <c r="AC32" s="38"/>
      <c r="AD32" s="38" t="s">
        <v>370</v>
      </c>
      <c r="AE32" s="38" t="s">
        <v>380</v>
      </c>
      <c r="AF32" s="38" t="s">
        <v>372</v>
      </c>
      <c r="AG32" s="38" t="s">
        <v>119</v>
      </c>
      <c r="AH32" s="219">
        <v>5</v>
      </c>
      <c r="AI32" s="259" t="s">
        <v>334</v>
      </c>
      <c r="AJ32" s="259" t="s">
        <v>373</v>
      </c>
      <c r="AK32" s="258" t="s">
        <v>381</v>
      </c>
    </row>
    <row r="33" spans="1:37" ht="16.5">
      <c r="B33" s="224">
        <f t="shared" si="0"/>
        <v>31</v>
      </c>
      <c r="C33" s="225" t="s">
        <v>33</v>
      </c>
      <c r="D33" s="225" t="s">
        <v>382</v>
      </c>
      <c r="E33" s="947" t="s">
        <v>383</v>
      </c>
      <c r="F33" s="225" t="s">
        <v>36</v>
      </c>
      <c r="G33" s="225" t="s">
        <v>384</v>
      </c>
      <c r="H33" s="825" t="s">
        <v>385</v>
      </c>
      <c r="I33" s="226" t="s">
        <v>364</v>
      </c>
      <c r="J33" s="226" t="s">
        <v>40</v>
      </c>
      <c r="K33" s="226" t="s">
        <v>53</v>
      </c>
      <c r="L33" s="226" t="s">
        <v>42</v>
      </c>
      <c r="M33" s="226">
        <v>1</v>
      </c>
      <c r="N33" s="227" t="s">
        <v>386</v>
      </c>
      <c r="O33" s="228" t="s">
        <v>387</v>
      </c>
      <c r="P33" s="228" t="s">
        <v>388</v>
      </c>
      <c r="Q33" s="818" t="s">
        <v>389</v>
      </c>
      <c r="S33" s="407">
        <v>45965</v>
      </c>
      <c r="T33" s="242"/>
      <c r="U33" s="242"/>
      <c r="V33" s="241" t="s">
        <v>205</v>
      </c>
      <c r="W33" s="242" t="s">
        <v>128</v>
      </c>
      <c r="X33" s="242" t="s">
        <v>132</v>
      </c>
      <c r="Y33" s="242"/>
      <c r="Z33" s="242"/>
      <c r="AA33" s="242"/>
      <c r="AB33" s="242"/>
      <c r="AC33" s="243"/>
      <c r="AD33" s="243" t="s">
        <v>50</v>
      </c>
      <c r="AE33" s="243" t="s">
        <v>390</v>
      </c>
      <c r="AF33" s="243" t="s">
        <v>391</v>
      </c>
      <c r="AG33" s="243" t="s">
        <v>132</v>
      </c>
      <c r="AH33" s="244">
        <v>5</v>
      </c>
      <c r="AI33" s="261"/>
      <c r="AJ33" s="261"/>
      <c r="AK33" s="262"/>
    </row>
    <row r="34" spans="1:37" ht="16.5">
      <c r="B34" s="232">
        <f t="shared" si="0"/>
        <v>32</v>
      </c>
      <c r="C34" s="229" t="s">
        <v>33</v>
      </c>
      <c r="D34" s="229" t="s">
        <v>392</v>
      </c>
      <c r="E34" s="948" t="s">
        <v>393</v>
      </c>
      <c r="F34" s="231" t="s">
        <v>36</v>
      </c>
      <c r="G34" s="229" t="s">
        <v>394</v>
      </c>
      <c r="H34" s="826" t="s">
        <v>395</v>
      </c>
      <c r="I34" s="229" t="s">
        <v>396</v>
      </c>
      <c r="J34" s="229" t="s">
        <v>40</v>
      </c>
      <c r="K34" s="229" t="s">
        <v>132</v>
      </c>
      <c r="L34" s="229" t="s">
        <v>195</v>
      </c>
      <c r="M34" s="229"/>
      <c r="N34" s="230" t="s">
        <v>397</v>
      </c>
      <c r="O34" s="798" t="s">
        <v>398</v>
      </c>
      <c r="P34" s="814" t="s">
        <v>399</v>
      </c>
      <c r="Q34" s="819" t="s">
        <v>400</v>
      </c>
      <c r="R34" s="4" t="s">
        <v>401</v>
      </c>
      <c r="S34" s="234"/>
      <c r="T34" s="48"/>
      <c r="U34" s="48"/>
      <c r="V34" s="234" t="s">
        <v>272</v>
      </c>
      <c r="W34" s="48" t="s">
        <v>33</v>
      </c>
      <c r="X34" s="48" t="s">
        <v>402</v>
      </c>
      <c r="Y34" s="526"/>
      <c r="Z34" s="526"/>
      <c r="AA34" s="526"/>
      <c r="AB34" s="48"/>
      <c r="AC34" s="48"/>
      <c r="AD34" s="48"/>
      <c r="AE34" s="48"/>
      <c r="AF34" s="48"/>
      <c r="AG34" s="48"/>
      <c r="AH34" s="48"/>
      <c r="AI34" s="48"/>
      <c r="AJ34" s="48"/>
      <c r="AK34" s="235"/>
    </row>
    <row r="35" spans="1:37" ht="16.5">
      <c r="B35" s="232">
        <f t="shared" si="0"/>
        <v>33</v>
      </c>
      <c r="C35" s="229" t="s">
        <v>33</v>
      </c>
      <c r="D35" s="229" t="s">
        <v>403</v>
      </c>
      <c r="E35" s="949" t="s">
        <v>404</v>
      </c>
      <c r="F35" s="231" t="s">
        <v>36</v>
      </c>
      <c r="G35" s="229" t="s">
        <v>405</v>
      </c>
      <c r="H35" s="826" t="s">
        <v>406</v>
      </c>
      <c r="I35" s="229" t="s">
        <v>272</v>
      </c>
      <c r="J35" s="229" t="s">
        <v>183</v>
      </c>
      <c r="K35" s="229" t="s">
        <v>407</v>
      </c>
      <c r="L35" s="229" t="s">
        <v>195</v>
      </c>
      <c r="M35" s="229"/>
      <c r="N35" s="230" t="s">
        <v>408</v>
      </c>
      <c r="O35" s="798" t="s">
        <v>409</v>
      </c>
      <c r="P35" s="815" t="s">
        <v>410</v>
      </c>
      <c r="Q35" s="799"/>
      <c r="R35" s="4" t="s">
        <v>401</v>
      </c>
      <c r="S35" s="234"/>
      <c r="T35" s="48"/>
      <c r="U35" s="48"/>
      <c r="V35" s="234" t="s">
        <v>272</v>
      </c>
      <c r="W35" s="48" t="s">
        <v>33</v>
      </c>
      <c r="X35" s="48" t="s">
        <v>41</v>
      </c>
      <c r="Y35" s="48"/>
      <c r="Z35" s="48"/>
      <c r="AA35" s="48"/>
      <c r="AB35" s="48"/>
      <c r="AC35" s="48"/>
      <c r="AD35" s="48" t="s">
        <v>411</v>
      </c>
      <c r="AE35" s="48" t="s">
        <v>412</v>
      </c>
      <c r="AF35" s="48" t="s">
        <v>413</v>
      </c>
      <c r="AG35" s="48" t="s">
        <v>41</v>
      </c>
      <c r="AH35" s="48">
        <v>1</v>
      </c>
      <c r="AI35" s="48"/>
      <c r="AJ35" s="48"/>
      <c r="AK35" s="235"/>
    </row>
    <row r="36" spans="1:37" ht="16.5">
      <c r="A36" s="4" t="s">
        <v>414</v>
      </c>
      <c r="B36" s="232">
        <f t="shared" si="0"/>
        <v>34</v>
      </c>
      <c r="C36" s="351" t="s">
        <v>415</v>
      </c>
      <c r="D36" s="229" t="s">
        <v>134</v>
      </c>
      <c r="E36" s="229"/>
      <c r="F36" s="231" t="s">
        <v>36</v>
      </c>
      <c r="G36" s="229" t="s">
        <v>416</v>
      </c>
      <c r="H36" s="826" t="s">
        <v>417</v>
      </c>
      <c r="I36" s="229" t="s">
        <v>210</v>
      </c>
      <c r="J36" s="229" t="s">
        <v>183</v>
      </c>
      <c r="K36" s="229" t="s">
        <v>132</v>
      </c>
      <c r="L36" s="229" t="s">
        <v>195</v>
      </c>
      <c r="M36" s="229"/>
      <c r="N36" s="230" t="s">
        <v>418</v>
      </c>
      <c r="O36" s="798" t="s">
        <v>419</v>
      </c>
      <c r="P36" s="815" t="s">
        <v>420</v>
      </c>
      <c r="Q36" s="819" t="s">
        <v>421</v>
      </c>
      <c r="R36" s="4" t="s">
        <v>401</v>
      </c>
      <c r="S36" s="234"/>
      <c r="T36" s="48"/>
      <c r="U36" s="48"/>
      <c r="V36" s="234" t="s">
        <v>210</v>
      </c>
      <c r="W36" s="48" t="s">
        <v>415</v>
      </c>
      <c r="X36" s="48" t="s">
        <v>402</v>
      </c>
      <c r="Y36" s="48"/>
      <c r="Z36" s="48"/>
      <c r="AA36" s="48"/>
      <c r="AB36" s="48"/>
      <c r="AC36" s="48" t="s">
        <v>422</v>
      </c>
      <c r="AD36" s="48" t="s">
        <v>415</v>
      </c>
      <c r="AE36" s="48" t="s">
        <v>423</v>
      </c>
      <c r="AF36" s="406" t="s">
        <v>424</v>
      </c>
      <c r="AG36" s="48" t="s">
        <v>402</v>
      </c>
      <c r="AH36" s="48">
        <v>5</v>
      </c>
      <c r="AI36" s="48"/>
      <c r="AJ36" s="48"/>
      <c r="AK36" s="235"/>
    </row>
    <row r="37" spans="1:37" ht="16.5">
      <c r="A37" s="4" t="s">
        <v>414</v>
      </c>
      <c r="B37" s="232">
        <f t="shared" ref="B37:B55" si="1">+B36+1</f>
        <v>35</v>
      </c>
      <c r="C37" s="351" t="s">
        <v>415</v>
      </c>
      <c r="D37" s="229" t="s">
        <v>134</v>
      </c>
      <c r="E37" s="229"/>
      <c r="F37" s="231" t="s">
        <v>36</v>
      </c>
      <c r="G37" s="229" t="s">
        <v>425</v>
      </c>
      <c r="H37" s="826" t="s">
        <v>426</v>
      </c>
      <c r="I37" s="229" t="s">
        <v>210</v>
      </c>
      <c r="J37" s="229" t="s">
        <v>183</v>
      </c>
      <c r="K37" s="229" t="s">
        <v>402</v>
      </c>
      <c r="L37" s="229" t="s">
        <v>195</v>
      </c>
      <c r="M37" s="229"/>
      <c r="N37" s="230" t="s">
        <v>427</v>
      </c>
      <c r="O37" s="798" t="s">
        <v>428</v>
      </c>
      <c r="P37" s="815" t="s">
        <v>429</v>
      </c>
      <c r="Q37" s="819" t="s">
        <v>421</v>
      </c>
      <c r="R37" s="4" t="s">
        <v>401</v>
      </c>
      <c r="S37" s="234"/>
      <c r="T37" s="48"/>
      <c r="U37" s="48"/>
      <c r="V37" s="234" t="s">
        <v>210</v>
      </c>
      <c r="W37" s="48" t="s">
        <v>415</v>
      </c>
      <c r="X37" s="48" t="s">
        <v>402</v>
      </c>
      <c r="Y37" s="48"/>
      <c r="Z37" s="48"/>
      <c r="AA37" s="48"/>
      <c r="AB37" s="48"/>
      <c r="AC37" s="48" t="s">
        <v>430</v>
      </c>
      <c r="AD37" s="48" t="s">
        <v>415</v>
      </c>
      <c r="AE37" s="48" t="s">
        <v>423</v>
      </c>
      <c r="AF37" s="406" t="s">
        <v>431</v>
      </c>
      <c r="AG37" s="48" t="s">
        <v>402</v>
      </c>
      <c r="AH37" s="48">
        <v>5</v>
      </c>
      <c r="AI37" s="48"/>
      <c r="AJ37" s="48"/>
      <c r="AK37" s="235"/>
    </row>
    <row r="38" spans="1:37" ht="16.5">
      <c r="A38" s="4" t="s">
        <v>414</v>
      </c>
      <c r="B38" s="232">
        <f t="shared" si="1"/>
        <v>36</v>
      </c>
      <c r="C38" s="351" t="s">
        <v>415</v>
      </c>
      <c r="D38" s="229" t="s">
        <v>134</v>
      </c>
      <c r="E38" s="229"/>
      <c r="F38" s="231" t="s">
        <v>36</v>
      </c>
      <c r="G38" s="229" t="s">
        <v>432</v>
      </c>
      <c r="H38" s="826" t="s">
        <v>433</v>
      </c>
      <c r="I38" s="229" t="s">
        <v>272</v>
      </c>
      <c r="J38" s="229" t="s">
        <v>183</v>
      </c>
      <c r="K38" s="229" t="s">
        <v>402</v>
      </c>
      <c r="L38" s="229" t="s">
        <v>195</v>
      </c>
      <c r="M38" s="229"/>
      <c r="N38" s="230" t="s">
        <v>434</v>
      </c>
      <c r="O38" s="798" t="s">
        <v>435</v>
      </c>
      <c r="P38" s="815" t="s">
        <v>436</v>
      </c>
      <c r="Q38" s="819" t="s">
        <v>421</v>
      </c>
      <c r="R38" s="4" t="s">
        <v>401</v>
      </c>
      <c r="S38" s="234"/>
      <c r="T38" s="48"/>
      <c r="U38" s="48"/>
      <c r="V38" s="234" t="s">
        <v>272</v>
      </c>
      <c r="W38" s="48" t="s">
        <v>415</v>
      </c>
      <c r="X38" s="48" t="s">
        <v>402</v>
      </c>
      <c r="Y38" s="48"/>
      <c r="Z38" s="48"/>
      <c r="AA38" s="48"/>
      <c r="AB38" s="48"/>
      <c r="AC38" s="48" t="s">
        <v>437</v>
      </c>
      <c r="AD38" s="48" t="s">
        <v>415</v>
      </c>
      <c r="AE38" s="48" t="s">
        <v>423</v>
      </c>
      <c r="AF38" s="406" t="s">
        <v>438</v>
      </c>
      <c r="AG38" s="48" t="s">
        <v>402</v>
      </c>
      <c r="AH38" s="48">
        <v>5</v>
      </c>
      <c r="AI38" s="48"/>
      <c r="AJ38" s="48"/>
      <c r="AK38" s="235"/>
    </row>
    <row r="39" spans="1:37" ht="16.5">
      <c r="A39" s="4" t="s">
        <v>414</v>
      </c>
      <c r="B39" s="232">
        <f t="shared" si="1"/>
        <v>37</v>
      </c>
      <c r="C39" s="351" t="s">
        <v>415</v>
      </c>
      <c r="D39" s="229" t="s">
        <v>134</v>
      </c>
      <c r="E39" s="229"/>
      <c r="F39" s="231" t="s">
        <v>36</v>
      </c>
      <c r="G39" s="229" t="s">
        <v>439</v>
      </c>
      <c r="H39" s="826" t="s">
        <v>440</v>
      </c>
      <c r="I39" s="229" t="s">
        <v>272</v>
      </c>
      <c r="J39" s="229" t="s">
        <v>40</v>
      </c>
      <c r="K39" s="229" t="s">
        <v>402</v>
      </c>
      <c r="L39" s="229" t="s">
        <v>195</v>
      </c>
      <c r="M39" s="229"/>
      <c r="N39" s="230" t="s">
        <v>441</v>
      </c>
      <c r="O39" s="798" t="s">
        <v>442</v>
      </c>
      <c r="P39" s="815" t="s">
        <v>443</v>
      </c>
      <c r="Q39" s="819" t="s">
        <v>421</v>
      </c>
      <c r="R39" s="4" t="s">
        <v>401</v>
      </c>
      <c r="S39" s="234"/>
      <c r="T39" s="48"/>
      <c r="U39" s="48"/>
      <c r="V39" s="234" t="s">
        <v>272</v>
      </c>
      <c r="W39" s="48" t="s">
        <v>415</v>
      </c>
      <c r="X39" s="48" t="s">
        <v>402</v>
      </c>
      <c r="Y39" s="48"/>
      <c r="Z39" s="48"/>
      <c r="AA39" s="48"/>
      <c r="AB39" s="48"/>
      <c r="AC39" s="48"/>
      <c r="AD39" s="48" t="s">
        <v>415</v>
      </c>
      <c r="AE39" s="48" t="s">
        <v>423</v>
      </c>
      <c r="AF39" s="233" t="s">
        <v>444</v>
      </c>
      <c r="AG39" s="48" t="s">
        <v>402</v>
      </c>
      <c r="AH39" s="48">
        <v>5</v>
      </c>
      <c r="AI39" s="48"/>
      <c r="AJ39" s="48"/>
      <c r="AK39" s="235"/>
    </row>
    <row r="40" spans="1:37" ht="16.5">
      <c r="B40" s="232">
        <f t="shared" si="1"/>
        <v>38</v>
      </c>
      <c r="C40" s="229" t="s">
        <v>135</v>
      </c>
      <c r="D40" s="229" t="s">
        <v>445</v>
      </c>
      <c r="E40" s="949" t="s">
        <v>445</v>
      </c>
      <c r="F40" s="231" t="s">
        <v>36</v>
      </c>
      <c r="G40" s="229" t="s">
        <v>446</v>
      </c>
      <c r="H40" s="826" t="s">
        <v>447</v>
      </c>
      <c r="I40" s="229" t="s">
        <v>64</v>
      </c>
      <c r="J40" s="229" t="s">
        <v>40</v>
      </c>
      <c r="K40" s="229" t="s">
        <v>402</v>
      </c>
      <c r="L40" s="229" t="s">
        <v>195</v>
      </c>
      <c r="M40" s="229"/>
      <c r="N40" s="230" t="s">
        <v>448</v>
      </c>
      <c r="O40" s="798" t="s">
        <v>449</v>
      </c>
      <c r="P40" s="815" t="s">
        <v>450</v>
      </c>
      <c r="Q40" s="799"/>
      <c r="R40" s="4" t="s">
        <v>401</v>
      </c>
      <c r="S40" s="234"/>
      <c r="T40" s="48"/>
      <c r="U40" s="48"/>
      <c r="V40" s="234" t="s">
        <v>64</v>
      </c>
      <c r="W40" s="48" t="s">
        <v>135</v>
      </c>
      <c r="X40" s="48" t="s">
        <v>402</v>
      </c>
      <c r="Y40" s="48"/>
      <c r="Z40" s="31" t="s">
        <v>143</v>
      </c>
      <c r="AA40" s="48"/>
      <c r="AB40" s="48"/>
      <c r="AC40" s="48"/>
      <c r="AD40" s="48" t="s">
        <v>135</v>
      </c>
      <c r="AE40" s="48" t="s">
        <v>423</v>
      </c>
      <c r="AF40" s="48"/>
      <c r="AG40" s="48" t="s">
        <v>423</v>
      </c>
      <c r="AH40" s="48"/>
      <c r="AI40" s="48"/>
      <c r="AJ40" s="48"/>
      <c r="AK40" s="235"/>
    </row>
    <row r="41" spans="1:37" ht="16.5">
      <c r="B41" s="232">
        <f t="shared" si="1"/>
        <v>39</v>
      </c>
      <c r="C41" s="229" t="s">
        <v>135</v>
      </c>
      <c r="D41" s="229" t="s">
        <v>451</v>
      </c>
      <c r="E41" s="949" t="s">
        <v>451</v>
      </c>
      <c r="F41" s="231" t="s">
        <v>36</v>
      </c>
      <c r="G41" s="229" t="s">
        <v>452</v>
      </c>
      <c r="H41" s="826" t="s">
        <v>453</v>
      </c>
      <c r="I41" s="229" t="s">
        <v>64</v>
      </c>
      <c r="J41" s="229" t="s">
        <v>40</v>
      </c>
      <c r="K41" s="229" t="s">
        <v>402</v>
      </c>
      <c r="L41" s="229" t="s">
        <v>195</v>
      </c>
      <c r="M41" s="229"/>
      <c r="N41" s="230" t="s">
        <v>454</v>
      </c>
      <c r="O41" s="798" t="s">
        <v>455</v>
      </c>
      <c r="P41" s="815" t="s">
        <v>456</v>
      </c>
      <c r="Q41" s="799"/>
      <c r="R41" s="4" t="s">
        <v>401</v>
      </c>
      <c r="S41" s="234"/>
      <c r="T41" s="48"/>
      <c r="U41" s="48"/>
      <c r="V41" s="234" t="s">
        <v>64</v>
      </c>
      <c r="W41" s="48" t="s">
        <v>135</v>
      </c>
      <c r="X41" s="48" t="s">
        <v>402</v>
      </c>
      <c r="Y41" s="48"/>
      <c r="Z41" s="31" t="s">
        <v>143</v>
      </c>
      <c r="AA41" s="48"/>
      <c r="AB41" s="48"/>
      <c r="AC41" s="48"/>
      <c r="AD41" s="48" t="s">
        <v>135</v>
      </c>
      <c r="AE41" s="48" t="s">
        <v>423</v>
      </c>
      <c r="AF41" s="48"/>
      <c r="AG41" s="48"/>
      <c r="AH41" s="48"/>
      <c r="AI41" s="48"/>
      <c r="AJ41" s="48"/>
      <c r="AK41" s="235"/>
    </row>
    <row r="42" spans="1:37" ht="16.5">
      <c r="B42" s="232">
        <f t="shared" si="1"/>
        <v>40</v>
      </c>
      <c r="C42" s="229" t="s">
        <v>135</v>
      </c>
      <c r="D42" s="229" t="s">
        <v>457</v>
      </c>
      <c r="E42" s="949" t="s">
        <v>457</v>
      </c>
      <c r="F42" s="231" t="s">
        <v>36</v>
      </c>
      <c r="G42" s="229" t="s">
        <v>458</v>
      </c>
      <c r="H42" s="826" t="s">
        <v>459</v>
      </c>
      <c r="I42" s="229" t="s">
        <v>64</v>
      </c>
      <c r="J42" s="229" t="s">
        <v>40</v>
      </c>
      <c r="K42" s="229" t="s">
        <v>402</v>
      </c>
      <c r="L42" s="229" t="s">
        <v>195</v>
      </c>
      <c r="M42" s="229"/>
      <c r="N42" s="230" t="s">
        <v>460</v>
      </c>
      <c r="O42" s="798" t="s">
        <v>461</v>
      </c>
      <c r="P42" s="815" t="s">
        <v>462</v>
      </c>
      <c r="Q42" s="799"/>
      <c r="R42" s="4" t="s">
        <v>401</v>
      </c>
      <c r="S42" s="234"/>
      <c r="T42" s="48"/>
      <c r="U42" s="48"/>
      <c r="V42" s="234" t="s">
        <v>64</v>
      </c>
      <c r="W42" s="48" t="s">
        <v>135</v>
      </c>
      <c r="X42" s="48" t="s">
        <v>402</v>
      </c>
      <c r="Y42" s="48"/>
      <c r="Z42" s="31" t="s">
        <v>143</v>
      </c>
      <c r="AA42" s="48"/>
      <c r="AB42" s="48"/>
      <c r="AC42" s="48"/>
      <c r="AD42" s="48" t="s">
        <v>135</v>
      </c>
      <c r="AE42" s="48" t="s">
        <v>423</v>
      </c>
      <c r="AF42" s="48"/>
      <c r="AG42" s="48"/>
      <c r="AH42" s="48"/>
      <c r="AI42" s="48"/>
      <c r="AJ42" s="48"/>
      <c r="AK42" s="235"/>
    </row>
    <row r="43" spans="1:37" ht="16.5">
      <c r="B43" s="232">
        <f t="shared" si="1"/>
        <v>41</v>
      </c>
      <c r="C43" s="229" t="s">
        <v>135</v>
      </c>
      <c r="D43" s="229" t="s">
        <v>463</v>
      </c>
      <c r="E43" s="949" t="s">
        <v>463</v>
      </c>
      <c r="F43" s="231" t="s">
        <v>36</v>
      </c>
      <c r="G43" s="229" t="s">
        <v>464</v>
      </c>
      <c r="H43" s="826" t="s">
        <v>465</v>
      </c>
      <c r="I43" s="229" t="s">
        <v>64</v>
      </c>
      <c r="J43" s="229" t="s">
        <v>40</v>
      </c>
      <c r="K43" s="229" t="s">
        <v>402</v>
      </c>
      <c r="L43" s="229" t="s">
        <v>195</v>
      </c>
      <c r="M43" s="229"/>
      <c r="N43" s="230" t="s">
        <v>466</v>
      </c>
      <c r="O43" s="798" t="s">
        <v>467</v>
      </c>
      <c r="P43" s="974" t="s">
        <v>468</v>
      </c>
      <c r="Q43" s="799" t="s">
        <v>469</v>
      </c>
      <c r="R43" s="4" t="s">
        <v>401</v>
      </c>
      <c r="S43" s="234"/>
      <c r="T43" s="48"/>
      <c r="U43" s="48"/>
      <c r="V43" s="234" t="s">
        <v>64</v>
      </c>
      <c r="W43" s="48" t="s">
        <v>135</v>
      </c>
      <c r="X43" s="48" t="s">
        <v>402</v>
      </c>
      <c r="Y43" s="48"/>
      <c r="Z43" s="31" t="s">
        <v>143</v>
      </c>
      <c r="AA43" s="48"/>
      <c r="AB43" s="48"/>
      <c r="AC43" s="48"/>
      <c r="AD43" s="48" t="s">
        <v>135</v>
      </c>
      <c r="AE43" s="48" t="s">
        <v>423</v>
      </c>
      <c r="AF43" s="48"/>
      <c r="AG43" s="48"/>
      <c r="AH43" s="48"/>
      <c r="AI43" s="48"/>
      <c r="AJ43" s="48"/>
      <c r="AK43" s="235"/>
    </row>
    <row r="44" spans="1:37" ht="16.5">
      <c r="B44" s="232">
        <f t="shared" si="1"/>
        <v>42</v>
      </c>
      <c r="C44" s="229" t="s">
        <v>135</v>
      </c>
      <c r="D44" s="229" t="s">
        <v>470</v>
      </c>
      <c r="E44" s="949" t="s">
        <v>470</v>
      </c>
      <c r="F44" s="231" t="s">
        <v>36</v>
      </c>
      <c r="G44" s="229" t="s">
        <v>471</v>
      </c>
      <c r="H44" s="826" t="s">
        <v>472</v>
      </c>
      <c r="I44" s="229" t="s">
        <v>64</v>
      </c>
      <c r="J44" s="229" t="s">
        <v>40</v>
      </c>
      <c r="K44" s="229" t="s">
        <v>402</v>
      </c>
      <c r="L44" s="229" t="s">
        <v>195</v>
      </c>
      <c r="M44" s="229"/>
      <c r="N44" s="230" t="s">
        <v>473</v>
      </c>
      <c r="O44" s="798" t="s">
        <v>474</v>
      </c>
      <c r="P44" s="975" t="s">
        <v>475</v>
      </c>
      <c r="Q44" s="799" t="s">
        <v>476</v>
      </c>
      <c r="R44" s="4" t="s">
        <v>401</v>
      </c>
      <c r="S44" s="234"/>
      <c r="T44" s="48"/>
      <c r="U44" s="48"/>
      <c r="V44" s="234" t="s">
        <v>64</v>
      </c>
      <c r="W44" s="48" t="s">
        <v>135</v>
      </c>
      <c r="X44" s="48" t="s">
        <v>402</v>
      </c>
      <c r="Y44" s="48"/>
      <c r="Z44" s="31" t="s">
        <v>143</v>
      </c>
      <c r="AA44" s="48"/>
      <c r="AB44" s="48"/>
      <c r="AC44" s="48"/>
      <c r="AD44" s="48" t="s">
        <v>135</v>
      </c>
      <c r="AE44" s="48" t="s">
        <v>423</v>
      </c>
      <c r="AF44" s="48"/>
      <c r="AG44" s="48"/>
      <c r="AH44" s="48"/>
      <c r="AI44" s="48"/>
      <c r="AJ44" s="48"/>
      <c r="AK44" s="235"/>
    </row>
    <row r="45" spans="1:37" ht="16.5">
      <c r="A45" s="944" t="s">
        <v>189</v>
      </c>
      <c r="B45" s="232">
        <f t="shared" si="1"/>
        <v>43</v>
      </c>
      <c r="C45" s="229" t="s">
        <v>135</v>
      </c>
      <c r="D45" s="229" t="s">
        <v>477</v>
      </c>
      <c r="E45" s="949" t="s">
        <v>477</v>
      </c>
      <c r="F45" s="231" t="s">
        <v>36</v>
      </c>
      <c r="G45" s="229" t="s">
        <v>478</v>
      </c>
      <c r="H45" s="826" t="s">
        <v>479</v>
      </c>
      <c r="I45" s="229" t="s">
        <v>64</v>
      </c>
      <c r="J45" s="229" t="s">
        <v>183</v>
      </c>
      <c r="K45" s="229" t="s">
        <v>402</v>
      </c>
      <c r="L45" s="229" t="s">
        <v>195</v>
      </c>
      <c r="M45" s="229"/>
      <c r="N45" s="230" t="s">
        <v>480</v>
      </c>
      <c r="O45" s="798" t="s">
        <v>481</v>
      </c>
      <c r="P45" s="815" t="s">
        <v>482</v>
      </c>
      <c r="Q45" s="819" t="s">
        <v>483</v>
      </c>
      <c r="R45" s="4" t="s">
        <v>401</v>
      </c>
      <c r="S45" s="234"/>
      <c r="T45" s="48"/>
      <c r="U45" s="48"/>
      <c r="V45" s="234" t="s">
        <v>64</v>
      </c>
      <c r="W45" s="48" t="s">
        <v>135</v>
      </c>
      <c r="X45" s="48" t="s">
        <v>402</v>
      </c>
      <c r="Y45" s="48"/>
      <c r="Z45" s="31" t="s">
        <v>143</v>
      </c>
      <c r="AA45" s="48"/>
      <c r="AB45" s="48"/>
      <c r="AC45" s="48"/>
      <c r="AD45" s="48" t="s">
        <v>135</v>
      </c>
      <c r="AE45" s="48" t="s">
        <v>423</v>
      </c>
      <c r="AF45" s="48"/>
      <c r="AG45" s="48"/>
      <c r="AH45" s="48"/>
      <c r="AI45" s="48"/>
      <c r="AJ45" s="48"/>
      <c r="AK45" s="235"/>
    </row>
    <row r="46" spans="1:37" ht="16.5">
      <c r="A46" s="944" t="s">
        <v>189</v>
      </c>
      <c r="B46" s="232">
        <f t="shared" si="1"/>
        <v>44</v>
      </c>
      <c r="C46" s="229" t="s">
        <v>135</v>
      </c>
      <c r="D46" s="229" t="s">
        <v>484</v>
      </c>
      <c r="E46" s="949" t="s">
        <v>485</v>
      </c>
      <c r="F46" s="231" t="s">
        <v>36</v>
      </c>
      <c r="G46" s="229" t="s">
        <v>486</v>
      </c>
      <c r="H46" s="826" t="s">
        <v>487</v>
      </c>
      <c r="I46" s="229" t="s">
        <v>64</v>
      </c>
      <c r="J46" s="229" t="s">
        <v>183</v>
      </c>
      <c r="K46" s="229" t="s">
        <v>402</v>
      </c>
      <c r="L46" s="229" t="s">
        <v>195</v>
      </c>
      <c r="M46" s="229"/>
      <c r="N46" s="230" t="s">
        <v>488</v>
      </c>
      <c r="O46" s="798" t="s">
        <v>489</v>
      </c>
      <c r="P46" s="815" t="s">
        <v>490</v>
      </c>
      <c r="Q46" s="819" t="s">
        <v>491</v>
      </c>
      <c r="R46" s="4" t="s">
        <v>401</v>
      </c>
      <c r="S46" s="234"/>
      <c r="T46" s="48"/>
      <c r="U46" s="48"/>
      <c r="V46" s="234" t="s">
        <v>64</v>
      </c>
      <c r="W46" s="48" t="s">
        <v>135</v>
      </c>
      <c r="X46" s="48" t="s">
        <v>402</v>
      </c>
      <c r="Y46" s="48"/>
      <c r="Z46" s="31" t="s">
        <v>143</v>
      </c>
      <c r="AA46" s="48"/>
      <c r="AB46" s="48"/>
      <c r="AC46" s="48"/>
      <c r="AD46" s="48" t="s">
        <v>135</v>
      </c>
      <c r="AE46" s="48" t="s">
        <v>423</v>
      </c>
      <c r="AF46" s="48"/>
      <c r="AG46" s="48"/>
      <c r="AH46" s="48"/>
      <c r="AI46" s="48"/>
      <c r="AJ46" s="48"/>
      <c r="AK46" s="235"/>
    </row>
    <row r="47" spans="1:37" ht="16.5">
      <c r="A47" s="944" t="s">
        <v>189</v>
      </c>
      <c r="B47" s="232">
        <f t="shared" si="1"/>
        <v>45</v>
      </c>
      <c r="C47" s="229" t="s">
        <v>135</v>
      </c>
      <c r="D47" s="229" t="s">
        <v>492</v>
      </c>
      <c r="E47" s="949" t="s">
        <v>493</v>
      </c>
      <c r="F47" s="231" t="s">
        <v>36</v>
      </c>
      <c r="G47" s="229" t="s">
        <v>494</v>
      </c>
      <c r="H47" s="826" t="s">
        <v>495</v>
      </c>
      <c r="I47" s="229" t="s">
        <v>64</v>
      </c>
      <c r="J47" s="229" t="s">
        <v>183</v>
      </c>
      <c r="K47" s="229" t="s">
        <v>402</v>
      </c>
      <c r="L47" s="229" t="s">
        <v>195</v>
      </c>
      <c r="M47" s="229"/>
      <c r="N47" s="230" t="s">
        <v>496</v>
      </c>
      <c r="O47" s="798" t="s">
        <v>497</v>
      </c>
      <c r="P47" s="815" t="s">
        <v>498</v>
      </c>
      <c r="Q47" s="819" t="s">
        <v>499</v>
      </c>
      <c r="R47" s="4" t="s">
        <v>401</v>
      </c>
      <c r="S47" s="234"/>
      <c r="T47" s="48"/>
      <c r="U47" s="48"/>
      <c r="V47" s="234" t="s">
        <v>64</v>
      </c>
      <c r="W47" s="48" t="s">
        <v>135</v>
      </c>
      <c r="X47" s="48" t="s">
        <v>402</v>
      </c>
      <c r="Y47" s="48"/>
      <c r="Z47" s="31" t="s">
        <v>143</v>
      </c>
      <c r="AA47" s="48"/>
      <c r="AB47" s="48"/>
      <c r="AC47" s="48"/>
      <c r="AD47" s="48" t="s">
        <v>135</v>
      </c>
      <c r="AE47" s="48" t="s">
        <v>423</v>
      </c>
      <c r="AF47" s="48"/>
      <c r="AG47" s="48"/>
      <c r="AH47" s="48"/>
      <c r="AI47" s="48"/>
      <c r="AJ47" s="48"/>
      <c r="AK47" s="235"/>
    </row>
    <row r="48" spans="1:37" ht="16.5">
      <c r="A48" s="944" t="s">
        <v>189</v>
      </c>
      <c r="B48" s="410">
        <f t="shared" si="1"/>
        <v>46</v>
      </c>
      <c r="C48" s="411" t="s">
        <v>135</v>
      </c>
      <c r="D48" s="411" t="s">
        <v>500</v>
      </c>
      <c r="E48" s="949" t="s">
        <v>500</v>
      </c>
      <c r="F48" s="412" t="s">
        <v>36</v>
      </c>
      <c r="G48" s="411" t="s">
        <v>501</v>
      </c>
      <c r="H48" s="827" t="s">
        <v>502</v>
      </c>
      <c r="I48" s="411" t="s">
        <v>64</v>
      </c>
      <c r="J48" s="411" t="s">
        <v>183</v>
      </c>
      <c r="K48" s="411" t="s">
        <v>402</v>
      </c>
      <c r="L48" s="229" t="s">
        <v>195</v>
      </c>
      <c r="M48" s="411"/>
      <c r="N48" s="413" t="s">
        <v>503</v>
      </c>
      <c r="O48" s="813" t="s">
        <v>504</v>
      </c>
      <c r="P48" s="815" t="s">
        <v>505</v>
      </c>
      <c r="Q48" s="819" t="s">
        <v>506</v>
      </c>
      <c r="R48" s="4" t="s">
        <v>401</v>
      </c>
      <c r="S48" s="236"/>
      <c r="T48" s="237"/>
      <c r="U48" s="237"/>
      <c r="V48" s="236" t="s">
        <v>64</v>
      </c>
      <c r="W48" s="237" t="s">
        <v>135</v>
      </c>
      <c r="X48" s="237" t="s">
        <v>402</v>
      </c>
      <c r="Y48" s="48"/>
      <c r="Z48" s="31" t="s">
        <v>143</v>
      </c>
      <c r="AA48" s="48"/>
      <c r="AB48" s="48"/>
      <c r="AC48" s="48"/>
      <c r="AD48" s="48" t="s">
        <v>135</v>
      </c>
      <c r="AE48" s="48" t="s">
        <v>423</v>
      </c>
      <c r="AF48" s="48"/>
      <c r="AG48" s="48"/>
      <c r="AH48" s="48"/>
      <c r="AI48" s="48"/>
      <c r="AJ48" s="48"/>
      <c r="AK48" s="235"/>
    </row>
    <row r="49" spans="1:37" ht="16.5">
      <c r="B49" s="232">
        <f t="shared" si="1"/>
        <v>47</v>
      </c>
      <c r="C49" s="229" t="s">
        <v>33</v>
      </c>
      <c r="D49" s="229" t="s">
        <v>507</v>
      </c>
      <c r="E49" s="949" t="s">
        <v>508</v>
      </c>
      <c r="F49" s="229" t="s">
        <v>36</v>
      </c>
      <c r="G49" s="412" t="s">
        <v>509</v>
      </c>
      <c r="H49" s="827" t="s">
        <v>510</v>
      </c>
      <c r="I49" s="229" t="s">
        <v>205</v>
      </c>
      <c r="J49" s="229" t="s">
        <v>40</v>
      </c>
      <c r="K49" s="229" t="s">
        <v>402</v>
      </c>
      <c r="L49" s="229" t="s">
        <v>195</v>
      </c>
      <c r="M49" s="229"/>
      <c r="N49" s="230" t="s">
        <v>511</v>
      </c>
      <c r="O49" s="798" t="s">
        <v>512</v>
      </c>
      <c r="P49" s="815" t="s">
        <v>513</v>
      </c>
      <c r="Q49" s="799"/>
      <c r="R49" s="4" t="s">
        <v>514</v>
      </c>
      <c r="Y49" s="48"/>
      <c r="Z49" s="48"/>
      <c r="AA49" s="48"/>
      <c r="AB49" s="48"/>
      <c r="AC49" s="48"/>
      <c r="AD49" s="48"/>
      <c r="AE49" s="48"/>
      <c r="AF49" s="48"/>
      <c r="AG49" s="48"/>
      <c r="AH49" s="48"/>
      <c r="AI49" s="48"/>
      <c r="AJ49" s="48"/>
      <c r="AK49" s="235"/>
    </row>
    <row r="50" spans="1:37" ht="16.5">
      <c r="A50" s="944" t="s">
        <v>189</v>
      </c>
      <c r="B50" s="232">
        <f t="shared" si="1"/>
        <v>48</v>
      </c>
      <c r="C50" s="229" t="s">
        <v>33</v>
      </c>
      <c r="D50" s="229" t="s">
        <v>515</v>
      </c>
      <c r="E50" s="949" t="s">
        <v>515</v>
      </c>
      <c r="F50" s="800" t="s">
        <v>36</v>
      </c>
      <c r="G50" s="231" t="s">
        <v>516</v>
      </c>
      <c r="H50" s="826" t="s">
        <v>517</v>
      </c>
      <c r="I50" s="801" t="s">
        <v>272</v>
      </c>
      <c r="J50" s="229" t="s">
        <v>40</v>
      </c>
      <c r="K50" s="229" t="s">
        <v>402</v>
      </c>
      <c r="L50" s="229" t="s">
        <v>195</v>
      </c>
      <c r="M50" s="229"/>
      <c r="N50" s="230" t="s">
        <v>518</v>
      </c>
      <c r="O50" s="798" t="s">
        <v>519</v>
      </c>
      <c r="P50" s="815" t="s">
        <v>520</v>
      </c>
      <c r="Q50" s="799"/>
      <c r="R50" s="4" t="s">
        <v>514</v>
      </c>
      <c r="Y50" s="48"/>
      <c r="Z50" s="48"/>
      <c r="AA50" s="48"/>
      <c r="AB50" s="48"/>
      <c r="AC50" s="48"/>
      <c r="AD50" s="48"/>
      <c r="AE50" s="48"/>
      <c r="AF50" s="48"/>
      <c r="AG50" s="48"/>
      <c r="AH50" s="48"/>
      <c r="AI50" s="48"/>
      <c r="AJ50" s="48"/>
      <c r="AK50" s="235"/>
    </row>
    <row r="51" spans="1:37" ht="16.5">
      <c r="A51" s="944" t="s">
        <v>189</v>
      </c>
      <c r="B51" s="232">
        <f t="shared" si="1"/>
        <v>49</v>
      </c>
      <c r="C51" s="229" t="s">
        <v>33</v>
      </c>
      <c r="D51" s="229" t="s">
        <v>521</v>
      </c>
      <c r="E51" s="949" t="s">
        <v>521</v>
      </c>
      <c r="F51" s="800" t="s">
        <v>36</v>
      </c>
      <c r="G51" s="231" t="s">
        <v>522</v>
      </c>
      <c r="H51" s="826" t="s">
        <v>523</v>
      </c>
      <c r="I51" s="801" t="s">
        <v>272</v>
      </c>
      <c r="J51" s="229" t="s">
        <v>40</v>
      </c>
      <c r="K51" s="229" t="s">
        <v>402</v>
      </c>
      <c r="L51" s="229" t="s">
        <v>195</v>
      </c>
      <c r="M51" s="229"/>
      <c r="N51" s="230" t="s">
        <v>524</v>
      </c>
      <c r="O51" s="798" t="s">
        <v>525</v>
      </c>
      <c r="P51" s="815" t="s">
        <v>526</v>
      </c>
      <c r="Q51" s="799"/>
      <c r="R51" s="4" t="s">
        <v>514</v>
      </c>
      <c r="Y51" s="48"/>
      <c r="Z51" s="48"/>
      <c r="AA51" s="48"/>
      <c r="AB51" s="48"/>
      <c r="AC51" s="48"/>
      <c r="AD51" s="48"/>
      <c r="AE51" s="48"/>
      <c r="AF51" s="48"/>
      <c r="AG51" s="48"/>
      <c r="AH51" s="48"/>
      <c r="AI51" s="48"/>
      <c r="AJ51" s="48"/>
      <c r="AK51" s="235"/>
    </row>
    <row r="52" spans="1:37" ht="16.5">
      <c r="B52" s="232">
        <f t="shared" si="1"/>
        <v>50</v>
      </c>
      <c r="C52" s="229" t="s">
        <v>33</v>
      </c>
      <c r="D52" s="229" t="s">
        <v>527</v>
      </c>
      <c r="E52" s="949" t="s">
        <v>527</v>
      </c>
      <c r="F52" s="800" t="s">
        <v>36</v>
      </c>
      <c r="G52" s="231" t="s">
        <v>528</v>
      </c>
      <c r="H52" s="826" t="s">
        <v>529</v>
      </c>
      <c r="I52" s="801" t="s">
        <v>272</v>
      </c>
      <c r="J52" s="229" t="s">
        <v>40</v>
      </c>
      <c r="K52" s="229" t="s">
        <v>402</v>
      </c>
      <c r="L52" s="229" t="s">
        <v>195</v>
      </c>
      <c r="M52" s="229"/>
      <c r="N52" s="230" t="s">
        <v>530</v>
      </c>
      <c r="O52" s="798" t="s">
        <v>531</v>
      </c>
      <c r="P52" s="815" t="s">
        <v>532</v>
      </c>
      <c r="Q52" s="799"/>
      <c r="R52" s="4" t="s">
        <v>514</v>
      </c>
      <c r="Y52" s="48"/>
      <c r="Z52" s="48"/>
      <c r="AA52" s="48"/>
      <c r="AB52" s="48"/>
      <c r="AC52" s="48"/>
      <c r="AD52" s="48"/>
      <c r="AE52" s="48"/>
      <c r="AF52" s="48"/>
      <c r="AG52" s="48"/>
      <c r="AH52" s="48"/>
      <c r="AI52" s="48"/>
      <c r="AJ52" s="48"/>
      <c r="AK52" s="235"/>
    </row>
    <row r="53" spans="1:37" ht="16.5">
      <c r="B53" s="232">
        <f t="shared" si="1"/>
        <v>51</v>
      </c>
      <c r="C53" s="229" t="s">
        <v>33</v>
      </c>
      <c r="D53" s="229" t="s">
        <v>533</v>
      </c>
      <c r="E53" s="949" t="s">
        <v>533</v>
      </c>
      <c r="F53" s="800" t="s">
        <v>36</v>
      </c>
      <c r="G53" s="231" t="s">
        <v>534</v>
      </c>
      <c r="H53" s="826" t="s">
        <v>535</v>
      </c>
      <c r="I53" s="801" t="s">
        <v>205</v>
      </c>
      <c r="J53" s="229" t="s">
        <v>40</v>
      </c>
      <c r="K53" s="229" t="s">
        <v>402</v>
      </c>
      <c r="L53" s="229" t="s">
        <v>195</v>
      </c>
      <c r="M53" s="229"/>
      <c r="N53" s="230" t="s">
        <v>536</v>
      </c>
      <c r="O53" s="798" t="s">
        <v>537</v>
      </c>
      <c r="P53" s="815" t="s">
        <v>538</v>
      </c>
      <c r="Q53" s="799"/>
      <c r="R53" s="4" t="s">
        <v>514</v>
      </c>
      <c r="Y53" s="48"/>
      <c r="Z53" s="48"/>
      <c r="AA53" s="48"/>
      <c r="AB53" s="48"/>
      <c r="AC53" s="48"/>
      <c r="AD53" s="48"/>
      <c r="AE53" s="48"/>
      <c r="AF53" s="48"/>
      <c r="AG53" s="48"/>
      <c r="AH53" s="48"/>
      <c r="AI53" s="48"/>
      <c r="AJ53" s="48"/>
      <c r="AK53" s="235"/>
    </row>
    <row r="54" spans="1:37" ht="16.5">
      <c r="B54" s="232">
        <f t="shared" si="1"/>
        <v>52</v>
      </c>
      <c r="C54" s="229" t="s">
        <v>128</v>
      </c>
      <c r="D54" s="229"/>
      <c r="E54" s="949"/>
      <c r="F54" s="800" t="s">
        <v>36</v>
      </c>
      <c r="G54" s="802" t="s">
        <v>539</v>
      </c>
      <c r="H54" s="803" t="s">
        <v>540</v>
      </c>
      <c r="I54" s="801" t="s">
        <v>272</v>
      </c>
      <c r="J54" s="229" t="s">
        <v>183</v>
      </c>
      <c r="K54" s="229" t="s">
        <v>132</v>
      </c>
      <c r="L54" s="229" t="s">
        <v>195</v>
      </c>
      <c r="M54" s="229"/>
      <c r="N54" s="230" t="s">
        <v>541</v>
      </c>
      <c r="O54" s="798" t="s">
        <v>542</v>
      </c>
      <c r="P54" s="815" t="s">
        <v>543</v>
      </c>
      <c r="Q54" s="799"/>
      <c r="R54" s="4" t="s">
        <v>544</v>
      </c>
      <c r="Y54" s="48"/>
      <c r="Z54" s="48"/>
      <c r="AA54" s="48"/>
      <c r="AB54" s="48"/>
      <c r="AC54" s="48"/>
      <c r="AD54" s="48"/>
      <c r="AE54" s="48"/>
      <c r="AF54" s="48"/>
      <c r="AG54" s="48"/>
      <c r="AH54" s="48"/>
      <c r="AI54" s="48"/>
      <c r="AJ54" s="48"/>
      <c r="AK54" s="235"/>
    </row>
    <row r="55" spans="1:37" ht="16.5">
      <c r="B55" s="410">
        <f t="shared" si="1"/>
        <v>53</v>
      </c>
      <c r="C55" s="411" t="s">
        <v>145</v>
      </c>
      <c r="D55" s="411" t="s">
        <v>545</v>
      </c>
      <c r="E55" s="5" t="s">
        <v>545</v>
      </c>
      <c r="F55" s="900" t="s">
        <v>36</v>
      </c>
      <c r="G55" s="901" t="s">
        <v>546</v>
      </c>
      <c r="H55" s="902" t="s">
        <v>547</v>
      </c>
      <c r="I55" s="903" t="s">
        <v>205</v>
      </c>
      <c r="J55" s="411" t="s">
        <v>40</v>
      </c>
      <c r="K55" s="411" t="s">
        <v>132</v>
      </c>
      <c r="L55" s="411" t="s">
        <v>195</v>
      </c>
      <c r="M55" s="411"/>
      <c r="N55" s="413" t="s">
        <v>548</v>
      </c>
      <c r="O55" s="813" t="s">
        <v>549</v>
      </c>
      <c r="P55" s="904" t="s">
        <v>550</v>
      </c>
      <c r="Q55" s="905"/>
      <c r="R55" s="4" t="s">
        <v>551</v>
      </c>
      <c r="Y55" s="48"/>
      <c r="Z55" s="48"/>
      <c r="AA55" s="48"/>
      <c r="AB55" s="48"/>
      <c r="AC55" s="48"/>
      <c r="AD55" s="48"/>
      <c r="AE55" s="48"/>
      <c r="AF55" s="48"/>
      <c r="AG55" s="48"/>
      <c r="AH55" s="48"/>
      <c r="AI55" s="48"/>
      <c r="AJ55" s="48"/>
      <c r="AK55" s="235"/>
    </row>
    <row r="56" spans="1:37" ht="16.5">
      <c r="A56" s="944" t="s">
        <v>189</v>
      </c>
      <c r="B56" s="410">
        <f>+B55+1</f>
        <v>54</v>
      </c>
      <c r="C56" s="411" t="s">
        <v>33</v>
      </c>
      <c r="D56" s="411" t="s">
        <v>552</v>
      </c>
      <c r="E56" s="949" t="s">
        <v>552</v>
      </c>
      <c r="F56" s="900" t="s">
        <v>36</v>
      </c>
      <c r="G56" s="901" t="s">
        <v>553</v>
      </c>
      <c r="H56" s="902" t="s">
        <v>554</v>
      </c>
      <c r="I56" s="903" t="s">
        <v>268</v>
      </c>
      <c r="J56" s="411" t="s">
        <v>183</v>
      </c>
      <c r="K56" s="411" t="s">
        <v>132</v>
      </c>
      <c r="L56" s="411" t="s">
        <v>195</v>
      </c>
      <c r="M56" s="411"/>
      <c r="N56" s="413" t="s">
        <v>555</v>
      </c>
      <c r="O56" s="813" t="s">
        <v>556</v>
      </c>
      <c r="P56" s="904" t="s">
        <v>557</v>
      </c>
      <c r="Q56" s="905" t="s">
        <v>558</v>
      </c>
      <c r="Y56" s="48"/>
      <c r="Z56" s="48"/>
      <c r="AA56" s="48"/>
      <c r="AB56" s="48"/>
      <c r="AC56" s="48"/>
      <c r="AD56" s="48"/>
      <c r="AE56" s="48"/>
      <c r="AF56" s="48"/>
      <c r="AG56" s="48"/>
      <c r="AH56" s="48"/>
      <c r="AI56" s="48"/>
      <c r="AJ56" s="48"/>
      <c r="AK56" s="235"/>
    </row>
    <row r="57" spans="1:37" ht="16.5">
      <c r="A57" s="944" t="s">
        <v>189</v>
      </c>
      <c r="B57" s="804">
        <f>+B56+1</f>
        <v>55</v>
      </c>
      <c r="C57" s="805" t="s">
        <v>33</v>
      </c>
      <c r="D57" s="805" t="s">
        <v>559</v>
      </c>
      <c r="E57" s="949" t="s">
        <v>559</v>
      </c>
      <c r="F57" s="806" t="s">
        <v>36</v>
      </c>
      <c r="G57" s="807" t="s">
        <v>560</v>
      </c>
      <c r="H57" s="808" t="s">
        <v>561</v>
      </c>
      <c r="I57" s="809" t="s">
        <v>268</v>
      </c>
      <c r="J57" s="805" t="s">
        <v>183</v>
      </c>
      <c r="K57" s="805" t="s">
        <v>132</v>
      </c>
      <c r="L57" s="805" t="s">
        <v>195</v>
      </c>
      <c r="M57" s="805"/>
      <c r="N57" s="810" t="s">
        <v>562</v>
      </c>
      <c r="O57" s="811" t="s">
        <v>563</v>
      </c>
      <c r="P57" s="816" t="s">
        <v>564</v>
      </c>
      <c r="Q57" s="812" t="s">
        <v>558</v>
      </c>
      <c r="Y57" s="48"/>
      <c r="Z57" s="48"/>
      <c r="AA57" s="48"/>
      <c r="AB57" s="48"/>
      <c r="AC57" s="48"/>
      <c r="AD57" s="48"/>
      <c r="AE57" s="48"/>
      <c r="AF57" s="48"/>
      <c r="AG57" s="48"/>
      <c r="AH57" s="48"/>
      <c r="AI57" s="48"/>
      <c r="AJ57" s="48"/>
      <c r="AK57" s="235"/>
    </row>
    <row r="58" spans="1:37" ht="16.5">
      <c r="B58" s="5"/>
      <c r="C58" s="5"/>
      <c r="D58" s="5"/>
      <c r="E58" s="5"/>
      <c r="F58" s="5"/>
      <c r="G58" s="895"/>
      <c r="H58" s="896"/>
      <c r="J58" s="5"/>
      <c r="K58" s="5"/>
      <c r="L58" s="5"/>
      <c r="O58" s="897"/>
      <c r="P58" s="897"/>
    </row>
    <row r="59" spans="1:37" ht="19.5" customHeight="1">
      <c r="B59" s="5"/>
      <c r="C59" s="5"/>
      <c r="D59" s="5"/>
      <c r="E59" s="5"/>
      <c r="F59" s="409"/>
      <c r="G59" s="5"/>
      <c r="H59" s="828"/>
      <c r="K59" s="5"/>
    </row>
    <row r="62" spans="1:37" s="829" customFormat="1" ht="24">
      <c r="A62" s="829" t="s">
        <v>565</v>
      </c>
      <c r="B62" s="830">
        <v>14</v>
      </c>
      <c r="C62" s="830" t="s">
        <v>33</v>
      </c>
      <c r="D62" s="830"/>
      <c r="E62" s="830"/>
      <c r="F62" s="830" t="s">
        <v>36</v>
      </c>
      <c r="G62" s="830" t="s">
        <v>566</v>
      </c>
      <c r="H62" s="831" t="s">
        <v>567</v>
      </c>
      <c r="I62" s="830" t="s">
        <v>46</v>
      </c>
      <c r="J62" s="830" t="s">
        <v>97</v>
      </c>
      <c r="K62" s="830" t="s">
        <v>568</v>
      </c>
      <c r="L62" s="830" t="s">
        <v>42</v>
      </c>
      <c r="M62" s="830">
        <v>1</v>
      </c>
      <c r="N62" s="832" t="s">
        <v>397</v>
      </c>
      <c r="O62" s="832" t="s">
        <v>398</v>
      </c>
      <c r="P62" s="832" t="s">
        <v>569</v>
      </c>
      <c r="Q62" s="832" t="s">
        <v>570</v>
      </c>
      <c r="S62" s="833"/>
      <c r="T62" s="834"/>
      <c r="U62" s="834"/>
      <c r="V62" s="833"/>
      <c r="W62" s="834"/>
      <c r="X62" s="835"/>
      <c r="Y62" s="836"/>
      <c r="Z62" s="837"/>
      <c r="AA62" s="837"/>
      <c r="AB62" s="837"/>
      <c r="AC62" s="838"/>
      <c r="AD62" s="838"/>
      <c r="AE62" s="838"/>
      <c r="AF62" s="838"/>
      <c r="AG62" s="838"/>
      <c r="AH62" s="838"/>
      <c r="AI62" s="838"/>
      <c r="AJ62" s="838"/>
      <c r="AK62" s="839"/>
    </row>
    <row r="63" spans="1:37" s="829" customFormat="1" ht="33">
      <c r="A63" s="829" t="s">
        <v>565</v>
      </c>
      <c r="B63" s="830">
        <v>16</v>
      </c>
      <c r="C63" s="830" t="s">
        <v>135</v>
      </c>
      <c r="D63" s="830"/>
      <c r="E63" s="830"/>
      <c r="F63" s="830" t="s">
        <v>36</v>
      </c>
      <c r="G63" s="830"/>
      <c r="H63" s="840" t="s">
        <v>571</v>
      </c>
      <c r="I63" s="830" t="s">
        <v>205</v>
      </c>
      <c r="J63" s="830" t="s">
        <v>40</v>
      </c>
      <c r="K63" s="830" t="s">
        <v>568</v>
      </c>
      <c r="L63" s="830" t="s">
        <v>42</v>
      </c>
      <c r="M63" s="830">
        <v>1</v>
      </c>
      <c r="N63" s="832"/>
      <c r="O63" s="832"/>
      <c r="P63" s="832" t="s">
        <v>569</v>
      </c>
      <c r="Q63" s="832" t="s">
        <v>572</v>
      </c>
      <c r="S63" s="833"/>
      <c r="T63" s="834"/>
      <c r="U63" s="834"/>
      <c r="V63" s="833"/>
      <c r="W63" s="834"/>
      <c r="X63" s="835"/>
      <c r="Y63" s="833"/>
      <c r="Z63" s="834"/>
      <c r="AA63" s="834"/>
      <c r="AB63" s="834"/>
      <c r="AC63" s="841"/>
      <c r="AD63" s="841"/>
      <c r="AE63" s="841"/>
      <c r="AF63" s="841"/>
      <c r="AG63" s="841"/>
      <c r="AH63" s="841"/>
      <c r="AI63" s="841"/>
      <c r="AJ63" s="841"/>
      <c r="AK63" s="842"/>
    </row>
    <row r="64" spans="1:37" s="829" customFormat="1" ht="16.5">
      <c r="A64" s="829" t="s">
        <v>565</v>
      </c>
      <c r="B64" s="830">
        <v>17</v>
      </c>
      <c r="C64" s="830" t="s">
        <v>135</v>
      </c>
      <c r="D64" s="830" t="s">
        <v>573</v>
      </c>
      <c r="E64" s="830"/>
      <c r="F64" s="830" t="s">
        <v>36</v>
      </c>
      <c r="G64" s="830" t="s">
        <v>574</v>
      </c>
      <c r="H64" s="831" t="s">
        <v>575</v>
      </c>
      <c r="I64" s="830" t="s">
        <v>205</v>
      </c>
      <c r="J64" s="830" t="s">
        <v>183</v>
      </c>
      <c r="K64" s="830" t="s">
        <v>565</v>
      </c>
      <c r="L64" s="830" t="s">
        <v>42</v>
      </c>
      <c r="M64" s="830">
        <v>2</v>
      </c>
      <c r="N64" s="832" t="s">
        <v>496</v>
      </c>
      <c r="O64" s="832" t="s">
        <v>497</v>
      </c>
      <c r="P64" s="832" t="s">
        <v>569</v>
      </c>
      <c r="Q64" s="832"/>
      <c r="R64" s="843"/>
      <c r="S64" s="833"/>
      <c r="T64" s="834"/>
      <c r="U64" s="834"/>
      <c r="V64" s="833" t="s">
        <v>210</v>
      </c>
      <c r="W64" s="834" t="s">
        <v>135</v>
      </c>
      <c r="X64" s="835" t="s">
        <v>258</v>
      </c>
      <c r="Y64" s="833" t="s">
        <v>101</v>
      </c>
      <c r="Z64" s="834"/>
      <c r="AA64" s="834" t="s">
        <v>143</v>
      </c>
      <c r="AB64" s="834" t="s">
        <v>576</v>
      </c>
      <c r="AC64" s="844" t="s">
        <v>577</v>
      </c>
      <c r="AD64" s="844" t="s">
        <v>145</v>
      </c>
      <c r="AE64" s="844" t="s">
        <v>578</v>
      </c>
      <c r="AF64" s="844" t="s">
        <v>262</v>
      </c>
      <c r="AG64" s="844" t="s">
        <v>68</v>
      </c>
      <c r="AH64" s="845">
        <v>3</v>
      </c>
      <c r="AI64" s="846" t="s">
        <v>69</v>
      </c>
      <c r="AJ64" s="846" t="s">
        <v>106</v>
      </c>
      <c r="AK64" s="847" t="s">
        <v>147</v>
      </c>
    </row>
    <row r="65" spans="1:37" s="829" customFormat="1" ht="16.5">
      <c r="A65" s="829" t="s">
        <v>565</v>
      </c>
      <c r="B65" s="830">
        <v>18</v>
      </c>
      <c r="C65" s="830" t="s">
        <v>135</v>
      </c>
      <c r="D65" s="830" t="s">
        <v>579</v>
      </c>
      <c r="E65" s="830"/>
      <c r="F65" s="830" t="s">
        <v>36</v>
      </c>
      <c r="G65" s="830" t="s">
        <v>580</v>
      </c>
      <c r="H65" s="831" t="s">
        <v>581</v>
      </c>
      <c r="I65" s="830" t="s">
        <v>205</v>
      </c>
      <c r="J65" s="830" t="s">
        <v>183</v>
      </c>
      <c r="K65" s="830" t="s">
        <v>565</v>
      </c>
      <c r="L65" s="830" t="s">
        <v>42</v>
      </c>
      <c r="M65" s="830">
        <v>1</v>
      </c>
      <c r="N65" s="832" t="s">
        <v>582</v>
      </c>
      <c r="O65" s="832" t="s">
        <v>489</v>
      </c>
      <c r="P65" s="832" t="s">
        <v>569</v>
      </c>
      <c r="Q65" s="832"/>
      <c r="R65" s="843"/>
      <c r="S65" s="848"/>
      <c r="T65" s="834"/>
      <c r="U65" s="834"/>
      <c r="V65" s="848" t="s">
        <v>210</v>
      </c>
      <c r="W65" s="834" t="s">
        <v>135</v>
      </c>
      <c r="X65" s="835" t="s">
        <v>258</v>
      </c>
      <c r="Y65" s="833" t="s">
        <v>101</v>
      </c>
      <c r="Z65" s="834"/>
      <c r="AA65" s="834" t="s">
        <v>143</v>
      </c>
      <c r="AB65" s="834" t="s">
        <v>583</v>
      </c>
      <c r="AC65" s="844" t="s">
        <v>577</v>
      </c>
      <c r="AD65" s="844" t="s">
        <v>145</v>
      </c>
      <c r="AE65" s="844" t="s">
        <v>584</v>
      </c>
      <c r="AF65" s="844" t="s">
        <v>262</v>
      </c>
      <c r="AG65" s="844" t="s">
        <v>68</v>
      </c>
      <c r="AH65" s="845">
        <v>3</v>
      </c>
      <c r="AI65" s="846" t="s">
        <v>69</v>
      </c>
      <c r="AJ65" s="846" t="s">
        <v>106</v>
      </c>
      <c r="AK65" s="847" t="s">
        <v>147</v>
      </c>
    </row>
    <row r="66" spans="1:37" s="829" customFormat="1" ht="24">
      <c r="A66" s="829" t="s">
        <v>565</v>
      </c>
      <c r="B66" s="830">
        <v>27</v>
      </c>
      <c r="C66" s="830" t="s">
        <v>33</v>
      </c>
      <c r="D66" s="830" t="s">
        <v>585</v>
      </c>
      <c r="E66" s="830"/>
      <c r="F66" s="830" t="s">
        <v>36</v>
      </c>
      <c r="G66" s="830" t="s">
        <v>586</v>
      </c>
      <c r="H66" s="831" t="s">
        <v>587</v>
      </c>
      <c r="I66" s="830" t="s">
        <v>268</v>
      </c>
      <c r="J66" s="830" t="s">
        <v>40</v>
      </c>
      <c r="K66" s="830" t="s">
        <v>568</v>
      </c>
      <c r="L66" s="830" t="s">
        <v>42</v>
      </c>
      <c r="M66" s="830">
        <v>1</v>
      </c>
      <c r="N66" s="832" t="s">
        <v>588</v>
      </c>
      <c r="O66" s="832" t="s">
        <v>589</v>
      </c>
      <c r="P66" s="832" t="s">
        <v>569</v>
      </c>
      <c r="Q66" s="832" t="s">
        <v>590</v>
      </c>
      <c r="S66" s="833"/>
      <c r="T66" s="834"/>
      <c r="U66" s="834"/>
      <c r="V66" s="833" t="s">
        <v>272</v>
      </c>
      <c r="W66" s="834" t="s">
        <v>33</v>
      </c>
      <c r="X66" s="835" t="s">
        <v>129</v>
      </c>
      <c r="Y66" s="833" t="s">
        <v>101</v>
      </c>
      <c r="Z66" s="834"/>
      <c r="AA66" s="834" t="s">
        <v>49</v>
      </c>
      <c r="AB66" s="834"/>
      <c r="AC66" s="849" t="s">
        <v>591</v>
      </c>
      <c r="AD66" s="849" t="s">
        <v>79</v>
      </c>
      <c r="AE66" s="849" t="s">
        <v>592</v>
      </c>
      <c r="AF66" s="849"/>
      <c r="AG66" s="849" t="s">
        <v>132</v>
      </c>
      <c r="AH66" s="850">
        <v>5</v>
      </c>
      <c r="AI66" s="846" t="s">
        <v>81</v>
      </c>
      <c r="AJ66" s="851" t="s">
        <v>593</v>
      </c>
      <c r="AK66" s="847" t="s">
        <v>594</v>
      </c>
    </row>
    <row r="67" spans="1:37" s="829" customFormat="1" ht="16.5">
      <c r="A67" s="829" t="s">
        <v>565</v>
      </c>
      <c r="B67" s="830">
        <v>35</v>
      </c>
      <c r="C67" s="830" t="s">
        <v>595</v>
      </c>
      <c r="D67" s="830" t="s">
        <v>596</v>
      </c>
      <c r="E67" s="830"/>
      <c r="F67" s="830" t="s">
        <v>36</v>
      </c>
      <c r="G67" s="830" t="s">
        <v>597</v>
      </c>
      <c r="H67" s="831" t="s">
        <v>598</v>
      </c>
      <c r="I67" s="830" t="s">
        <v>268</v>
      </c>
      <c r="J67" s="830" t="s">
        <v>183</v>
      </c>
      <c r="K67" s="830" t="s">
        <v>565</v>
      </c>
      <c r="L67" s="830" t="s">
        <v>42</v>
      </c>
      <c r="M67" s="830">
        <v>2</v>
      </c>
      <c r="N67" s="832" t="s">
        <v>599</v>
      </c>
      <c r="O67" s="832" t="s">
        <v>600</v>
      </c>
      <c r="P67" s="832" t="s">
        <v>569</v>
      </c>
      <c r="Q67" s="832" t="s">
        <v>601</v>
      </c>
      <c r="S67" s="833"/>
      <c r="T67" s="834"/>
      <c r="U67" s="834"/>
      <c r="V67" s="833" t="s">
        <v>272</v>
      </c>
      <c r="W67" s="834" t="s">
        <v>595</v>
      </c>
      <c r="X67" s="835" t="s">
        <v>47</v>
      </c>
      <c r="Y67" s="833" t="s">
        <v>101</v>
      </c>
      <c r="Z67" s="834"/>
      <c r="AA67" s="834" t="s">
        <v>49</v>
      </c>
      <c r="AB67" s="834"/>
      <c r="AC67" s="844"/>
      <c r="AD67" s="852" t="s">
        <v>602</v>
      </c>
      <c r="AE67" s="844" t="s">
        <v>603</v>
      </c>
      <c r="AF67" s="844"/>
      <c r="AG67" s="844" t="s">
        <v>53</v>
      </c>
      <c r="AH67" s="845">
        <v>1</v>
      </c>
      <c r="AI67" s="846" t="s">
        <v>69</v>
      </c>
      <c r="AJ67" s="846" t="s">
        <v>106</v>
      </c>
      <c r="AK67" s="853" t="s">
        <v>604</v>
      </c>
    </row>
    <row r="68" spans="1:37" s="829" customFormat="1" ht="24">
      <c r="A68" s="829" t="s">
        <v>568</v>
      </c>
      <c r="B68" s="854">
        <f>+B33+1</f>
        <v>32</v>
      </c>
      <c r="C68" s="854" t="s">
        <v>33</v>
      </c>
      <c r="D68" s="854" t="s">
        <v>134</v>
      </c>
      <c r="E68" s="854"/>
      <c r="F68" s="830" t="s">
        <v>36</v>
      </c>
      <c r="G68" s="854" t="s">
        <v>605</v>
      </c>
      <c r="H68" s="855" t="s">
        <v>606</v>
      </c>
      <c r="I68" s="854" t="s">
        <v>268</v>
      </c>
      <c r="J68" s="854"/>
      <c r="K68" s="854" t="s">
        <v>568</v>
      </c>
      <c r="L68" s="856"/>
      <c r="M68" s="854"/>
      <c r="N68" s="856"/>
      <c r="O68" s="857"/>
      <c r="P68" s="832" t="s">
        <v>569</v>
      </c>
      <c r="Q68" s="858" t="s">
        <v>607</v>
      </c>
      <c r="S68" s="859"/>
      <c r="T68" s="838"/>
      <c r="U68" s="838"/>
      <c r="V68" s="859" t="s">
        <v>64</v>
      </c>
      <c r="W68" s="838" t="s">
        <v>33</v>
      </c>
      <c r="X68" s="860" t="s">
        <v>402</v>
      </c>
      <c r="Y68" s="861" t="s">
        <v>101</v>
      </c>
      <c r="Z68" s="862"/>
      <c r="AA68" s="862" t="s">
        <v>143</v>
      </c>
      <c r="AB68" s="841"/>
      <c r="AC68" s="841" t="s">
        <v>193</v>
      </c>
      <c r="AD68" s="841" t="s">
        <v>608</v>
      </c>
      <c r="AE68" s="841" t="s">
        <v>609</v>
      </c>
      <c r="AF68" s="863" t="s">
        <v>610</v>
      </c>
      <c r="AG68" s="841" t="s">
        <v>611</v>
      </c>
      <c r="AH68" s="841">
        <v>5</v>
      </c>
      <c r="AI68" s="841" t="s">
        <v>612</v>
      </c>
      <c r="AJ68" s="841" t="s">
        <v>106</v>
      </c>
      <c r="AK68" s="842" t="s">
        <v>134</v>
      </c>
    </row>
    <row r="69" spans="1:37" s="829" customFormat="1" ht="36">
      <c r="A69" s="829" t="s">
        <v>568</v>
      </c>
      <c r="B69" s="854">
        <f>+B68+1</f>
        <v>33</v>
      </c>
      <c r="C69" s="854" t="s">
        <v>33</v>
      </c>
      <c r="D69" s="854" t="s">
        <v>134</v>
      </c>
      <c r="E69" s="854"/>
      <c r="F69" s="830" t="s">
        <v>36</v>
      </c>
      <c r="G69" s="854" t="s">
        <v>192</v>
      </c>
      <c r="H69" s="855" t="s">
        <v>613</v>
      </c>
      <c r="I69" s="854" t="s">
        <v>268</v>
      </c>
      <c r="J69" s="854"/>
      <c r="K69" s="854" t="s">
        <v>568</v>
      </c>
      <c r="L69" s="856"/>
      <c r="M69" s="854"/>
      <c r="N69" s="856"/>
      <c r="O69" s="857"/>
      <c r="P69" s="832" t="s">
        <v>569</v>
      </c>
      <c r="Q69" s="858" t="s">
        <v>614</v>
      </c>
      <c r="S69" s="864"/>
      <c r="T69" s="841"/>
      <c r="U69" s="841"/>
      <c r="V69" s="864" t="s">
        <v>64</v>
      </c>
      <c r="W69" s="841" t="s">
        <v>33</v>
      </c>
      <c r="X69" s="865" t="s">
        <v>402</v>
      </c>
      <c r="Y69" s="861" t="s">
        <v>101</v>
      </c>
      <c r="Z69" s="862"/>
      <c r="AA69" s="862" t="s">
        <v>143</v>
      </c>
      <c r="AB69" s="841"/>
      <c r="AC69" s="841" t="s">
        <v>615</v>
      </c>
      <c r="AD69" s="841" t="s">
        <v>608</v>
      </c>
      <c r="AE69" s="841" t="s">
        <v>609</v>
      </c>
      <c r="AF69" s="863" t="s">
        <v>610</v>
      </c>
      <c r="AG69" s="841" t="s">
        <v>611</v>
      </c>
      <c r="AH69" s="841">
        <v>5</v>
      </c>
      <c r="AI69" s="841" t="s">
        <v>612</v>
      </c>
      <c r="AJ69" s="841" t="s">
        <v>106</v>
      </c>
      <c r="AK69" s="842" t="s">
        <v>134</v>
      </c>
    </row>
    <row r="70" spans="1:37" s="829" customFormat="1" ht="16.5">
      <c r="A70" s="829" t="s">
        <v>565</v>
      </c>
      <c r="B70" s="854">
        <f>+B69+1</f>
        <v>34</v>
      </c>
      <c r="C70" s="854" t="s">
        <v>33</v>
      </c>
      <c r="D70" s="854" t="s">
        <v>134</v>
      </c>
      <c r="E70" s="854"/>
      <c r="F70" s="830" t="s">
        <v>36</v>
      </c>
      <c r="G70" s="866" t="s">
        <v>616</v>
      </c>
      <c r="H70" s="867" t="s">
        <v>617</v>
      </c>
      <c r="I70" s="854" t="s">
        <v>268</v>
      </c>
      <c r="J70" s="854"/>
      <c r="K70" s="854" t="s">
        <v>568</v>
      </c>
      <c r="L70" s="856"/>
      <c r="M70" s="854"/>
      <c r="N70" s="856"/>
      <c r="O70" s="857"/>
      <c r="P70" s="832" t="s">
        <v>569</v>
      </c>
      <c r="Q70" s="866" t="s">
        <v>618</v>
      </c>
      <c r="S70" s="864"/>
      <c r="T70" s="841"/>
      <c r="U70" s="841"/>
      <c r="V70" s="864" t="s">
        <v>272</v>
      </c>
      <c r="W70" s="841" t="s">
        <v>33</v>
      </c>
      <c r="X70" s="865" t="s">
        <v>402</v>
      </c>
      <c r="Y70" s="861" t="s">
        <v>48</v>
      </c>
      <c r="Z70" s="862"/>
      <c r="AA70" s="862" t="s">
        <v>49</v>
      </c>
      <c r="AB70" s="841"/>
      <c r="AC70" s="841" t="s">
        <v>619</v>
      </c>
      <c r="AD70" s="841" t="s">
        <v>411</v>
      </c>
      <c r="AE70" s="841" t="s">
        <v>620</v>
      </c>
      <c r="AF70" s="841" t="s">
        <v>621</v>
      </c>
      <c r="AG70" s="841" t="s">
        <v>402</v>
      </c>
      <c r="AH70" s="841">
        <v>5</v>
      </c>
      <c r="AI70" s="841" t="s">
        <v>622</v>
      </c>
      <c r="AJ70" s="841" t="s">
        <v>106</v>
      </c>
      <c r="AK70" s="842" t="s">
        <v>134</v>
      </c>
    </row>
    <row r="71" spans="1:37" s="829" customFormat="1" ht="16.5">
      <c r="A71" s="829" t="s">
        <v>565</v>
      </c>
      <c r="B71" s="854">
        <f>+B34+1</f>
        <v>33</v>
      </c>
      <c r="C71" s="854" t="s">
        <v>135</v>
      </c>
      <c r="D71" s="854" t="s">
        <v>134</v>
      </c>
      <c r="E71" s="854"/>
      <c r="F71" s="830" t="s">
        <v>36</v>
      </c>
      <c r="G71" s="854" t="s">
        <v>623</v>
      </c>
      <c r="H71" s="855" t="s">
        <v>624</v>
      </c>
      <c r="I71" s="854" t="s">
        <v>205</v>
      </c>
      <c r="J71" s="854"/>
      <c r="K71" s="854" t="s">
        <v>568</v>
      </c>
      <c r="L71" s="856"/>
      <c r="M71" s="854"/>
      <c r="N71" s="856"/>
      <c r="O71" s="857"/>
      <c r="P71" s="832" t="s">
        <v>569</v>
      </c>
      <c r="Q71" s="854" t="s">
        <v>618</v>
      </c>
      <c r="S71" s="864"/>
      <c r="T71" s="841"/>
      <c r="U71" s="841"/>
      <c r="V71" s="864" t="s">
        <v>210</v>
      </c>
      <c r="W71" s="841" t="s">
        <v>135</v>
      </c>
      <c r="X71" s="865" t="s">
        <v>402</v>
      </c>
      <c r="Y71" s="861" t="s">
        <v>48</v>
      </c>
      <c r="Z71" s="862"/>
      <c r="AA71" s="862" t="s">
        <v>49</v>
      </c>
      <c r="AB71" s="841"/>
      <c r="AC71" s="841" t="s">
        <v>625</v>
      </c>
      <c r="AD71" s="841" t="s">
        <v>135</v>
      </c>
      <c r="AE71" s="841" t="s">
        <v>402</v>
      </c>
      <c r="AF71" s="841"/>
      <c r="AG71" s="841" t="s">
        <v>402</v>
      </c>
      <c r="AH71" s="841">
        <v>5</v>
      </c>
      <c r="AI71" s="841" t="s">
        <v>622</v>
      </c>
      <c r="AJ71" s="841" t="s">
        <v>81</v>
      </c>
      <c r="AK71" s="842" t="s">
        <v>134</v>
      </c>
    </row>
    <row r="72" spans="1:37" s="829" customFormat="1" ht="16.5">
      <c r="A72" s="829" t="s">
        <v>565</v>
      </c>
      <c r="B72" s="854">
        <f>+B44+1</f>
        <v>43</v>
      </c>
      <c r="C72" s="854" t="s">
        <v>135</v>
      </c>
      <c r="D72" s="854" t="s">
        <v>134</v>
      </c>
      <c r="E72" s="854"/>
      <c r="F72" s="830" t="s">
        <v>36</v>
      </c>
      <c r="G72" s="854" t="s">
        <v>626</v>
      </c>
      <c r="H72" s="868" t="s">
        <v>627</v>
      </c>
      <c r="I72" s="854" t="s">
        <v>565</v>
      </c>
      <c r="J72" s="854"/>
      <c r="K72" s="854" t="s">
        <v>568</v>
      </c>
      <c r="L72" s="854" t="s">
        <v>195</v>
      </c>
      <c r="M72" s="854"/>
      <c r="N72" s="856"/>
      <c r="O72" s="857"/>
      <c r="P72" s="832" t="s">
        <v>569</v>
      </c>
      <c r="Q72" s="854" t="s">
        <v>628</v>
      </c>
      <c r="S72" s="864"/>
      <c r="T72" s="841"/>
      <c r="U72" s="841"/>
      <c r="V72" s="864" t="s">
        <v>64</v>
      </c>
      <c r="W72" s="841" t="s">
        <v>135</v>
      </c>
      <c r="X72" s="865" t="s">
        <v>402</v>
      </c>
      <c r="Y72" s="864"/>
      <c r="Z72" s="841"/>
      <c r="AA72" s="841"/>
      <c r="AB72" s="841"/>
      <c r="AC72" s="841"/>
      <c r="AD72" s="841" t="s">
        <v>135</v>
      </c>
      <c r="AE72" s="841" t="s">
        <v>423</v>
      </c>
      <c r="AF72" s="841"/>
      <c r="AG72" s="841"/>
      <c r="AH72" s="841"/>
      <c r="AI72" s="841"/>
      <c r="AJ72" s="841"/>
      <c r="AK72" s="842"/>
    </row>
    <row r="73" spans="1:37" s="829" customFormat="1" ht="16.5">
      <c r="A73" s="829" t="s">
        <v>565</v>
      </c>
      <c r="B73" s="854">
        <f>+B72+1</f>
        <v>44</v>
      </c>
      <c r="C73" s="854" t="s">
        <v>135</v>
      </c>
      <c r="D73" s="854" t="s">
        <v>134</v>
      </c>
      <c r="E73" s="854"/>
      <c r="F73" s="830" t="s">
        <v>36</v>
      </c>
      <c r="G73" s="854" t="s">
        <v>629</v>
      </c>
      <c r="H73" s="868" t="s">
        <v>630</v>
      </c>
      <c r="I73" s="854" t="s">
        <v>565</v>
      </c>
      <c r="J73" s="854"/>
      <c r="K73" s="854" t="s">
        <v>568</v>
      </c>
      <c r="L73" s="854" t="s">
        <v>195</v>
      </c>
      <c r="M73" s="854"/>
      <c r="N73" s="856"/>
      <c r="O73" s="857"/>
      <c r="P73" s="832" t="s">
        <v>569</v>
      </c>
      <c r="Q73" s="854" t="s">
        <v>631</v>
      </c>
      <c r="S73" s="864"/>
      <c r="T73" s="841"/>
      <c r="U73" s="841"/>
      <c r="V73" s="864" t="s">
        <v>64</v>
      </c>
      <c r="W73" s="841" t="s">
        <v>135</v>
      </c>
      <c r="X73" s="865" t="s">
        <v>402</v>
      </c>
      <c r="Y73" s="864"/>
      <c r="Z73" s="841"/>
      <c r="AA73" s="841"/>
      <c r="AB73" s="841"/>
      <c r="AC73" s="841"/>
      <c r="AD73" s="841" t="s">
        <v>135</v>
      </c>
      <c r="AE73" s="841" t="s">
        <v>423</v>
      </c>
      <c r="AF73" s="841"/>
      <c r="AG73" s="841"/>
      <c r="AH73" s="841"/>
      <c r="AI73" s="841"/>
      <c r="AJ73" s="841"/>
      <c r="AK73" s="842"/>
    </row>
    <row r="74" spans="1:37" s="829" customFormat="1" ht="16.5">
      <c r="A74" s="829" t="s">
        <v>565</v>
      </c>
      <c r="B74" s="854">
        <f>+B73+1</f>
        <v>45</v>
      </c>
      <c r="C74" s="854" t="s">
        <v>135</v>
      </c>
      <c r="D74" s="854" t="s">
        <v>134</v>
      </c>
      <c r="E74" s="854"/>
      <c r="F74" s="830" t="s">
        <v>36</v>
      </c>
      <c r="G74" s="854" t="s">
        <v>632</v>
      </c>
      <c r="H74" s="868" t="s">
        <v>633</v>
      </c>
      <c r="I74" s="854" t="s">
        <v>565</v>
      </c>
      <c r="J74" s="854"/>
      <c r="K74" s="854" t="s">
        <v>568</v>
      </c>
      <c r="L74" s="854" t="s">
        <v>195</v>
      </c>
      <c r="M74" s="854"/>
      <c r="N74" s="856"/>
      <c r="O74" s="857"/>
      <c r="P74" s="832" t="s">
        <v>569</v>
      </c>
      <c r="Q74" s="854" t="s">
        <v>631</v>
      </c>
      <c r="S74" s="864"/>
      <c r="T74" s="841"/>
      <c r="U74" s="841"/>
      <c r="V74" s="864" t="s">
        <v>64</v>
      </c>
      <c r="W74" s="841" t="s">
        <v>135</v>
      </c>
      <c r="X74" s="865" t="s">
        <v>402</v>
      </c>
      <c r="Y74" s="864"/>
      <c r="Z74" s="841"/>
      <c r="AA74" s="841"/>
      <c r="AB74" s="841"/>
      <c r="AC74" s="841"/>
      <c r="AD74" s="841" t="s">
        <v>135</v>
      </c>
      <c r="AE74" s="841" t="s">
        <v>423</v>
      </c>
      <c r="AF74" s="841"/>
      <c r="AG74" s="841"/>
      <c r="AH74" s="841"/>
      <c r="AI74" s="841"/>
      <c r="AJ74" s="841"/>
      <c r="AK74" s="842"/>
    </row>
    <row r="75" spans="1:37" s="829" customFormat="1" ht="36">
      <c r="A75" s="829" t="s">
        <v>565</v>
      </c>
      <c r="B75" s="854">
        <f>+B48+1</f>
        <v>47</v>
      </c>
      <c r="C75" s="854" t="s">
        <v>33</v>
      </c>
      <c r="D75" s="854" t="s">
        <v>134</v>
      </c>
      <c r="E75" s="854"/>
      <c r="F75" s="854" t="s">
        <v>36</v>
      </c>
      <c r="G75" s="830" t="s">
        <v>634</v>
      </c>
      <c r="H75" s="868" t="s">
        <v>635</v>
      </c>
      <c r="I75" s="854" t="s">
        <v>46</v>
      </c>
      <c r="J75" s="854"/>
      <c r="K75" s="854" t="s">
        <v>568</v>
      </c>
      <c r="L75" s="856"/>
      <c r="M75" s="854"/>
      <c r="N75" s="856"/>
      <c r="O75" s="857"/>
      <c r="P75" s="832" t="s">
        <v>569</v>
      </c>
      <c r="Q75" s="858" t="s">
        <v>636</v>
      </c>
      <c r="Y75" s="864"/>
      <c r="Z75" s="841"/>
      <c r="AA75" s="841"/>
      <c r="AB75" s="841"/>
      <c r="AC75" s="841"/>
      <c r="AD75" s="841"/>
      <c r="AE75" s="841"/>
      <c r="AF75" s="841"/>
      <c r="AG75" s="841"/>
      <c r="AH75" s="841"/>
      <c r="AI75" s="841"/>
      <c r="AJ75" s="841"/>
      <c r="AK75" s="842"/>
    </row>
    <row r="76" spans="1:37" s="829" customFormat="1" ht="36">
      <c r="A76" s="829" t="s">
        <v>565</v>
      </c>
      <c r="B76" s="866">
        <f>+B37+1</f>
        <v>36</v>
      </c>
      <c r="C76" s="866" t="s">
        <v>415</v>
      </c>
      <c r="D76" s="866" t="s">
        <v>134</v>
      </c>
      <c r="E76" s="866"/>
      <c r="F76" s="869" t="s">
        <v>36</v>
      </c>
      <c r="G76" s="866" t="s">
        <v>637</v>
      </c>
      <c r="H76" s="870" t="s">
        <v>638</v>
      </c>
      <c r="I76" s="866" t="s">
        <v>210</v>
      </c>
      <c r="J76" s="866"/>
      <c r="K76" s="866" t="s">
        <v>402</v>
      </c>
      <c r="L76" s="866"/>
      <c r="M76" s="866"/>
      <c r="N76" s="871"/>
      <c r="O76" s="872"/>
      <c r="P76" s="832" t="s">
        <v>569</v>
      </c>
      <c r="Q76" s="873" t="s">
        <v>639</v>
      </c>
      <c r="S76" s="864"/>
      <c r="T76" s="841"/>
      <c r="U76" s="841"/>
      <c r="V76" s="864" t="s">
        <v>210</v>
      </c>
      <c r="W76" s="841" t="s">
        <v>415</v>
      </c>
      <c r="X76" s="865" t="s">
        <v>402</v>
      </c>
      <c r="Y76" s="864"/>
      <c r="Z76" s="841"/>
      <c r="AA76" s="841"/>
      <c r="AB76" s="841"/>
      <c r="AC76" s="841" t="s">
        <v>640</v>
      </c>
      <c r="AD76" s="841" t="s">
        <v>415</v>
      </c>
      <c r="AE76" s="841" t="s">
        <v>423</v>
      </c>
      <c r="AF76" s="874"/>
      <c r="AG76" s="841" t="s">
        <v>402</v>
      </c>
      <c r="AH76" s="841">
        <v>5</v>
      </c>
      <c r="AI76" s="841"/>
      <c r="AJ76" s="841"/>
      <c r="AK76" s="842"/>
    </row>
    <row r="77" spans="1:37" s="829" customFormat="1" ht="60">
      <c r="A77" s="829" t="s">
        <v>565</v>
      </c>
      <c r="B77" s="854">
        <f>+B53+1</f>
        <v>52</v>
      </c>
      <c r="C77" s="854" t="s">
        <v>33</v>
      </c>
      <c r="D77" s="854" t="s">
        <v>134</v>
      </c>
      <c r="E77" s="854"/>
      <c r="F77" s="854" t="s">
        <v>36</v>
      </c>
      <c r="G77" s="830" t="s">
        <v>641</v>
      </c>
      <c r="H77" s="868" t="s">
        <v>642</v>
      </c>
      <c r="I77" s="854" t="s">
        <v>268</v>
      </c>
      <c r="J77" s="854"/>
      <c r="K77" s="854" t="s">
        <v>402</v>
      </c>
      <c r="L77" s="854" t="s">
        <v>195</v>
      </c>
      <c r="M77" s="854"/>
      <c r="N77" s="856"/>
      <c r="O77" s="857"/>
      <c r="P77" s="832" t="s">
        <v>569</v>
      </c>
      <c r="Q77" s="858" t="s">
        <v>643</v>
      </c>
      <c r="Y77" s="875"/>
      <c r="Z77" s="876"/>
      <c r="AA77" s="876"/>
      <c r="AB77" s="876"/>
      <c r="AC77" s="876"/>
      <c r="AD77" s="876"/>
      <c r="AE77" s="876"/>
      <c r="AF77" s="876"/>
      <c r="AG77" s="876"/>
      <c r="AH77" s="876"/>
      <c r="AI77" s="876"/>
      <c r="AJ77" s="876"/>
      <c r="AK77" s="877"/>
    </row>
    <row r="80" spans="1:37" ht="19.5" customHeight="1">
      <c r="D80" s="4" t="s">
        <v>137</v>
      </c>
      <c r="E80" s="4" t="s">
        <v>137</v>
      </c>
    </row>
  </sheetData>
  <phoneticPr fontId="4" type="noConversion"/>
  <hyperlinks>
    <hyperlink ref="H3" location="조직도!A1" display="조직도" xr:uid="{FB29BB50-634B-486B-9A32-74515D7B2D4D}"/>
    <hyperlink ref="H4" location="'자재마스터(영업조직)'!A1" display="자재마스터(영업조직: CP)" xr:uid="{4F7B0930-94C9-4C38-A519-3DA4D94BB84E}"/>
    <hyperlink ref="H5" location="'자재마스터(플랜트)'!A1" display="자재마스터(플랜트: SP)" xr:uid="{B5698AF2-6FA5-483E-B022-4E20CA0DED8D}"/>
    <hyperlink ref="H6" location="'자재단가(판가)'!A1" display="자재 단가" xr:uid="{64BB49EC-E89B-4FAF-9F74-D634E89A1AA1}"/>
    <hyperlink ref="H7" location="NPD자재목록!A1" display="NPD 자재 목록" xr:uid="{072AE003-F69C-4AAB-B686-4993BF0A9713}"/>
    <hyperlink ref="H8" location="제품허가정보!A1" display="제품 허가 정보" xr:uid="{EFCE39FF-58F6-4091-9E24-DF46F82E1977}"/>
    <hyperlink ref="H9" location="단종품의완료!A1" display="단종 품의 완료 상태" xr:uid="{91E66655-CC45-44B1-9381-717BE916B5F0}"/>
    <hyperlink ref="H10" location="SKU현황!A1" display="SKU 현황" xr:uid="{CD21153E-86BF-4AFC-A6E7-21A7AAC8ACFD}"/>
    <hyperlink ref="H11" location="SKU_IN일정!A1" display="SKU In 일정" xr:uid="{4C2263C7-9018-4C48-A45A-5DE286541567}"/>
    <hyperlink ref="H12" location="자재대체단위!A1" display="자재마스터 대체단위 인터페이스 매핑구조" xr:uid="{F5482CCC-F14E-4D54-BDE3-08B42F63DB5F}"/>
    <hyperlink ref="H13" location="자재원가!A1" display="자재마스터 원가정보" xr:uid="{15D8A6A0-64C7-4DCD-B244-E7EC789AD1CD}"/>
    <hyperlink ref="H14" location="재고!A1" display="재고" xr:uid="{B7CB5C4E-63D8-47A0-9C2F-A2595CF63C21}"/>
    <hyperlink ref="H62" location="플랜트저장위치마스터!A1" display="플랜트 저장위치 매핑 마스터" xr:uid="{81A0E14A-B750-4E93-A740-323620536C7A}"/>
    <hyperlink ref="H16" location="거래처!A1" display="거래처마스터" xr:uid="{D5785D7D-FFC6-4FCC-A4C2-C0BD3F339B2C}"/>
    <hyperlink ref="H64" location="주문결품정보!A1" display="주문 실적/결품 수량" xr:uid="{5760C2B2-A365-4F3E-A130-F86ADED3F92E}"/>
    <hyperlink ref="H65" location="판매실적!A1" display="판매 실적" xr:uid="{4B2F03AC-FCB9-495E-B424-4E6AE39169A1}"/>
    <hyperlink ref="H17" location="SKU목표!A1" display="SKU 목표" xr:uid="{D5A29DF1-9058-4CE5-A592-D0735AC8290E}"/>
    <hyperlink ref="H18" location="기준환율!A1" display="기준환율" xr:uid="{219287EF-E3B1-4331-BD20-76EA7091F979}"/>
    <hyperlink ref="H19" location="수출진행모니터링!A1" display="수출 진행 모니터링" xr:uid="{7A5B1DD1-C0DC-4F4B-8AC5-33964D87A239}"/>
    <hyperlink ref="H20" location="거래처재고!A1" display="거래처 재고" xr:uid="{7C245C13-072D-44B0-9863-B61605641FDF}"/>
    <hyperlink ref="H21" location="기타수요!A1" display="기타 수요(잡출)" xr:uid="{635BEF3A-AA28-4805-93F0-5D0753CCF008}"/>
    <hyperlink ref="H22" location="'BOM'!A1" display="BOM Master" xr:uid="{7350DB20-56E4-45C2-B68B-47E31DD3DA36}"/>
    <hyperlink ref="H23" location="작업장마스터!A1" display="작업장 마스터" xr:uid="{5D91479D-90E4-4ADC-BF2A-FC097E5C01D0}"/>
    <hyperlink ref="H66" location="ROS!A1" display="ROS" xr:uid="{5B2FA8D4-7C23-4343-B42B-07A9757CBBD8}"/>
    <hyperlink ref="H24" location="생산오더!A1" display="생산 오더" xr:uid="{9FE83778-09CC-4998-AB68-5BBCDF22A4AB}"/>
    <hyperlink ref="H25" location="'구매오더'!A1" display="구매오더" xr:uid="{B8578AB8-5FAA-47B4-B657-A31E37D352DD}"/>
    <hyperlink ref="H26" location="'구매오더 (ODM 원부자재)'!A1" display="구매정보 (ODM 원부자재)" xr:uid="{AAEF9110-651A-499B-8000-C4FDF256BE36}"/>
    <hyperlink ref="H27" location="협력사마스터!A1" display="협력사 마스터" xr:uid="{194CAD65-A5F3-4583-9865-7021D425ACDD}"/>
    <hyperlink ref="H28" location="가용화입고실적!A1" display="가용화 입고 실적" xr:uid="{D4DE09E2-ADF3-4432-B13A-E69AE3035323}"/>
    <hyperlink ref="H67" location="'협력사재고(원부자재)'!A1" display="협력사 원부자재 재고" xr:uid="{5FCFA1F1-CD59-4E38-AEDF-CA039F0931BB}"/>
    <hyperlink ref="H29" location="'SOP잔량(선적잔량)'!A1" display="SOP 잔량 정보" xr:uid="{3A83CB94-5F3C-4CE0-9F66-02E908C22753}"/>
    <hyperlink ref="H30" location="반제품_포장재_재고!A1" display="반제품 포장재 MD04 재고" xr:uid="{77DF2251-D13E-4BBC-A851-E70DDBBDC2A2}"/>
    <hyperlink ref="H31" location="Role권한승인!A1" display="Role 권한 승인 정보" xr:uid="{DA3E3D80-2E30-4746-B841-BBE23E51C0E3}"/>
    <hyperlink ref="H32" location="계정승인!A1" display="계정 승인 정보" xr:uid="{CC80EE7B-9F44-452F-8338-BE0E066DD098}"/>
    <hyperlink ref="H33" location="CP코드마스터!A1" display="CP 코드 마스터" xr:uid="{5F19A018-59CA-4F28-AE39-EDB33C1F2CE3}"/>
    <hyperlink ref="H35" location="'공장달력 인터페이스'!A1" display="공장달력 인터페이스" xr:uid="{7A67F144-BBFF-47E9-9A20-6E8AFCD24060}"/>
    <hyperlink ref="H36" location="'유통사 판매 재고'!A1" display="거래처 협업 유통사 판매 재고" xr:uid="{F7B14D8E-EA7C-4B66-AF50-FA3C45482A8A}"/>
    <hyperlink ref="H37" location="'유통사 판매 재고_월'!A1" display="거래처 협업 유통사 판매 재고(월)" xr:uid="{4705364C-44AE-4A24-BCA5-EB091F006B75}"/>
    <hyperlink ref="H76" location="'유통사 오더수량'!A1" display="유통사 오더 수량" xr:uid="{027A386F-B59A-4CC2-8A0A-6ADDA4C0CAB5}"/>
    <hyperlink ref="H38" location="'재고 Aging 상태'!A1" display="재고 Aging 상태" xr:uid="{444029F6-1361-4BE8-B195-9F919BD442E6}"/>
    <hyperlink ref="H39" location="엔진상품리스트!A1" display="엔진상품 리스트" xr:uid="{1B96412F-5A71-4C34-9DC7-53BF73E5A03A}"/>
    <hyperlink ref="H40" location="'DP-42-1.자재정보추가_BW'!A1" display="DP-42-1.  자재정보추가_BW" xr:uid="{DCC74F25-24C8-4386-B282-54E6F1A3CC02}"/>
    <hyperlink ref="H41" location="'DP-42-2.자재정보추가_BW'!A1" display="DP-42-2.  자재정보추가_BW" xr:uid="{038C5931-BE60-4672-9D73-9B3FA99B34C6}"/>
    <hyperlink ref="H42" location="'DP-42-3.자재정보추가_BW'!A1" display="DP-42-3.  자재정보추가_BW" xr:uid="{F70DBF9A-9CDD-4937-AC7F-E2719968A661}"/>
    <hyperlink ref="H43" location="'DP-43-1.거래처정보추가_BW'!A1" display="DP-43-1. 거래처정보추가_BW" xr:uid="{888F377E-C36B-45D2-9CA2-687834223B8C}"/>
    <hyperlink ref="H44" location="'DP-43-2.거래처정보추가_BW'!A1" display="DP-43-2. 거래처정보추가_BW" xr:uid="{E74C60AF-4AA7-46B0-8E25-7A71A677A9A5}"/>
    <hyperlink ref="H72" location="'DP-43-3.거래처정보추가_BW'!A1" display="DP-43-3. 거래처정보추가_BW" xr:uid="{A43737E5-3DB0-42AB-A8C5-019C40A4C296}"/>
    <hyperlink ref="H73" location="'DP-43-4.거래처정보추가_BW'!A1" display="DP-43-4. 거래처정보추가_BW" xr:uid="{9BE20819-955C-46F1-BC8B-4F9C8292469B}"/>
    <hyperlink ref="H74" location="'DP-43-5.거래처정보추가_BW'!A1" display="DP-43-5. 거래처정보추가_BW" xr:uid="{95C98773-A362-47E4-A6C6-D5CD940E3650}"/>
    <hyperlink ref="H45" location="'DP-44.마감계획_BW'!A1" display="DP-44. 마감계획_BW" xr:uid="{4653B7DA-AF6B-4EAF-9AC4-45980E240650}"/>
    <hyperlink ref="H46" location="'DP-46.판매실적_거래처&amp;SKU'!A1" display="DP-46. 판매실적_거래처&amp;SKU" xr:uid="{4E41A68B-25C8-44E6-BE5F-FA2AC3845639}"/>
    <hyperlink ref="H47" location="'DP-48.주문실적_거래처&amp;SKU'!A1" display="DP-48. 주문실적_거래처&amp;SKU" xr:uid="{4BB8231C-0A29-4A78-9C42-91271051C97F}"/>
    <hyperlink ref="H48" location="'DP-49.목표&amp;예상이익'!A1" display="DP-49. 목표&amp;예상이익" xr:uid="{7342AEE7-FA7D-4C32-833E-FE0D4B8EFD6E}"/>
    <hyperlink ref="H34" location="'SP-41. 저장위치리스트'!A1" display="SP-41. 저장위치리스트" xr:uid="{5CB1076D-543A-4F4F-A105-6EC2982BA611}"/>
    <hyperlink ref="H75" location="'DP-45. 판매실적_SKU'!A1" display="DP-45. 판매실적_SKU" xr:uid="{92DC92F0-CFC2-4230-A492-1604A7DAC249}"/>
    <hyperlink ref="H49" location="'DP-53.  신제품추정단가'!A1" display="DP-53.  신제품추정단가" xr:uid="{412C325E-4324-4E52-9B9B-C3A8031CF917}"/>
    <hyperlink ref="H50" location="'SP-43.  라우팅관리(SAP)'!A1" display="SP-43.  라우팅관리(SAP)" xr:uid="{DEB66F3B-CDA4-4DBC-8A81-176EBE3411B1}"/>
    <hyperlink ref="H51" location="'SP-44.  라우팅관리(SAP)2'!A1" display="SP-44.  라우팅관리(SAP)2" xr:uid="{59959B1C-D546-461D-BEA9-CAB5BB96BAD8}"/>
    <hyperlink ref="H52" location="'SP-45. 영업저장위치관리'!A1" display="SP-45. 영업저장위치관리" xr:uid="{36DDAF69-8BFC-410D-8B28-7D1795DEF878}"/>
    <hyperlink ref="H53" location="'DP-55. SAP압축품의 정보'!A1" display="DP-55. SAP압축품의 정보" xr:uid="{73367AE0-361F-4C33-84F6-3A7397DB5B2D}"/>
    <hyperlink ref="H77" location="'DP-56. 수출포장모듈'!A1" display="DP-56. 수출포장모듈" xr:uid="{A14BE1FD-3DF9-4609-82AF-EBA50DF6DDF3}"/>
    <hyperlink ref="H54" location="'SP-46. SAP재고에이징데이터(중국)'!A1" display="SP-46. SAP재고에이징데이터(중국)" xr:uid="{03510202-4038-4C0D-B471-2528F0DCA979}"/>
    <hyperlink ref="H55" location="'DP-57. BW 코드별 네이밍 마스터'!A1" display="DP-57. BW 코드별 네이밍 마스터 " xr:uid="{3DD5101F-2B68-4367-AAD2-EC411676441B}"/>
    <hyperlink ref="H56" location="'오픈SO(계획용)'!A1" display="오픈SO(계획용)" xr:uid="{7CAFA014-98A5-4E5B-8F49-9C9016B81E05}"/>
    <hyperlink ref="H57" location="'판매처별 위탁재고'!A1" display="판매처별 위탁재고" xr:uid="{82EC23FD-40E7-4402-B75A-A7CA170369AF}"/>
  </hyperlinks>
  <pageMargins left="0.7" right="0.7" top="0.75" bottom="0.75" header="0.3" footer="0.3"/>
  <pageSetup paperSize="9" orientation="portrait"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CFE4C-0E81-46CB-862D-BC3E26B2C3DB}">
  <dimension ref="B2:I185"/>
  <sheetViews>
    <sheetView showGridLines="0" topLeftCell="A56" workbookViewId="0">
      <selection activeCell="B65" sqref="B65"/>
    </sheetView>
  </sheetViews>
  <sheetFormatPr defaultColWidth="8.875" defaultRowHeight="16.5"/>
  <cols>
    <col min="1" max="1" width="2.625" customWidth="1"/>
    <col min="2" max="4" width="17.625" customWidth="1"/>
  </cols>
  <sheetData>
    <row r="2" spans="2:9">
      <c r="B2" s="145" t="s">
        <v>644</v>
      </c>
      <c r="C2" s="145" t="s">
        <v>645</v>
      </c>
      <c r="D2" s="145" t="s">
        <v>646</v>
      </c>
    </row>
    <row r="3" spans="2:9">
      <c r="B3" s="146" t="s">
        <v>33</v>
      </c>
      <c r="C3" s="68"/>
      <c r="D3" s="68"/>
    </row>
    <row r="4" spans="2:9">
      <c r="B4" s="146" t="s">
        <v>92</v>
      </c>
      <c r="C4" s="68"/>
      <c r="D4" s="68"/>
    </row>
    <row r="5" spans="2:9">
      <c r="B5" s="146" t="s">
        <v>647</v>
      </c>
      <c r="C5" s="68"/>
      <c r="D5" s="68"/>
    </row>
    <row r="6" spans="2:9">
      <c r="B6" s="146" t="s">
        <v>135</v>
      </c>
      <c r="C6" s="68"/>
      <c r="D6" s="68"/>
    </row>
    <row r="7" spans="2:9">
      <c r="B7" s="146" t="s">
        <v>595</v>
      </c>
      <c r="C7" s="68"/>
      <c r="D7" s="68"/>
    </row>
    <row r="8" spans="2:9">
      <c r="B8" s="146" t="s">
        <v>360</v>
      </c>
      <c r="C8" s="68"/>
      <c r="D8" s="68"/>
    </row>
    <row r="9" spans="2:9">
      <c r="B9" s="146" t="s">
        <v>648</v>
      </c>
      <c r="C9" s="68"/>
      <c r="D9" s="68"/>
    </row>
    <row r="10" spans="2:9">
      <c r="B10" s="146" t="s">
        <v>415</v>
      </c>
      <c r="C10" s="68"/>
      <c r="D10" s="68"/>
    </row>
    <row r="12" spans="2:9">
      <c r="B12" s="161" t="s">
        <v>649</v>
      </c>
      <c r="C12" s="162"/>
      <c r="D12" s="162"/>
      <c r="E12" s="162"/>
      <c r="F12" s="162"/>
      <c r="G12" s="162"/>
      <c r="H12" s="162"/>
      <c r="I12" s="162"/>
    </row>
    <row r="13" spans="2:9">
      <c r="B13" t="s">
        <v>650</v>
      </c>
    </row>
    <row r="14" spans="2:9">
      <c r="B14" t="s">
        <v>651</v>
      </c>
    </row>
    <row r="15" spans="2:9">
      <c r="B15" t="s">
        <v>652</v>
      </c>
    </row>
    <row r="16" spans="2:9">
      <c r="B16" t="s">
        <v>653</v>
      </c>
    </row>
    <row r="17" spans="2:2">
      <c r="B17" t="s">
        <v>654</v>
      </c>
    </row>
    <row r="18" spans="2:2">
      <c r="B18" t="s">
        <v>655</v>
      </c>
    </row>
    <row r="19" spans="2:2">
      <c r="B19" t="s">
        <v>656</v>
      </c>
    </row>
    <row r="20" spans="2:2">
      <c r="B20" t="s">
        <v>657</v>
      </c>
    </row>
    <row r="21" spans="2:2">
      <c r="B21" t="s">
        <v>658</v>
      </c>
    </row>
    <row r="37" spans="2:2">
      <c r="B37" s="4" t="s">
        <v>659</v>
      </c>
    </row>
    <row r="38" spans="2:2">
      <c r="B38" s="4" t="s">
        <v>660</v>
      </c>
    </row>
    <row r="39" spans="2:2">
      <c r="B39" s="4" t="s">
        <v>661</v>
      </c>
    </row>
    <row r="40" spans="2:2">
      <c r="B40" s="4" t="s">
        <v>662</v>
      </c>
    </row>
    <row r="41" spans="2:2">
      <c r="B41" s="4" t="s">
        <v>663</v>
      </c>
    </row>
    <row r="42" spans="2:2">
      <c r="B42" s="4" t="s">
        <v>664</v>
      </c>
    </row>
    <row r="43" spans="2:2">
      <c r="B43" s="4" t="s">
        <v>665</v>
      </c>
    </row>
    <row r="44" spans="2:2">
      <c r="B44" s="4" t="s">
        <v>666</v>
      </c>
    </row>
    <row r="45" spans="2:2">
      <c r="B45" s="4" t="s">
        <v>667</v>
      </c>
    </row>
    <row r="46" spans="2:2">
      <c r="B46" s="4" t="s">
        <v>668</v>
      </c>
    </row>
    <row r="47" spans="2:2">
      <c r="B47" s="4" t="s">
        <v>669</v>
      </c>
    </row>
    <row r="48" spans="2:2">
      <c r="B48" s="4" t="s">
        <v>670</v>
      </c>
    </row>
    <row r="49" spans="2:2">
      <c r="B49" s="4" t="s">
        <v>671</v>
      </c>
    </row>
    <row r="50" spans="2:2">
      <c r="B50" s="4" t="s">
        <v>672</v>
      </c>
    </row>
    <row r="51" spans="2:2">
      <c r="B51" s="4" t="s">
        <v>673</v>
      </c>
    </row>
    <row r="52" spans="2:2">
      <c r="B52" s="4" t="s">
        <v>674</v>
      </c>
    </row>
    <row r="53" spans="2:2">
      <c r="B53" s="4" t="s">
        <v>675</v>
      </c>
    </row>
    <row r="54" spans="2:2">
      <c r="B54" s="4" t="s">
        <v>676</v>
      </c>
    </row>
    <row r="55" spans="2:2">
      <c r="B55" s="4" t="s">
        <v>677</v>
      </c>
    </row>
    <row r="56" spans="2:2">
      <c r="B56" s="4" t="s">
        <v>678</v>
      </c>
    </row>
    <row r="57" spans="2:2">
      <c r="B57" s="4" t="s">
        <v>679</v>
      </c>
    </row>
    <row r="58" spans="2:2">
      <c r="B58" s="4" t="s">
        <v>680</v>
      </c>
    </row>
    <row r="59" spans="2:2">
      <c r="B59" s="4" t="s">
        <v>681</v>
      </c>
    </row>
    <row r="60" spans="2:2">
      <c r="B60" s="4" t="s">
        <v>682</v>
      </c>
    </row>
    <row r="61" spans="2:2">
      <c r="B61" s="4" t="s">
        <v>683</v>
      </c>
    </row>
    <row r="62" spans="2:2">
      <c r="B62" s="4" t="s">
        <v>684</v>
      </c>
    </row>
    <row r="63" spans="2:2">
      <c r="B63" s="4" t="s">
        <v>685</v>
      </c>
    </row>
    <row r="64" spans="2:2">
      <c r="B64" s="4" t="s">
        <v>686</v>
      </c>
    </row>
    <row r="65" spans="2:2">
      <c r="B65" s="4" t="s">
        <v>687</v>
      </c>
    </row>
    <row r="66" spans="2:2">
      <c r="B66" s="4" t="s">
        <v>688</v>
      </c>
    </row>
    <row r="67" spans="2:2">
      <c r="B67" s="4" t="s">
        <v>689</v>
      </c>
    </row>
    <row r="68" spans="2:2">
      <c r="B68" s="4" t="s">
        <v>690</v>
      </c>
    </row>
    <row r="69" spans="2:2">
      <c r="B69" s="4" t="s">
        <v>691</v>
      </c>
    </row>
    <row r="70" spans="2:2">
      <c r="B70" s="4" t="s">
        <v>692</v>
      </c>
    </row>
    <row r="71" spans="2:2">
      <c r="B71" s="4" t="s">
        <v>693</v>
      </c>
    </row>
    <row r="72" spans="2:2">
      <c r="B72" s="4" t="s">
        <v>694</v>
      </c>
    </row>
    <row r="73" spans="2:2">
      <c r="B73" s="4" t="s">
        <v>695</v>
      </c>
    </row>
    <row r="74" spans="2:2">
      <c r="B74" s="4" t="s">
        <v>696</v>
      </c>
    </row>
    <row r="75" spans="2:2">
      <c r="B75" s="4" t="s">
        <v>697</v>
      </c>
    </row>
    <row r="76" spans="2:2">
      <c r="B76" s="4" t="s">
        <v>698</v>
      </c>
    </row>
    <row r="77" spans="2:2">
      <c r="B77" s="4" t="s">
        <v>699</v>
      </c>
    </row>
    <row r="78" spans="2:2">
      <c r="B78" s="4" t="s">
        <v>700</v>
      </c>
    </row>
    <row r="79" spans="2:2">
      <c r="B79" s="4" t="s">
        <v>701</v>
      </c>
    </row>
    <row r="80" spans="2:2">
      <c r="B80" s="4" t="s">
        <v>702</v>
      </c>
    </row>
    <row r="81" spans="2:2">
      <c r="B81" s="4" t="s">
        <v>703</v>
      </c>
    </row>
    <row r="82" spans="2:2">
      <c r="B82" s="4" t="s">
        <v>704</v>
      </c>
    </row>
    <row r="83" spans="2:2">
      <c r="B83" s="4" t="s">
        <v>705</v>
      </c>
    </row>
    <row r="84" spans="2:2">
      <c r="B84" s="4" t="s">
        <v>706</v>
      </c>
    </row>
    <row r="85" spans="2:2">
      <c r="B85" s="4" t="s">
        <v>707</v>
      </c>
    </row>
    <row r="86" spans="2:2">
      <c r="B86" s="4" t="s">
        <v>708</v>
      </c>
    </row>
    <row r="87" spans="2:2">
      <c r="B87" s="4" t="s">
        <v>709</v>
      </c>
    </row>
    <row r="88" spans="2:2">
      <c r="B88" s="4" t="s">
        <v>710</v>
      </c>
    </row>
    <row r="89" spans="2:2">
      <c r="B89" s="4" t="s">
        <v>711</v>
      </c>
    </row>
    <row r="90" spans="2:2">
      <c r="B90" s="4" t="s">
        <v>712</v>
      </c>
    </row>
    <row r="91" spans="2:2">
      <c r="B91" s="4" t="s">
        <v>713</v>
      </c>
    </row>
    <row r="92" spans="2:2">
      <c r="B92" s="4" t="s">
        <v>714</v>
      </c>
    </row>
    <row r="93" spans="2:2">
      <c r="B93" s="4" t="s">
        <v>715</v>
      </c>
    </row>
    <row r="94" spans="2:2">
      <c r="B94" s="4" t="s">
        <v>716</v>
      </c>
    </row>
    <row r="95" spans="2:2">
      <c r="B95" s="4" t="s">
        <v>717</v>
      </c>
    </row>
    <row r="96" spans="2:2">
      <c r="B96" s="4" t="s">
        <v>718</v>
      </c>
    </row>
    <row r="97" spans="2:2">
      <c r="B97" s="4" t="s">
        <v>719</v>
      </c>
    </row>
    <row r="98" spans="2:2">
      <c r="B98" s="4" t="s">
        <v>720</v>
      </c>
    </row>
    <row r="99" spans="2:2">
      <c r="B99" s="4" t="s">
        <v>721</v>
      </c>
    </row>
    <row r="100" spans="2:2">
      <c r="B100" s="4" t="s">
        <v>722</v>
      </c>
    </row>
    <row r="101" spans="2:2">
      <c r="B101" s="4" t="s">
        <v>723</v>
      </c>
    </row>
    <row r="102" spans="2:2">
      <c r="B102" s="4" t="s">
        <v>724</v>
      </c>
    </row>
    <row r="103" spans="2:2">
      <c r="B103" s="4" t="s">
        <v>725</v>
      </c>
    </row>
    <row r="104" spans="2:2">
      <c r="B104" s="4" t="s">
        <v>726</v>
      </c>
    </row>
    <row r="105" spans="2:2">
      <c r="B105" s="4" t="s">
        <v>727</v>
      </c>
    </row>
    <row r="106" spans="2:2">
      <c r="B106" s="4" t="s">
        <v>728</v>
      </c>
    </row>
    <row r="107" spans="2:2">
      <c r="B107" s="4" t="s">
        <v>729</v>
      </c>
    </row>
    <row r="108" spans="2:2">
      <c r="B108" s="4" t="s">
        <v>730</v>
      </c>
    </row>
    <row r="109" spans="2:2">
      <c r="B109" s="4" t="s">
        <v>731</v>
      </c>
    </row>
    <row r="110" spans="2:2">
      <c r="B110" s="4" t="s">
        <v>732</v>
      </c>
    </row>
    <row r="111" spans="2:2">
      <c r="B111" s="4" t="s">
        <v>733</v>
      </c>
    </row>
    <row r="112" spans="2:2">
      <c r="B112" s="4"/>
    </row>
    <row r="113" spans="2:2">
      <c r="B113" s="4"/>
    </row>
    <row r="114" spans="2:2">
      <c r="B114" s="4" t="s">
        <v>734</v>
      </c>
    </row>
    <row r="115" spans="2:2">
      <c r="B115" s="4" t="s">
        <v>735</v>
      </c>
    </row>
    <row r="116" spans="2:2">
      <c r="B116" s="4" t="s">
        <v>736</v>
      </c>
    </row>
    <row r="117" spans="2:2">
      <c r="B117" s="4" t="s">
        <v>737</v>
      </c>
    </row>
    <row r="118" spans="2:2">
      <c r="B118" s="4" t="s">
        <v>738</v>
      </c>
    </row>
    <row r="119" spans="2:2">
      <c r="B119" s="4" t="s">
        <v>739</v>
      </c>
    </row>
    <row r="120" spans="2:2">
      <c r="B120" s="4" t="s">
        <v>740</v>
      </c>
    </row>
    <row r="121" spans="2:2">
      <c r="B121" s="4" t="s">
        <v>741</v>
      </c>
    </row>
    <row r="122" spans="2:2">
      <c r="B122" s="4" t="s">
        <v>742</v>
      </c>
    </row>
    <row r="123" spans="2:2">
      <c r="B123" s="4" t="s">
        <v>743</v>
      </c>
    </row>
    <row r="124" spans="2:2">
      <c r="B124" s="4"/>
    </row>
    <row r="125" spans="2:2">
      <c r="B125" s="4" t="s">
        <v>744</v>
      </c>
    </row>
    <row r="126" spans="2:2">
      <c r="B126" s="4" t="s">
        <v>745</v>
      </c>
    </row>
    <row r="127" spans="2:2">
      <c r="B127" s="4" t="s">
        <v>746</v>
      </c>
    </row>
    <row r="128" spans="2:2">
      <c r="B128" s="4" t="s">
        <v>747</v>
      </c>
    </row>
    <row r="129" spans="2:2">
      <c r="B129" s="4" t="s">
        <v>748</v>
      </c>
    </row>
    <row r="130" spans="2:2">
      <c r="B130" s="4" t="s">
        <v>749</v>
      </c>
    </row>
    <row r="131" spans="2:2">
      <c r="B131" s="4" t="s">
        <v>750</v>
      </c>
    </row>
    <row r="132" spans="2:2">
      <c r="B132" s="4" t="s">
        <v>751</v>
      </c>
    </row>
    <row r="133" spans="2:2">
      <c r="B133" s="4" t="s">
        <v>752</v>
      </c>
    </row>
    <row r="134" spans="2:2">
      <c r="B134" s="4" t="s">
        <v>753</v>
      </c>
    </row>
    <row r="135" spans="2:2">
      <c r="B135" s="4" t="s">
        <v>754</v>
      </c>
    </row>
    <row r="136" spans="2:2">
      <c r="B136" s="4" t="s">
        <v>755</v>
      </c>
    </row>
    <row r="137" spans="2:2">
      <c r="B137" s="4" t="s">
        <v>756</v>
      </c>
    </row>
    <row r="138" spans="2:2">
      <c r="B138" s="4" t="s">
        <v>757</v>
      </c>
    </row>
    <row r="139" spans="2:2">
      <c r="B139" s="4" t="s">
        <v>758</v>
      </c>
    </row>
    <row r="140" spans="2:2">
      <c r="B140" s="4" t="s">
        <v>759</v>
      </c>
    </row>
    <row r="141" spans="2:2">
      <c r="B141" s="4" t="s">
        <v>760</v>
      </c>
    </row>
    <row r="142" spans="2:2">
      <c r="B142" s="4"/>
    </row>
    <row r="143" spans="2:2">
      <c r="B143" s="4"/>
    </row>
    <row r="144" spans="2:2">
      <c r="B144" s="4"/>
    </row>
    <row r="145" spans="2:2">
      <c r="B145" s="4"/>
    </row>
    <row r="146" spans="2:2">
      <c r="B146" s="4"/>
    </row>
    <row r="147" spans="2:2">
      <c r="B147" s="4"/>
    </row>
    <row r="148" spans="2:2">
      <c r="B148" s="4"/>
    </row>
    <row r="149" spans="2:2">
      <c r="B149" s="4"/>
    </row>
    <row r="150" spans="2:2">
      <c r="B150" s="4"/>
    </row>
    <row r="151" spans="2:2">
      <c r="B151" s="4"/>
    </row>
    <row r="152" spans="2:2">
      <c r="B152" s="4"/>
    </row>
    <row r="153" spans="2:2">
      <c r="B153" s="4"/>
    </row>
    <row r="154" spans="2:2">
      <c r="B154" s="4"/>
    </row>
    <row r="155" spans="2:2">
      <c r="B155" s="4"/>
    </row>
    <row r="156" spans="2:2">
      <c r="B156" s="4"/>
    </row>
    <row r="157" spans="2:2">
      <c r="B157" s="4"/>
    </row>
    <row r="158" spans="2:2">
      <c r="B158" s="4"/>
    </row>
    <row r="159" spans="2:2">
      <c r="B159" s="4"/>
    </row>
    <row r="160" spans="2:2">
      <c r="B160" s="4"/>
    </row>
    <row r="161" spans="2:2">
      <c r="B161" s="4"/>
    </row>
    <row r="162" spans="2:2">
      <c r="B162" s="4"/>
    </row>
    <row r="163" spans="2:2">
      <c r="B163" s="4"/>
    </row>
    <row r="164" spans="2:2">
      <c r="B164" s="4"/>
    </row>
    <row r="165" spans="2:2">
      <c r="B165" s="4"/>
    </row>
    <row r="166" spans="2:2">
      <c r="B166" s="4"/>
    </row>
    <row r="167" spans="2:2">
      <c r="B167" s="4"/>
    </row>
    <row r="168" spans="2:2">
      <c r="B168" s="4"/>
    </row>
    <row r="169" spans="2:2">
      <c r="B169" s="4"/>
    </row>
    <row r="170" spans="2:2">
      <c r="B170" s="4"/>
    </row>
    <row r="171" spans="2:2">
      <c r="B171" s="4"/>
    </row>
    <row r="172" spans="2:2">
      <c r="B172" s="4"/>
    </row>
    <row r="173" spans="2:2">
      <c r="B173" s="4"/>
    </row>
    <row r="174" spans="2:2">
      <c r="B174" s="4"/>
    </row>
    <row r="175" spans="2:2">
      <c r="B175" s="4"/>
    </row>
    <row r="176" spans="2:2">
      <c r="B176" s="4"/>
    </row>
    <row r="177" spans="2:2">
      <c r="B177" s="4"/>
    </row>
    <row r="178" spans="2:2">
      <c r="B178" s="4"/>
    </row>
    <row r="179" spans="2:2">
      <c r="B179" s="4"/>
    </row>
    <row r="180" spans="2:2">
      <c r="B180" s="4"/>
    </row>
    <row r="181" spans="2:2">
      <c r="B181" s="4"/>
    </row>
    <row r="182" spans="2:2">
      <c r="B182" s="4"/>
    </row>
    <row r="183" spans="2:2">
      <c r="B183" s="4"/>
    </row>
    <row r="184" spans="2:2">
      <c r="B184" s="4"/>
    </row>
    <row r="185" spans="2:2">
      <c r="B185" s="4"/>
    </row>
  </sheetData>
  <phoneticPr fontId="4" type="noConversion"/>
  <pageMargins left="0.7" right="0.7" top="0.75" bottom="0.75" header="0.3" footer="0.3"/>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B915-56E3-4D2E-81B0-401D51239C8E}">
  <dimension ref="B2:N48"/>
  <sheetViews>
    <sheetView showGridLines="0" workbookViewId="0">
      <pane ySplit="2" topLeftCell="A6" activePane="bottomLeft" state="frozen"/>
      <selection pane="bottomLeft" activeCell="K19" sqref="K19"/>
    </sheetView>
  </sheetViews>
  <sheetFormatPr defaultColWidth="9" defaultRowHeight="12"/>
  <cols>
    <col min="1" max="1" width="2.125" style="4" customWidth="1"/>
    <col min="2" max="2" width="5" style="5" customWidth="1"/>
    <col min="3" max="3" width="8.125" style="4" customWidth="1"/>
    <col min="4" max="4" width="6.125" style="4" bestFit="1" customWidth="1"/>
    <col min="5" max="5" width="26.125" style="4" bestFit="1" customWidth="1"/>
    <col min="6" max="6" width="6.375" style="4" bestFit="1" customWidth="1"/>
    <col min="7" max="7" width="7.5" style="4" bestFit="1" customWidth="1"/>
    <col min="8" max="8" width="7.625" style="4" customWidth="1"/>
    <col min="9" max="10" width="9" style="4"/>
    <col min="11" max="11" width="68.625" style="4" bestFit="1" customWidth="1"/>
    <col min="12" max="12" width="9.625" style="4" customWidth="1"/>
    <col min="13" max="13" width="15.5" style="4" customWidth="1"/>
    <col min="14" max="14" width="24.625" style="4" bestFit="1" customWidth="1"/>
    <col min="15" max="16384" width="9" style="4"/>
  </cols>
  <sheetData>
    <row r="2" spans="2:14" ht="24">
      <c r="B2" s="28" t="s">
        <v>761</v>
      </c>
      <c r="C2" s="29" t="s">
        <v>762</v>
      </c>
      <c r="D2" s="29" t="s">
        <v>763</v>
      </c>
      <c r="E2" s="29" t="s">
        <v>764</v>
      </c>
      <c r="F2" s="29" t="s">
        <v>17</v>
      </c>
      <c r="G2" s="29" t="s">
        <v>18</v>
      </c>
      <c r="H2" s="29" t="s">
        <v>19</v>
      </c>
      <c r="I2" s="29" t="s">
        <v>20</v>
      </c>
      <c r="J2" s="30" t="s">
        <v>22</v>
      </c>
      <c r="K2" s="30" t="s">
        <v>24</v>
      </c>
      <c r="L2" s="29" t="s">
        <v>30</v>
      </c>
      <c r="M2" s="29" t="s">
        <v>31</v>
      </c>
      <c r="N2" s="29" t="s">
        <v>32</v>
      </c>
    </row>
    <row r="3" spans="2:14">
      <c r="B3" s="32">
        <v>1</v>
      </c>
      <c r="C3" s="32" t="s">
        <v>134</v>
      </c>
      <c r="D3" s="32" t="s">
        <v>765</v>
      </c>
      <c r="E3" s="38" t="s">
        <v>766</v>
      </c>
      <c r="F3" s="31" t="s">
        <v>46</v>
      </c>
      <c r="G3" s="32" t="s">
        <v>33</v>
      </c>
      <c r="H3" s="31" t="s">
        <v>47</v>
      </c>
      <c r="I3" s="32" t="s">
        <v>48</v>
      </c>
      <c r="J3" s="35" t="s">
        <v>49</v>
      </c>
      <c r="K3" s="38"/>
      <c r="L3" s="34" t="s">
        <v>54</v>
      </c>
      <c r="M3" s="34" t="s">
        <v>55</v>
      </c>
      <c r="N3" s="33" t="s">
        <v>56</v>
      </c>
    </row>
    <row r="4" spans="2:14">
      <c r="B4" s="32">
        <v>2</v>
      </c>
      <c r="C4" s="32" t="s">
        <v>134</v>
      </c>
      <c r="D4" s="32" t="s">
        <v>767</v>
      </c>
      <c r="E4" s="38" t="s">
        <v>768</v>
      </c>
      <c r="F4" s="31" t="s">
        <v>64</v>
      </c>
      <c r="G4" s="32" t="s">
        <v>33</v>
      </c>
      <c r="H4" s="31" t="s">
        <v>47</v>
      </c>
      <c r="I4" s="32" t="s">
        <v>48</v>
      </c>
      <c r="J4" s="35" t="s">
        <v>49</v>
      </c>
      <c r="K4" s="36" t="s">
        <v>65</v>
      </c>
      <c r="L4" s="34" t="s">
        <v>69</v>
      </c>
      <c r="M4" s="34" t="s">
        <v>70</v>
      </c>
      <c r="N4" s="33" t="s">
        <v>71</v>
      </c>
    </row>
    <row r="5" spans="2:14">
      <c r="B5" s="32">
        <v>3</v>
      </c>
      <c r="C5" s="32" t="s">
        <v>134</v>
      </c>
      <c r="D5" s="32" t="s">
        <v>767</v>
      </c>
      <c r="E5" s="64" t="s">
        <v>769</v>
      </c>
      <c r="F5" s="31" t="s">
        <v>64</v>
      </c>
      <c r="G5" s="32" t="s">
        <v>33</v>
      </c>
      <c r="H5" s="31" t="s">
        <v>47</v>
      </c>
      <c r="I5" s="32" t="s">
        <v>48</v>
      </c>
      <c r="J5" s="35" t="s">
        <v>49</v>
      </c>
      <c r="K5" s="36"/>
      <c r="L5" s="34" t="s">
        <v>69</v>
      </c>
      <c r="M5" s="34" t="s">
        <v>81</v>
      </c>
      <c r="N5" s="33" t="s">
        <v>82</v>
      </c>
    </row>
    <row r="6" spans="2:14">
      <c r="B6" s="32">
        <v>4</v>
      </c>
      <c r="C6" s="32" t="s">
        <v>134</v>
      </c>
      <c r="D6" s="32" t="s">
        <v>767</v>
      </c>
      <c r="E6" s="38" t="s">
        <v>770</v>
      </c>
      <c r="F6" s="31" t="s">
        <v>64</v>
      </c>
      <c r="G6" s="32" t="s">
        <v>33</v>
      </c>
      <c r="H6" s="31" t="s">
        <v>47</v>
      </c>
      <c r="I6" s="32" t="s">
        <v>48</v>
      </c>
      <c r="J6" s="35" t="s">
        <v>49</v>
      </c>
      <c r="K6" s="38" t="s">
        <v>89</v>
      </c>
      <c r="L6" s="34" t="s">
        <v>69</v>
      </c>
      <c r="M6" s="34" t="s">
        <v>70</v>
      </c>
      <c r="N6" s="33" t="s">
        <v>91</v>
      </c>
    </row>
    <row r="7" spans="2:14">
      <c r="B7" s="32">
        <v>5</v>
      </c>
      <c r="C7" s="32" t="s">
        <v>134</v>
      </c>
      <c r="D7" s="32" t="s">
        <v>767</v>
      </c>
      <c r="E7" s="38" t="s">
        <v>771</v>
      </c>
      <c r="F7" s="31" t="s">
        <v>64</v>
      </c>
      <c r="G7" s="32" t="s">
        <v>92</v>
      </c>
      <c r="H7" s="31" t="s">
        <v>47</v>
      </c>
      <c r="I7" s="32" t="s">
        <v>101</v>
      </c>
      <c r="J7" s="35" t="s">
        <v>49</v>
      </c>
      <c r="K7" s="44" t="s">
        <v>102</v>
      </c>
      <c r="L7" s="34" t="s">
        <v>69</v>
      </c>
      <c r="M7" s="34" t="s">
        <v>106</v>
      </c>
      <c r="N7" s="33" t="s">
        <v>107</v>
      </c>
    </row>
    <row r="8" spans="2:14">
      <c r="B8" s="32">
        <v>6</v>
      </c>
      <c r="C8" s="32" t="s">
        <v>134</v>
      </c>
      <c r="D8" s="32" t="s">
        <v>767</v>
      </c>
      <c r="E8" s="38" t="s">
        <v>772</v>
      </c>
      <c r="F8" s="31" t="s">
        <v>64</v>
      </c>
      <c r="G8" s="32" t="s">
        <v>33</v>
      </c>
      <c r="H8" s="31" t="s">
        <v>47</v>
      </c>
      <c r="I8" s="32" t="s">
        <v>101</v>
      </c>
      <c r="J8" s="35" t="s">
        <v>49</v>
      </c>
      <c r="K8" s="38" t="s">
        <v>116</v>
      </c>
      <c r="L8" s="34" t="s">
        <v>69</v>
      </c>
      <c r="M8" s="34" t="s">
        <v>106</v>
      </c>
      <c r="N8" s="42" t="s">
        <v>120</v>
      </c>
    </row>
    <row r="9" spans="2:14">
      <c r="B9" s="52">
        <v>7</v>
      </c>
      <c r="C9" s="52" t="s">
        <v>134</v>
      </c>
      <c r="D9" s="52" t="s">
        <v>767</v>
      </c>
      <c r="E9" s="54" t="s">
        <v>773</v>
      </c>
      <c r="F9" s="52" t="s">
        <v>64</v>
      </c>
      <c r="G9" s="52" t="s">
        <v>647</v>
      </c>
      <c r="H9" s="52" t="s">
        <v>129</v>
      </c>
      <c r="I9" s="52" t="s">
        <v>130</v>
      </c>
      <c r="J9" s="56" t="s">
        <v>49</v>
      </c>
      <c r="K9" s="57" t="s">
        <v>774</v>
      </c>
      <c r="L9" s="55" t="s">
        <v>81</v>
      </c>
      <c r="M9" s="55" t="s">
        <v>55</v>
      </c>
      <c r="N9" s="53" t="s">
        <v>134</v>
      </c>
    </row>
    <row r="10" spans="2:14">
      <c r="B10" s="32">
        <v>8</v>
      </c>
      <c r="C10" s="32" t="s">
        <v>134</v>
      </c>
      <c r="D10" s="32" t="s">
        <v>767</v>
      </c>
      <c r="E10" s="38" t="s">
        <v>775</v>
      </c>
      <c r="F10" s="43" t="s">
        <v>64</v>
      </c>
      <c r="G10" s="32" t="s">
        <v>135</v>
      </c>
      <c r="H10" s="31" t="s">
        <v>47</v>
      </c>
      <c r="I10" s="32" t="s">
        <v>101</v>
      </c>
      <c r="J10" s="32" t="s">
        <v>143</v>
      </c>
      <c r="K10" s="38"/>
      <c r="L10" s="34" t="s">
        <v>69</v>
      </c>
      <c r="M10" s="34" t="s">
        <v>106</v>
      </c>
      <c r="N10" s="33" t="s">
        <v>147</v>
      </c>
    </row>
    <row r="11" spans="2:14">
      <c r="B11" s="32">
        <v>9</v>
      </c>
      <c r="C11" s="32" t="s">
        <v>134</v>
      </c>
      <c r="D11" s="32" t="s">
        <v>767</v>
      </c>
      <c r="E11" s="38" t="s">
        <v>776</v>
      </c>
      <c r="F11" s="31" t="s">
        <v>64</v>
      </c>
      <c r="G11" s="32" t="s">
        <v>92</v>
      </c>
      <c r="H11" s="31" t="s">
        <v>47</v>
      </c>
      <c r="I11" s="32" t="s">
        <v>101</v>
      </c>
      <c r="J11" s="35" t="s">
        <v>49</v>
      </c>
      <c r="K11" s="44"/>
      <c r="L11" s="34" t="s">
        <v>69</v>
      </c>
      <c r="M11" s="34" t="s">
        <v>106</v>
      </c>
      <c r="N11" s="33" t="s">
        <v>157</v>
      </c>
    </row>
    <row r="12" spans="2:14">
      <c r="B12" s="32">
        <v>10</v>
      </c>
      <c r="C12" s="32" t="s">
        <v>134</v>
      </c>
      <c r="D12" s="32" t="s">
        <v>767</v>
      </c>
      <c r="E12" s="38" t="s">
        <v>777</v>
      </c>
      <c r="F12" s="31" t="s">
        <v>64</v>
      </c>
      <c r="G12" s="32" t="s">
        <v>128</v>
      </c>
      <c r="H12" s="31" t="s">
        <v>53</v>
      </c>
      <c r="I12" s="32" t="s">
        <v>165</v>
      </c>
      <c r="J12" s="35"/>
      <c r="K12" s="44"/>
      <c r="L12" s="34"/>
      <c r="M12" s="34"/>
      <c r="N12" s="33"/>
    </row>
    <row r="13" spans="2:14">
      <c r="B13" s="32">
        <v>11</v>
      </c>
      <c r="C13" s="32" t="s">
        <v>134</v>
      </c>
      <c r="D13" s="32" t="s">
        <v>767</v>
      </c>
      <c r="E13" s="38" t="s">
        <v>778</v>
      </c>
      <c r="F13" s="31" t="s">
        <v>64</v>
      </c>
      <c r="G13" s="32" t="s">
        <v>33</v>
      </c>
      <c r="H13" s="31" t="s">
        <v>47</v>
      </c>
      <c r="I13" s="32" t="s">
        <v>48</v>
      </c>
      <c r="J13" s="35" t="s">
        <v>49</v>
      </c>
      <c r="K13" s="37" t="s">
        <v>175</v>
      </c>
      <c r="L13" s="34" t="s">
        <v>177</v>
      </c>
      <c r="M13" s="34" t="s">
        <v>106</v>
      </c>
      <c r="N13" s="33" t="s">
        <v>178</v>
      </c>
    </row>
    <row r="14" spans="2:14">
      <c r="B14" s="32">
        <v>12</v>
      </c>
      <c r="C14" s="32" t="s">
        <v>134</v>
      </c>
      <c r="D14" s="32" t="s">
        <v>767</v>
      </c>
      <c r="E14" s="38" t="s">
        <v>779</v>
      </c>
      <c r="F14" s="31" t="s">
        <v>64</v>
      </c>
      <c r="G14" s="32" t="s">
        <v>135</v>
      </c>
      <c r="H14" s="31" t="s">
        <v>47</v>
      </c>
      <c r="I14" s="32" t="s">
        <v>101</v>
      </c>
      <c r="J14" s="32" t="s">
        <v>143</v>
      </c>
      <c r="K14" s="38"/>
      <c r="L14" s="34" t="s">
        <v>177</v>
      </c>
      <c r="M14" s="34" t="s">
        <v>106</v>
      </c>
      <c r="N14" s="33" t="s">
        <v>147</v>
      </c>
    </row>
    <row r="15" spans="2:14">
      <c r="B15" s="52">
        <v>13</v>
      </c>
      <c r="C15" s="52" t="s">
        <v>134</v>
      </c>
      <c r="D15" s="52" t="s">
        <v>767</v>
      </c>
      <c r="E15" s="54" t="s">
        <v>780</v>
      </c>
      <c r="F15" s="52" t="s">
        <v>64</v>
      </c>
      <c r="G15" s="52" t="s">
        <v>781</v>
      </c>
      <c r="H15" s="52" t="s">
        <v>129</v>
      </c>
      <c r="I15" s="52" t="s">
        <v>101</v>
      </c>
      <c r="J15" s="52" t="s">
        <v>143</v>
      </c>
      <c r="K15" s="54" t="s">
        <v>782</v>
      </c>
      <c r="L15" s="55" t="s">
        <v>177</v>
      </c>
      <c r="M15" s="55" t="s">
        <v>106</v>
      </c>
      <c r="N15" s="53" t="s">
        <v>781</v>
      </c>
    </row>
    <row r="16" spans="2:14">
      <c r="B16" s="52">
        <v>14</v>
      </c>
      <c r="C16" s="52" t="s">
        <v>134</v>
      </c>
      <c r="D16" s="52" t="s">
        <v>767</v>
      </c>
      <c r="E16" s="54" t="s">
        <v>783</v>
      </c>
      <c r="F16" s="52" t="s">
        <v>272</v>
      </c>
      <c r="G16" s="52" t="s">
        <v>784</v>
      </c>
      <c r="H16" s="52" t="s">
        <v>129</v>
      </c>
      <c r="I16" s="52" t="s">
        <v>48</v>
      </c>
      <c r="J16" s="52" t="s">
        <v>49</v>
      </c>
      <c r="K16" s="53" t="s">
        <v>785</v>
      </c>
      <c r="L16" s="55" t="s">
        <v>54</v>
      </c>
      <c r="M16" s="55" t="s">
        <v>106</v>
      </c>
      <c r="N16" s="53" t="s">
        <v>134</v>
      </c>
    </row>
    <row r="17" spans="2:14">
      <c r="B17" s="32">
        <v>15</v>
      </c>
      <c r="C17" s="32" t="s">
        <v>134</v>
      </c>
      <c r="D17" s="32" t="s">
        <v>767</v>
      </c>
      <c r="E17" s="38" t="s">
        <v>786</v>
      </c>
      <c r="F17" s="31" t="s">
        <v>210</v>
      </c>
      <c r="G17" s="32" t="s">
        <v>33</v>
      </c>
      <c r="H17" s="31" t="s">
        <v>47</v>
      </c>
      <c r="I17" s="32" t="s">
        <v>48</v>
      </c>
      <c r="J17" s="35" t="s">
        <v>49</v>
      </c>
      <c r="K17" s="37"/>
      <c r="L17" s="34" t="s">
        <v>54</v>
      </c>
      <c r="M17" s="34" t="s">
        <v>81</v>
      </c>
      <c r="N17" s="33" t="s">
        <v>212</v>
      </c>
    </row>
    <row r="18" spans="2:14">
      <c r="B18" s="52">
        <v>16</v>
      </c>
      <c r="C18" s="52" t="s">
        <v>134</v>
      </c>
      <c r="D18" s="52" t="s">
        <v>767</v>
      </c>
      <c r="E18" s="54" t="s">
        <v>787</v>
      </c>
      <c r="F18" s="52" t="s">
        <v>210</v>
      </c>
      <c r="G18" s="52" t="s">
        <v>135</v>
      </c>
      <c r="H18" s="52" t="s">
        <v>402</v>
      </c>
      <c r="I18" s="52" t="s">
        <v>48</v>
      </c>
      <c r="J18" s="52" t="s">
        <v>49</v>
      </c>
      <c r="K18" s="58" t="s">
        <v>625</v>
      </c>
      <c r="L18" s="55" t="s">
        <v>54</v>
      </c>
      <c r="M18" s="55" t="s">
        <v>81</v>
      </c>
      <c r="N18" s="53" t="s">
        <v>134</v>
      </c>
    </row>
    <row r="19" spans="2:14">
      <c r="B19" s="52">
        <v>17</v>
      </c>
      <c r="C19" s="52" t="s">
        <v>134</v>
      </c>
      <c r="D19" s="52" t="s">
        <v>767</v>
      </c>
      <c r="E19" s="54" t="s">
        <v>788</v>
      </c>
      <c r="F19" s="52" t="s">
        <v>210</v>
      </c>
      <c r="G19" s="52" t="s">
        <v>135</v>
      </c>
      <c r="H19" s="52" t="s">
        <v>258</v>
      </c>
      <c r="I19" s="52" t="s">
        <v>101</v>
      </c>
      <c r="J19" s="52" t="s">
        <v>143</v>
      </c>
      <c r="K19" s="54" t="s">
        <v>577</v>
      </c>
      <c r="L19" s="55" t="s">
        <v>69</v>
      </c>
      <c r="M19" s="55" t="s">
        <v>106</v>
      </c>
      <c r="N19" s="53" t="s">
        <v>147</v>
      </c>
    </row>
    <row r="20" spans="2:14">
      <c r="B20" s="52">
        <v>18</v>
      </c>
      <c r="C20" s="52" t="s">
        <v>134</v>
      </c>
      <c r="D20" s="52" t="s">
        <v>767</v>
      </c>
      <c r="E20" s="54" t="s">
        <v>789</v>
      </c>
      <c r="F20" s="63" t="s">
        <v>210</v>
      </c>
      <c r="G20" s="52" t="s">
        <v>135</v>
      </c>
      <c r="H20" s="52" t="s">
        <v>258</v>
      </c>
      <c r="I20" s="52" t="s">
        <v>101</v>
      </c>
      <c r="J20" s="52" t="s">
        <v>143</v>
      </c>
      <c r="K20" s="54" t="s">
        <v>577</v>
      </c>
      <c r="L20" s="55" t="s">
        <v>69</v>
      </c>
      <c r="M20" s="55" t="s">
        <v>106</v>
      </c>
      <c r="N20" s="53" t="s">
        <v>147</v>
      </c>
    </row>
    <row r="21" spans="2:14">
      <c r="B21" s="32">
        <v>19</v>
      </c>
      <c r="C21" s="32" t="s">
        <v>134</v>
      </c>
      <c r="D21" s="32" t="s">
        <v>767</v>
      </c>
      <c r="E21" s="38" t="s">
        <v>790</v>
      </c>
      <c r="F21" s="43" t="s">
        <v>210</v>
      </c>
      <c r="G21" s="32" t="s">
        <v>135</v>
      </c>
      <c r="H21" s="31" t="s">
        <v>47</v>
      </c>
      <c r="I21" s="32" t="s">
        <v>101</v>
      </c>
      <c r="J21" s="32" t="s">
        <v>143</v>
      </c>
      <c r="K21" s="38"/>
      <c r="L21" s="34" t="s">
        <v>69</v>
      </c>
      <c r="M21" s="34" t="s">
        <v>106</v>
      </c>
      <c r="N21" s="33" t="s">
        <v>147</v>
      </c>
    </row>
    <row r="22" spans="2:14">
      <c r="B22" s="32">
        <v>20</v>
      </c>
      <c r="C22" s="32" t="s">
        <v>134</v>
      </c>
      <c r="D22" s="32" t="s">
        <v>767</v>
      </c>
      <c r="E22" s="38" t="s">
        <v>791</v>
      </c>
      <c r="F22" s="31" t="s">
        <v>210</v>
      </c>
      <c r="G22" s="32" t="s">
        <v>135</v>
      </c>
      <c r="H22" s="31" t="s">
        <v>47</v>
      </c>
      <c r="I22" s="32" t="s">
        <v>101</v>
      </c>
      <c r="J22" s="32" t="s">
        <v>143</v>
      </c>
      <c r="K22" s="47" t="s">
        <v>232</v>
      </c>
      <c r="L22" s="34" t="s">
        <v>69</v>
      </c>
      <c r="M22" s="34" t="s">
        <v>106</v>
      </c>
      <c r="N22" s="33" t="s">
        <v>147</v>
      </c>
    </row>
    <row r="23" spans="2:14">
      <c r="B23" s="32">
        <v>21</v>
      </c>
      <c r="C23" s="32" t="s">
        <v>134</v>
      </c>
      <c r="D23" s="32" t="s">
        <v>767</v>
      </c>
      <c r="E23" s="38" t="s">
        <v>237</v>
      </c>
      <c r="F23" s="31" t="s">
        <v>210</v>
      </c>
      <c r="G23" s="32" t="s">
        <v>33</v>
      </c>
      <c r="H23" s="31" t="s">
        <v>47</v>
      </c>
      <c r="I23" s="32" t="s">
        <v>101</v>
      </c>
      <c r="J23" s="35" t="s">
        <v>49</v>
      </c>
      <c r="K23" s="38"/>
      <c r="L23" s="34" t="s">
        <v>69</v>
      </c>
      <c r="M23" s="34" t="s">
        <v>106</v>
      </c>
      <c r="N23" s="33" t="s">
        <v>242</v>
      </c>
    </row>
    <row r="24" spans="2:14">
      <c r="B24" s="32">
        <v>22</v>
      </c>
      <c r="C24" s="32" t="s">
        <v>134</v>
      </c>
      <c r="D24" s="32" t="s">
        <v>767</v>
      </c>
      <c r="E24" s="38" t="s">
        <v>792</v>
      </c>
      <c r="F24" s="31" t="s">
        <v>210</v>
      </c>
      <c r="G24" s="32" t="s">
        <v>135</v>
      </c>
      <c r="H24" s="31" t="s">
        <v>47</v>
      </c>
      <c r="I24" s="32" t="s">
        <v>101</v>
      </c>
      <c r="J24" s="32" t="s">
        <v>143</v>
      </c>
      <c r="K24" s="38"/>
      <c r="L24" s="34" t="s">
        <v>69</v>
      </c>
      <c r="M24" s="34" t="s">
        <v>106</v>
      </c>
      <c r="N24" s="33" t="s">
        <v>147</v>
      </c>
    </row>
    <row r="25" spans="2:14">
      <c r="B25" s="52">
        <v>23</v>
      </c>
      <c r="C25" s="52" t="s">
        <v>134</v>
      </c>
      <c r="D25" s="52" t="s">
        <v>767</v>
      </c>
      <c r="E25" s="54" t="s">
        <v>793</v>
      </c>
      <c r="F25" s="52" t="s">
        <v>210</v>
      </c>
      <c r="G25" s="52" t="s">
        <v>135</v>
      </c>
      <c r="H25" s="52" t="s">
        <v>258</v>
      </c>
      <c r="I25" s="52" t="s">
        <v>101</v>
      </c>
      <c r="J25" s="52" t="s">
        <v>143</v>
      </c>
      <c r="K25" s="54" t="s">
        <v>260</v>
      </c>
      <c r="L25" s="55" t="s">
        <v>263</v>
      </c>
      <c r="M25" s="55" t="s">
        <v>106</v>
      </c>
      <c r="N25" s="53" t="s">
        <v>147</v>
      </c>
    </row>
    <row r="26" spans="2:14">
      <c r="B26" s="32">
        <v>24</v>
      </c>
      <c r="C26" s="32" t="s">
        <v>781</v>
      </c>
      <c r="D26" s="32" t="s">
        <v>767</v>
      </c>
      <c r="E26" s="38" t="s">
        <v>794</v>
      </c>
      <c r="F26" s="31" t="s">
        <v>272</v>
      </c>
      <c r="G26" s="32" t="s">
        <v>33</v>
      </c>
      <c r="H26" s="31" t="s">
        <v>47</v>
      </c>
      <c r="I26" s="32" t="s">
        <v>48</v>
      </c>
      <c r="J26" s="35" t="s">
        <v>49</v>
      </c>
      <c r="K26" s="36"/>
      <c r="L26" s="34" t="s">
        <v>177</v>
      </c>
      <c r="M26" s="34" t="s">
        <v>106</v>
      </c>
      <c r="N26" s="33" t="s">
        <v>275</v>
      </c>
    </row>
    <row r="27" spans="2:14">
      <c r="B27" s="32">
        <v>25</v>
      </c>
      <c r="C27" s="32" t="s">
        <v>134</v>
      </c>
      <c r="D27" s="32" t="s">
        <v>767</v>
      </c>
      <c r="E27" s="38" t="s">
        <v>795</v>
      </c>
      <c r="F27" s="31" t="s">
        <v>272</v>
      </c>
      <c r="G27" s="32" t="s">
        <v>33</v>
      </c>
      <c r="H27" s="31" t="s">
        <v>47</v>
      </c>
      <c r="I27" s="32" t="s">
        <v>369</v>
      </c>
      <c r="J27" s="35" t="s">
        <v>49</v>
      </c>
      <c r="K27" s="38"/>
      <c r="L27" s="34" t="s">
        <v>81</v>
      </c>
      <c r="M27" s="34" t="s">
        <v>796</v>
      </c>
      <c r="N27" s="33" t="s">
        <v>797</v>
      </c>
    </row>
    <row r="28" spans="2:14">
      <c r="B28" s="32">
        <v>26</v>
      </c>
      <c r="C28" s="32" t="s">
        <v>134</v>
      </c>
      <c r="D28" s="32" t="s">
        <v>767</v>
      </c>
      <c r="E28" s="38" t="s">
        <v>798</v>
      </c>
      <c r="F28" s="31" t="s">
        <v>272</v>
      </c>
      <c r="G28" s="32" t="s">
        <v>33</v>
      </c>
      <c r="H28" s="31" t="s">
        <v>47</v>
      </c>
      <c r="I28" s="32" t="s">
        <v>48</v>
      </c>
      <c r="J28" s="35" t="s">
        <v>49</v>
      </c>
      <c r="K28" s="37" t="s">
        <v>283</v>
      </c>
      <c r="L28" s="34" t="s">
        <v>54</v>
      </c>
      <c r="M28" s="34" t="s">
        <v>55</v>
      </c>
      <c r="N28" s="33" t="s">
        <v>285</v>
      </c>
    </row>
    <row r="29" spans="2:14">
      <c r="B29" s="52">
        <v>27</v>
      </c>
      <c r="C29" s="52" t="s">
        <v>134</v>
      </c>
      <c r="D29" s="52" t="s">
        <v>767</v>
      </c>
      <c r="E29" s="59" t="s">
        <v>799</v>
      </c>
      <c r="F29" s="52" t="s">
        <v>272</v>
      </c>
      <c r="G29" s="52" t="s">
        <v>33</v>
      </c>
      <c r="H29" s="52" t="s">
        <v>129</v>
      </c>
      <c r="I29" s="52" t="s">
        <v>101</v>
      </c>
      <c r="J29" s="56" t="s">
        <v>49</v>
      </c>
      <c r="K29" s="61" t="s">
        <v>591</v>
      </c>
      <c r="L29" s="53" t="s">
        <v>81</v>
      </c>
      <c r="M29" s="60" t="s">
        <v>593</v>
      </c>
      <c r="N29" s="53" t="s">
        <v>594</v>
      </c>
    </row>
    <row r="30" spans="2:14">
      <c r="B30" s="52">
        <v>28</v>
      </c>
      <c r="C30" s="52" t="s">
        <v>134</v>
      </c>
      <c r="D30" s="52" t="s">
        <v>767</v>
      </c>
      <c r="E30" s="59" t="s">
        <v>800</v>
      </c>
      <c r="F30" s="52" t="s">
        <v>272</v>
      </c>
      <c r="G30" s="52" t="s">
        <v>33</v>
      </c>
      <c r="H30" s="52" t="s">
        <v>129</v>
      </c>
      <c r="I30" s="52" t="s">
        <v>369</v>
      </c>
      <c r="J30" s="52" t="s">
        <v>49</v>
      </c>
      <c r="K30" s="61" t="s">
        <v>591</v>
      </c>
      <c r="L30" s="53" t="s">
        <v>369</v>
      </c>
      <c r="M30" s="53" t="s">
        <v>796</v>
      </c>
      <c r="N30" s="53" t="s">
        <v>801</v>
      </c>
    </row>
    <row r="31" spans="2:14">
      <c r="B31" s="32">
        <v>29</v>
      </c>
      <c r="C31" s="32" t="s">
        <v>134</v>
      </c>
      <c r="D31" s="32" t="s">
        <v>767</v>
      </c>
      <c r="E31" s="38" t="s">
        <v>802</v>
      </c>
      <c r="F31" s="31" t="s">
        <v>272</v>
      </c>
      <c r="G31" s="32" t="s">
        <v>33</v>
      </c>
      <c r="H31" s="31" t="s">
        <v>47</v>
      </c>
      <c r="I31" s="32" t="s">
        <v>48</v>
      </c>
      <c r="J31" s="35" t="s">
        <v>49</v>
      </c>
      <c r="K31" s="37" t="s">
        <v>293</v>
      </c>
      <c r="L31" s="34" t="s">
        <v>69</v>
      </c>
      <c r="M31" s="34" t="s">
        <v>106</v>
      </c>
      <c r="N31" s="33" t="s">
        <v>295</v>
      </c>
    </row>
    <row r="32" spans="2:14">
      <c r="B32" s="32">
        <v>30</v>
      </c>
      <c r="C32" s="32" t="s">
        <v>134</v>
      </c>
      <c r="D32" s="32" t="s">
        <v>767</v>
      </c>
      <c r="E32" s="38" t="s">
        <v>803</v>
      </c>
      <c r="F32" s="31" t="s">
        <v>272</v>
      </c>
      <c r="G32" s="32" t="s">
        <v>33</v>
      </c>
      <c r="H32" s="31" t="s">
        <v>47</v>
      </c>
      <c r="I32" s="32" t="s">
        <v>369</v>
      </c>
      <c r="J32" s="35" t="s">
        <v>49</v>
      </c>
      <c r="K32" s="38"/>
      <c r="L32" s="34" t="s">
        <v>81</v>
      </c>
      <c r="M32" s="34" t="s">
        <v>796</v>
      </c>
      <c r="N32" s="33" t="s">
        <v>804</v>
      </c>
    </row>
    <row r="33" spans="2:14">
      <c r="B33" s="32">
        <v>31</v>
      </c>
      <c r="C33" s="32" t="s">
        <v>134</v>
      </c>
      <c r="D33" s="32" t="s">
        <v>767</v>
      </c>
      <c r="E33" s="38" t="s">
        <v>299</v>
      </c>
      <c r="F33" s="31" t="s">
        <v>272</v>
      </c>
      <c r="G33" s="32" t="s">
        <v>33</v>
      </c>
      <c r="H33" s="31" t="s">
        <v>47</v>
      </c>
      <c r="I33" s="32" t="s">
        <v>48</v>
      </c>
      <c r="J33" s="35" t="s">
        <v>49</v>
      </c>
      <c r="K33" s="37" t="s">
        <v>303</v>
      </c>
      <c r="L33" s="34" t="s">
        <v>69</v>
      </c>
      <c r="M33" s="34" t="s">
        <v>106</v>
      </c>
      <c r="N33" s="33" t="s">
        <v>305</v>
      </c>
    </row>
    <row r="34" spans="2:14">
      <c r="B34" s="32">
        <v>32</v>
      </c>
      <c r="C34" s="32" t="s">
        <v>134</v>
      </c>
      <c r="D34" s="32" t="s">
        <v>767</v>
      </c>
      <c r="E34" s="38" t="s">
        <v>805</v>
      </c>
      <c r="F34" s="31" t="s">
        <v>272</v>
      </c>
      <c r="G34" s="32" t="s">
        <v>33</v>
      </c>
      <c r="H34" s="31" t="s">
        <v>47</v>
      </c>
      <c r="I34" s="32" t="s">
        <v>48</v>
      </c>
      <c r="J34" s="35" t="s">
        <v>49</v>
      </c>
      <c r="K34" s="37" t="s">
        <v>313</v>
      </c>
      <c r="L34" s="34" t="s">
        <v>69</v>
      </c>
      <c r="M34" s="34" t="s">
        <v>106</v>
      </c>
      <c r="N34" s="33" t="s">
        <v>315</v>
      </c>
    </row>
    <row r="35" spans="2:14">
      <c r="B35" s="32">
        <v>33</v>
      </c>
      <c r="C35" s="32" t="s">
        <v>134</v>
      </c>
      <c r="D35" s="32" t="s">
        <v>767</v>
      </c>
      <c r="E35" s="38" t="s">
        <v>806</v>
      </c>
      <c r="F35" s="31" t="s">
        <v>272</v>
      </c>
      <c r="G35" s="32" t="s">
        <v>33</v>
      </c>
      <c r="H35" s="31" t="s">
        <v>47</v>
      </c>
      <c r="I35" s="32" t="s">
        <v>48</v>
      </c>
      <c r="J35" s="35" t="s">
        <v>49</v>
      </c>
      <c r="K35" s="36"/>
      <c r="L35" s="34" t="s">
        <v>54</v>
      </c>
      <c r="M35" s="34" t="s">
        <v>106</v>
      </c>
      <c r="N35" s="33" t="s">
        <v>324</v>
      </c>
    </row>
    <row r="36" spans="2:14">
      <c r="B36" s="32">
        <v>34</v>
      </c>
      <c r="C36" s="32" t="s">
        <v>134</v>
      </c>
      <c r="D36" s="32" t="s">
        <v>767</v>
      </c>
      <c r="E36" s="38" t="s">
        <v>807</v>
      </c>
      <c r="F36" s="31" t="s">
        <v>272</v>
      </c>
      <c r="G36" s="32" t="s">
        <v>33</v>
      </c>
      <c r="H36" s="31" t="s">
        <v>47</v>
      </c>
      <c r="I36" s="41" t="s">
        <v>48</v>
      </c>
      <c r="J36" s="35" t="s">
        <v>49</v>
      </c>
      <c r="K36" s="38" t="s">
        <v>332</v>
      </c>
      <c r="L36" s="39" t="s">
        <v>334</v>
      </c>
      <c r="M36" s="40" t="s">
        <v>335</v>
      </c>
      <c r="N36" s="33" t="s">
        <v>336</v>
      </c>
    </row>
    <row r="37" spans="2:14">
      <c r="B37" s="32">
        <v>35</v>
      </c>
      <c r="C37" s="32" t="s">
        <v>134</v>
      </c>
      <c r="D37" s="32" t="s">
        <v>767</v>
      </c>
      <c r="E37" s="38" t="s">
        <v>808</v>
      </c>
      <c r="F37" s="31" t="s">
        <v>272</v>
      </c>
      <c r="G37" s="32" t="s">
        <v>595</v>
      </c>
      <c r="H37" s="31" t="s">
        <v>47</v>
      </c>
      <c r="I37" s="32" t="s">
        <v>101</v>
      </c>
      <c r="J37" s="35" t="s">
        <v>49</v>
      </c>
      <c r="K37" s="38"/>
      <c r="L37" s="34" t="s">
        <v>69</v>
      </c>
      <c r="M37" s="34" t="s">
        <v>106</v>
      </c>
      <c r="N37" s="45" t="s">
        <v>604</v>
      </c>
    </row>
    <row r="38" spans="2:14" ht="14.1" customHeight="1">
      <c r="B38" s="32">
        <v>36</v>
      </c>
      <c r="C38" s="32" t="s">
        <v>134</v>
      </c>
      <c r="D38" s="32" t="s">
        <v>767</v>
      </c>
      <c r="E38" s="38" t="s">
        <v>809</v>
      </c>
      <c r="F38" s="31" t="s">
        <v>272</v>
      </c>
      <c r="G38" s="32" t="s">
        <v>33</v>
      </c>
      <c r="H38" s="31" t="s">
        <v>47</v>
      </c>
      <c r="I38" s="32" t="s">
        <v>101</v>
      </c>
      <c r="J38" s="35" t="s">
        <v>49</v>
      </c>
      <c r="K38" s="38" t="s">
        <v>344</v>
      </c>
      <c r="L38" s="34" t="s">
        <v>69</v>
      </c>
      <c r="M38" s="39" t="s">
        <v>348</v>
      </c>
      <c r="N38" s="46" t="s">
        <v>349</v>
      </c>
    </row>
    <row r="39" spans="2:14">
      <c r="B39" s="32">
        <v>37</v>
      </c>
      <c r="C39" s="32" t="s">
        <v>134</v>
      </c>
      <c r="D39" s="32" t="s">
        <v>767</v>
      </c>
      <c r="E39" s="38" t="s">
        <v>810</v>
      </c>
      <c r="F39" s="31" t="s">
        <v>272</v>
      </c>
      <c r="G39" s="32" t="s">
        <v>33</v>
      </c>
      <c r="H39" s="31" t="s">
        <v>47</v>
      </c>
      <c r="I39" s="32" t="s">
        <v>101</v>
      </c>
      <c r="J39" s="35" t="s">
        <v>49</v>
      </c>
      <c r="K39" s="37" t="s">
        <v>357</v>
      </c>
      <c r="L39" s="39" t="s">
        <v>334</v>
      </c>
      <c r="M39" s="34" t="s">
        <v>106</v>
      </c>
      <c r="N39" s="33" t="s">
        <v>359</v>
      </c>
    </row>
    <row r="40" spans="2:14">
      <c r="B40" s="32">
        <v>38</v>
      </c>
      <c r="C40" s="32" t="s">
        <v>134</v>
      </c>
      <c r="D40" s="32" t="s">
        <v>767</v>
      </c>
      <c r="E40" s="38" t="s">
        <v>811</v>
      </c>
      <c r="F40" s="31" t="s">
        <v>368</v>
      </c>
      <c r="G40" s="32" t="s">
        <v>360</v>
      </c>
      <c r="H40" s="31" t="s">
        <v>47</v>
      </c>
      <c r="I40" s="32" t="s">
        <v>369</v>
      </c>
      <c r="J40" s="35" t="s">
        <v>49</v>
      </c>
      <c r="K40" s="38"/>
      <c r="L40" s="39" t="s">
        <v>334</v>
      </c>
      <c r="M40" s="34" t="s">
        <v>373</v>
      </c>
      <c r="N40" s="33" t="s">
        <v>374</v>
      </c>
    </row>
    <row r="41" spans="2:14">
      <c r="B41" s="32">
        <v>39</v>
      </c>
      <c r="C41" s="32" t="s">
        <v>134</v>
      </c>
      <c r="D41" s="32" t="s">
        <v>767</v>
      </c>
      <c r="E41" s="38" t="s">
        <v>812</v>
      </c>
      <c r="F41" s="31" t="s">
        <v>368</v>
      </c>
      <c r="G41" s="32" t="s">
        <v>360</v>
      </c>
      <c r="H41" s="31" t="s">
        <v>47</v>
      </c>
      <c r="I41" s="32" t="s">
        <v>48</v>
      </c>
      <c r="J41" s="35" t="s">
        <v>49</v>
      </c>
      <c r="K41" s="38"/>
      <c r="L41" s="39" t="s">
        <v>334</v>
      </c>
      <c r="M41" s="34" t="s">
        <v>373</v>
      </c>
      <c r="N41" s="33" t="s">
        <v>381</v>
      </c>
    </row>
    <row r="42" spans="2:14">
      <c r="B42" s="32">
        <v>40</v>
      </c>
      <c r="C42" s="32" t="s">
        <v>134</v>
      </c>
      <c r="D42" s="32" t="s">
        <v>767</v>
      </c>
      <c r="E42" s="38" t="s">
        <v>813</v>
      </c>
      <c r="F42" s="31"/>
      <c r="G42" s="32"/>
      <c r="H42" s="31" t="s">
        <v>132</v>
      </c>
      <c r="I42" s="32"/>
      <c r="J42" s="35"/>
      <c r="K42" s="38"/>
      <c r="L42" s="34"/>
      <c r="M42" s="34"/>
      <c r="N42" s="33"/>
    </row>
    <row r="43" spans="2:14">
      <c r="B43" s="32"/>
      <c r="C43" s="32"/>
      <c r="D43" s="32"/>
      <c r="E43" s="62"/>
      <c r="F43" s="32"/>
      <c r="G43" s="32"/>
      <c r="H43" s="32"/>
      <c r="I43" s="32"/>
      <c r="J43" s="32"/>
      <c r="K43" s="62"/>
      <c r="L43" s="34"/>
      <c r="M43" s="34"/>
      <c r="N43" s="33"/>
    </row>
    <row r="44" spans="2:14">
      <c r="B44" s="32"/>
      <c r="C44" s="32"/>
      <c r="D44" s="32"/>
      <c r="E44" s="38"/>
      <c r="F44" s="31"/>
      <c r="G44" s="32"/>
      <c r="H44" s="31"/>
      <c r="I44" s="32"/>
      <c r="J44" s="32"/>
      <c r="K44" s="38"/>
      <c r="L44" s="34"/>
      <c r="M44" s="34"/>
      <c r="N44" s="33"/>
    </row>
    <row r="46" spans="2:14">
      <c r="C46" s="49" t="s">
        <v>53</v>
      </c>
      <c r="D46" s="48">
        <v>30</v>
      </c>
    </row>
    <row r="47" spans="2:14">
      <c r="C47" s="49" t="s">
        <v>407</v>
      </c>
      <c r="D47" s="48">
        <v>3</v>
      </c>
    </row>
    <row r="48" spans="2:14">
      <c r="C48" s="49" t="s">
        <v>132</v>
      </c>
      <c r="D48" s="48">
        <v>7</v>
      </c>
    </row>
  </sheetData>
  <sortState xmlns:xlrd2="http://schemas.microsoft.com/office/spreadsheetml/2017/richdata2" ref="B3:K43">
    <sortCondition ref="B3:B43"/>
  </sortState>
  <phoneticPr fontId="4" type="noConversion"/>
  <pageMargins left="0.7" right="0.7" top="0.75" bottom="0.75" header="0.3" footer="0.3"/>
  <customProperties>
    <customPr name="_pios_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196C8-B356-4BD5-B826-9776A62E806F}">
  <sheetPr>
    <tabColor rgb="FFFFFF00"/>
  </sheetPr>
  <dimension ref="A1:AC96"/>
  <sheetViews>
    <sheetView showGridLines="0" workbookViewId="0">
      <selection activeCell="C6" sqref="C6:H6"/>
    </sheetView>
  </sheetViews>
  <sheetFormatPr defaultColWidth="12.625" defaultRowHeight="16.5"/>
  <cols>
    <col min="1" max="1" width="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18" customHeight="1" thickBot="1">
      <c r="A1" s="67" t="s">
        <v>814</v>
      </c>
    </row>
    <row r="2" spans="1:29" ht="23.1" customHeight="1">
      <c r="B2" s="992" t="s">
        <v>815</v>
      </c>
      <c r="C2" s="993"/>
      <c r="D2" s="993"/>
      <c r="E2" s="993"/>
      <c r="F2" s="993"/>
      <c r="G2" s="993"/>
      <c r="H2" s="993"/>
      <c r="I2" s="994"/>
      <c r="J2" s="70" t="s">
        <v>816</v>
      </c>
      <c r="K2" s="998" t="s">
        <v>128</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824</v>
      </c>
      <c r="J5" s="980"/>
      <c r="K5" s="980"/>
      <c r="L5" s="980"/>
      <c r="M5" s="980"/>
      <c r="N5" s="980"/>
      <c r="O5" s="980"/>
      <c r="P5" s="980"/>
      <c r="Q5" s="980"/>
      <c r="R5" s="983" t="s">
        <v>825</v>
      </c>
      <c r="S5" s="985" t="s">
        <v>826</v>
      </c>
      <c r="T5" s="73"/>
      <c r="Z5" s="76" t="s">
        <v>827</v>
      </c>
      <c r="AA5" s="76"/>
      <c r="AB5" s="76"/>
      <c r="AC5" s="77"/>
    </row>
    <row r="6" spans="1:29" ht="32.1" customHeight="1">
      <c r="B6" s="78" t="s">
        <v>828</v>
      </c>
      <c r="C6" s="987" t="s">
        <v>3715</v>
      </c>
      <c r="D6" s="984"/>
      <c r="E6" s="984"/>
      <c r="F6" s="984"/>
      <c r="G6" s="984"/>
      <c r="H6" s="986"/>
      <c r="I6" s="102" t="s">
        <v>829</v>
      </c>
      <c r="J6" s="988" t="s">
        <v>830</v>
      </c>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105" t="s">
        <v>844</v>
      </c>
      <c r="D8" s="119"/>
      <c r="E8" s="107" t="s">
        <v>845</v>
      </c>
      <c r="F8" s="107">
        <v>5</v>
      </c>
      <c r="G8" s="108" t="s">
        <v>846</v>
      </c>
      <c r="H8" s="109" t="s">
        <v>847</v>
      </c>
      <c r="I8" s="110">
        <v>1</v>
      </c>
      <c r="J8" s="117"/>
      <c r="K8" s="112"/>
      <c r="L8" s="113"/>
      <c r="M8" s="112"/>
      <c r="N8" s="114"/>
      <c r="O8" s="114"/>
      <c r="P8" s="112"/>
      <c r="Q8" s="112"/>
      <c r="R8" s="114"/>
      <c r="S8" s="134"/>
      <c r="Z8" s="116" t="s">
        <v>848</v>
      </c>
      <c r="AA8" s="116" t="s">
        <v>849</v>
      </c>
      <c r="AB8" s="116" t="s">
        <v>850</v>
      </c>
      <c r="AC8" s="116" t="s">
        <v>851</v>
      </c>
    </row>
    <row r="9" spans="1:29" s="73" customFormat="1" ht="13.5">
      <c r="B9" s="104">
        <v>2</v>
      </c>
      <c r="C9" s="105" t="s">
        <v>852</v>
      </c>
      <c r="D9" s="119" t="s">
        <v>42</v>
      </c>
      <c r="E9" s="107" t="s">
        <v>845</v>
      </c>
      <c r="F9" s="107">
        <v>4</v>
      </c>
      <c r="G9" s="108" t="s">
        <v>853</v>
      </c>
      <c r="H9" s="109" t="s">
        <v>854</v>
      </c>
      <c r="I9" s="110">
        <v>2</v>
      </c>
      <c r="J9" s="117" t="s">
        <v>855</v>
      </c>
      <c r="K9" s="119"/>
      <c r="L9" s="113" t="s">
        <v>856</v>
      </c>
      <c r="M9" s="112">
        <v>1000</v>
      </c>
      <c r="N9" s="114" t="s">
        <v>853</v>
      </c>
      <c r="O9" s="114" t="s">
        <v>854</v>
      </c>
      <c r="P9" s="112"/>
      <c r="Q9" s="112"/>
      <c r="R9" s="114"/>
      <c r="S9" s="134"/>
      <c r="T9" s="71"/>
      <c r="Z9" s="116" t="s">
        <v>857</v>
      </c>
      <c r="AA9" s="116" t="s">
        <v>858</v>
      </c>
      <c r="AB9" s="116" t="s">
        <v>859</v>
      </c>
      <c r="AC9" s="116" t="s">
        <v>860</v>
      </c>
    </row>
    <row r="10" spans="1:29" s="73" customFormat="1" ht="13.5">
      <c r="B10" s="104">
        <v>3</v>
      </c>
      <c r="C10" s="105" t="s">
        <v>861</v>
      </c>
      <c r="D10" s="119" t="s">
        <v>42</v>
      </c>
      <c r="E10" s="107" t="s">
        <v>845</v>
      </c>
      <c r="F10" s="107">
        <v>4</v>
      </c>
      <c r="G10" s="108" t="s">
        <v>862</v>
      </c>
      <c r="H10" s="109" t="s">
        <v>863</v>
      </c>
      <c r="I10" s="110">
        <v>3</v>
      </c>
      <c r="J10" s="117" t="s">
        <v>864</v>
      </c>
      <c r="K10" s="119"/>
      <c r="L10" s="113" t="s">
        <v>856</v>
      </c>
      <c r="M10" s="112">
        <v>1000</v>
      </c>
      <c r="N10" s="114" t="s">
        <v>862</v>
      </c>
      <c r="O10" s="114" t="s">
        <v>863</v>
      </c>
      <c r="P10" s="112"/>
      <c r="Q10" s="112"/>
      <c r="R10" s="114"/>
      <c r="S10" s="134"/>
      <c r="T10" s="71"/>
      <c r="Z10" s="116" t="s">
        <v>865</v>
      </c>
      <c r="AA10" s="116" t="s">
        <v>866</v>
      </c>
      <c r="AB10" s="116" t="s">
        <v>867</v>
      </c>
      <c r="AC10" s="116" t="s">
        <v>868</v>
      </c>
    </row>
    <row r="11" spans="1:29" s="73" customFormat="1" ht="13.5">
      <c r="B11" s="104">
        <v>4</v>
      </c>
      <c r="C11" s="105" t="s">
        <v>869</v>
      </c>
      <c r="D11" s="119" t="s">
        <v>42</v>
      </c>
      <c r="E11" s="107" t="s">
        <v>845</v>
      </c>
      <c r="F11" s="107">
        <v>4</v>
      </c>
      <c r="G11" s="108" t="s">
        <v>870</v>
      </c>
      <c r="H11" s="109" t="s">
        <v>871</v>
      </c>
      <c r="I11" s="110">
        <v>4</v>
      </c>
      <c r="J11" s="118" t="s">
        <v>872</v>
      </c>
      <c r="K11" s="119"/>
      <c r="L11" s="113" t="s">
        <v>856</v>
      </c>
      <c r="M11" s="112">
        <v>1000</v>
      </c>
      <c r="N11" s="108" t="s">
        <v>870</v>
      </c>
      <c r="O11" s="108" t="s">
        <v>871</v>
      </c>
      <c r="P11" s="119"/>
      <c r="Q11" s="119"/>
      <c r="R11" s="108"/>
      <c r="S11" s="134"/>
      <c r="Z11" s="116" t="s">
        <v>873</v>
      </c>
      <c r="AA11" s="116" t="s">
        <v>858</v>
      </c>
      <c r="AB11" s="116" t="s">
        <v>874</v>
      </c>
      <c r="AC11" s="116" t="s">
        <v>875</v>
      </c>
    </row>
    <row r="12" spans="1:29" s="73" customFormat="1" ht="13.5">
      <c r="B12" s="104">
        <v>5</v>
      </c>
      <c r="C12" s="105" t="s">
        <v>876</v>
      </c>
      <c r="D12" s="119"/>
      <c r="E12" s="107" t="s">
        <v>845</v>
      </c>
      <c r="F12" s="107">
        <v>3</v>
      </c>
      <c r="G12" s="108" t="s">
        <v>877</v>
      </c>
      <c r="H12" s="109" t="s">
        <v>878</v>
      </c>
      <c r="I12" s="110">
        <v>5</v>
      </c>
      <c r="J12" s="118" t="s">
        <v>879</v>
      </c>
      <c r="K12" s="119"/>
      <c r="L12" s="113" t="s">
        <v>856</v>
      </c>
      <c r="M12" s="112">
        <v>1000</v>
      </c>
      <c r="N12" s="108" t="s">
        <v>877</v>
      </c>
      <c r="O12" s="108" t="s">
        <v>878</v>
      </c>
      <c r="P12" s="119"/>
      <c r="Q12" s="119"/>
      <c r="R12" s="108"/>
      <c r="S12" s="134"/>
      <c r="Z12" s="116" t="s">
        <v>880</v>
      </c>
      <c r="AA12" s="116" t="s">
        <v>881</v>
      </c>
      <c r="AB12" s="116" t="s">
        <v>882</v>
      </c>
      <c r="AC12" s="116" t="s">
        <v>883</v>
      </c>
    </row>
    <row r="13" spans="1:29" s="73" customFormat="1" ht="13.5">
      <c r="B13" s="104">
        <v>6</v>
      </c>
      <c r="C13" s="105" t="s">
        <v>884</v>
      </c>
      <c r="D13" s="119" t="s">
        <v>42</v>
      </c>
      <c r="E13" s="107" t="s">
        <v>845</v>
      </c>
      <c r="F13" s="107">
        <v>4</v>
      </c>
      <c r="G13" s="108" t="s">
        <v>885</v>
      </c>
      <c r="H13" s="109" t="s">
        <v>886</v>
      </c>
      <c r="I13" s="110">
        <v>6</v>
      </c>
      <c r="J13" s="118" t="s">
        <v>886</v>
      </c>
      <c r="K13" s="119"/>
      <c r="L13" s="113" t="s">
        <v>856</v>
      </c>
      <c r="M13" s="112">
        <v>1000</v>
      </c>
      <c r="N13" s="108" t="s">
        <v>887</v>
      </c>
      <c r="O13" s="108" t="s">
        <v>886</v>
      </c>
      <c r="P13" s="119"/>
      <c r="Q13" s="112"/>
      <c r="R13" s="114"/>
      <c r="S13" s="134"/>
      <c r="Z13" s="116" t="s">
        <v>888</v>
      </c>
      <c r="AA13" s="116" t="s">
        <v>889</v>
      </c>
      <c r="AB13" s="116" t="s">
        <v>890</v>
      </c>
      <c r="AC13" s="116" t="s">
        <v>891</v>
      </c>
    </row>
    <row r="14" spans="1:29" s="73" customFormat="1" ht="27">
      <c r="B14" s="104">
        <v>7</v>
      </c>
      <c r="C14" s="105" t="s">
        <v>892</v>
      </c>
      <c r="D14" s="119"/>
      <c r="E14" s="107" t="s">
        <v>845</v>
      </c>
      <c r="F14" s="107">
        <v>1</v>
      </c>
      <c r="G14" s="108" t="s">
        <v>893</v>
      </c>
      <c r="H14" s="109" t="s">
        <v>894</v>
      </c>
      <c r="I14" s="110">
        <v>7</v>
      </c>
      <c r="J14" s="118" t="s">
        <v>895</v>
      </c>
      <c r="K14" s="106"/>
      <c r="L14" s="113" t="s">
        <v>856</v>
      </c>
      <c r="M14" s="112">
        <v>1000</v>
      </c>
      <c r="N14" s="108" t="s">
        <v>893</v>
      </c>
      <c r="O14" s="108" t="s">
        <v>894</v>
      </c>
      <c r="P14" s="119"/>
      <c r="Q14" s="112"/>
      <c r="R14" s="114"/>
      <c r="S14" s="134"/>
      <c r="Z14" s="116" t="s">
        <v>896</v>
      </c>
      <c r="AA14" s="116" t="s">
        <v>849</v>
      </c>
      <c r="AB14" s="116" t="s">
        <v>897</v>
      </c>
      <c r="AC14" s="116" t="s">
        <v>898</v>
      </c>
    </row>
    <row r="15" spans="1:29" s="73" customFormat="1" ht="13.5">
      <c r="B15" s="104">
        <v>8</v>
      </c>
      <c r="C15" s="105" t="s">
        <v>899</v>
      </c>
      <c r="D15" s="119"/>
      <c r="E15" s="107" t="s">
        <v>845</v>
      </c>
      <c r="F15" s="107">
        <v>1</v>
      </c>
      <c r="G15" s="108" t="s">
        <v>900</v>
      </c>
      <c r="H15" s="109" t="s">
        <v>901</v>
      </c>
      <c r="I15" s="110">
        <v>8</v>
      </c>
      <c r="J15" s="118" t="s">
        <v>902</v>
      </c>
      <c r="K15" s="106"/>
      <c r="L15" s="113" t="s">
        <v>856</v>
      </c>
      <c r="M15" s="112">
        <v>1000</v>
      </c>
      <c r="N15" s="108" t="s">
        <v>900</v>
      </c>
      <c r="O15" s="108" t="s">
        <v>901</v>
      </c>
      <c r="P15" s="119"/>
      <c r="Q15" s="112"/>
      <c r="R15" s="114"/>
      <c r="S15" s="134"/>
      <c r="Z15" s="116" t="s">
        <v>903</v>
      </c>
      <c r="AA15" s="116" t="s">
        <v>858</v>
      </c>
      <c r="AB15" s="116" t="s">
        <v>904</v>
      </c>
      <c r="AC15" s="116" t="s">
        <v>860</v>
      </c>
    </row>
    <row r="16" spans="1:29" s="73" customFormat="1" ht="13.5">
      <c r="B16" s="104">
        <v>9</v>
      </c>
      <c r="C16" s="105" t="s">
        <v>905</v>
      </c>
      <c r="D16" s="119"/>
      <c r="E16" s="107" t="s">
        <v>906</v>
      </c>
      <c r="F16" s="107">
        <v>0</v>
      </c>
      <c r="G16" s="108" t="s">
        <v>907</v>
      </c>
      <c r="H16" s="109" t="s">
        <v>908</v>
      </c>
      <c r="I16" s="110">
        <v>9</v>
      </c>
      <c r="J16" s="118"/>
      <c r="K16" s="106"/>
      <c r="L16" s="113"/>
      <c r="M16" s="112"/>
      <c r="N16" s="108"/>
      <c r="O16" s="108"/>
      <c r="P16" s="119"/>
      <c r="Q16" s="112"/>
      <c r="R16" s="114"/>
      <c r="S16" s="134"/>
      <c r="Z16" s="116" t="s">
        <v>909</v>
      </c>
      <c r="AA16" s="116" t="s">
        <v>858</v>
      </c>
      <c r="AB16" s="116" t="s">
        <v>910</v>
      </c>
      <c r="AC16" s="116" t="s">
        <v>911</v>
      </c>
    </row>
    <row r="17" spans="2:29" s="73" customFormat="1" ht="13.5">
      <c r="B17" s="104">
        <v>10</v>
      </c>
      <c r="C17" s="105" t="s">
        <v>912</v>
      </c>
      <c r="D17" s="119"/>
      <c r="E17" s="107" t="s">
        <v>913</v>
      </c>
      <c r="F17" s="107">
        <v>8</v>
      </c>
      <c r="G17" s="108" t="s">
        <v>914</v>
      </c>
      <c r="H17" s="109" t="s">
        <v>915</v>
      </c>
      <c r="I17" s="110">
        <v>10</v>
      </c>
      <c r="J17" s="154" t="s">
        <v>916</v>
      </c>
      <c r="K17" s="155"/>
      <c r="L17" s="156" t="s">
        <v>917</v>
      </c>
      <c r="M17" s="157"/>
      <c r="N17" s="158" t="s">
        <v>918</v>
      </c>
      <c r="O17" s="158" t="s">
        <v>919</v>
      </c>
      <c r="P17" s="157"/>
      <c r="Q17" s="157"/>
      <c r="R17" s="159"/>
      <c r="S17" s="160"/>
      <c r="Z17" s="116" t="s">
        <v>920</v>
      </c>
      <c r="AA17" s="116" t="s">
        <v>849</v>
      </c>
      <c r="AB17" s="116" t="s">
        <v>921</v>
      </c>
      <c r="AC17" s="116" t="s">
        <v>922</v>
      </c>
    </row>
    <row r="18" spans="2:29" s="73" customFormat="1" ht="13.5">
      <c r="B18" s="104">
        <v>11</v>
      </c>
      <c r="C18" s="105" t="s">
        <v>923</v>
      </c>
      <c r="D18" s="119"/>
      <c r="E18" s="107" t="s">
        <v>924</v>
      </c>
      <c r="F18" s="107">
        <v>6</v>
      </c>
      <c r="G18" s="108" t="s">
        <v>925</v>
      </c>
      <c r="H18" s="109" t="s">
        <v>926</v>
      </c>
      <c r="I18" s="110">
        <v>11</v>
      </c>
      <c r="J18" s="154" t="s">
        <v>927</v>
      </c>
      <c r="K18" s="157"/>
      <c r="L18" s="156" t="s">
        <v>928</v>
      </c>
      <c r="M18" s="157">
        <v>30</v>
      </c>
      <c r="N18" s="159" t="s">
        <v>929</v>
      </c>
      <c r="O18" s="159" t="s">
        <v>930</v>
      </c>
      <c r="P18" s="157"/>
      <c r="Q18" s="157"/>
      <c r="R18" s="159"/>
      <c r="S18" s="160"/>
      <c r="Z18" s="116" t="s">
        <v>931</v>
      </c>
      <c r="AA18" s="116" t="s">
        <v>932</v>
      </c>
      <c r="AB18" s="116" t="s">
        <v>933</v>
      </c>
      <c r="AC18" s="116" t="s">
        <v>934</v>
      </c>
    </row>
    <row r="19" spans="2:29" s="73" customFormat="1" ht="13.5">
      <c r="B19" s="104">
        <v>12</v>
      </c>
      <c r="C19" s="121" t="s">
        <v>935</v>
      </c>
      <c r="D19" s="119"/>
      <c r="E19" s="107" t="s">
        <v>845</v>
      </c>
      <c r="F19" s="107">
        <v>12</v>
      </c>
      <c r="G19" s="108" t="s">
        <v>936</v>
      </c>
      <c r="H19" s="109" t="s">
        <v>937</v>
      </c>
      <c r="I19" s="110">
        <v>12</v>
      </c>
      <c r="J19" s="154" t="s">
        <v>938</v>
      </c>
      <c r="K19" s="157"/>
      <c r="L19" s="156" t="s">
        <v>917</v>
      </c>
      <c r="M19" s="157"/>
      <c r="N19" s="159" t="s">
        <v>939</v>
      </c>
      <c r="O19" s="159" t="s">
        <v>940</v>
      </c>
      <c r="P19" s="157"/>
      <c r="Q19" s="157"/>
      <c r="R19" s="159"/>
      <c r="S19" s="160"/>
      <c r="Z19" s="116" t="s">
        <v>941</v>
      </c>
      <c r="AA19" s="116" t="s">
        <v>942</v>
      </c>
      <c r="AB19" s="116" t="s">
        <v>943</v>
      </c>
      <c r="AC19" s="116" t="s">
        <v>944</v>
      </c>
    </row>
    <row r="20" spans="2:29" s="73" customFormat="1" ht="13.5">
      <c r="B20" s="104">
        <v>13</v>
      </c>
      <c r="C20" s="121" t="s">
        <v>945</v>
      </c>
      <c r="D20" s="119"/>
      <c r="E20" s="107" t="s">
        <v>913</v>
      </c>
      <c r="F20" s="107">
        <v>8</v>
      </c>
      <c r="G20" s="108" t="s">
        <v>946</v>
      </c>
      <c r="H20" s="109" t="s">
        <v>947</v>
      </c>
      <c r="I20" s="110">
        <v>13</v>
      </c>
      <c r="J20" s="154" t="s">
        <v>948</v>
      </c>
      <c r="K20" s="157"/>
      <c r="L20" s="156" t="s">
        <v>949</v>
      </c>
      <c r="M20" s="157"/>
      <c r="N20" s="159" t="s">
        <v>950</v>
      </c>
      <c r="O20" s="159" t="s">
        <v>951</v>
      </c>
      <c r="P20" s="157"/>
      <c r="Q20" s="157"/>
      <c r="R20" s="159"/>
      <c r="S20" s="160"/>
      <c r="Z20" s="116" t="s">
        <v>952</v>
      </c>
      <c r="AA20" s="116" t="s">
        <v>942</v>
      </c>
      <c r="AB20" s="116" t="s">
        <v>953</v>
      </c>
      <c r="AC20" s="116" t="s">
        <v>954</v>
      </c>
    </row>
    <row r="21" spans="2:29" s="73" customFormat="1" ht="13.5">
      <c r="B21" s="104">
        <v>14</v>
      </c>
      <c r="C21" s="121" t="s">
        <v>955</v>
      </c>
      <c r="D21" s="119"/>
      <c r="E21" s="107" t="s">
        <v>924</v>
      </c>
      <c r="F21" s="107">
        <v>6</v>
      </c>
      <c r="G21" s="108" t="s">
        <v>956</v>
      </c>
      <c r="H21" s="109" t="s">
        <v>957</v>
      </c>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t="s">
        <v>962</v>
      </c>
      <c r="D22" s="119"/>
      <c r="E22" s="107" t="s">
        <v>845</v>
      </c>
      <c r="F22" s="107">
        <v>12</v>
      </c>
      <c r="G22" s="108" t="s">
        <v>963</v>
      </c>
      <c r="H22" s="109" t="s">
        <v>964</v>
      </c>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50C9096F-8223-41AE-AD51-5FB9227794EA}"/>
  </hyperlinks>
  <pageMargins left="0.7" right="0.7" top="0.75" bottom="0.75" header="0.3" footer="0.3"/>
  <customProperties>
    <customPr name="_pios_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AC9F9-08A2-431C-8E36-2E3660852D68}">
  <sheetPr>
    <tabColor rgb="FFFFFF00"/>
  </sheetPr>
  <dimension ref="A1:U122"/>
  <sheetViews>
    <sheetView showGridLines="0" zoomScaleNormal="100" workbookViewId="0">
      <selection activeCell="C6" sqref="C6:H6"/>
    </sheetView>
  </sheetViews>
  <sheetFormatPr defaultColWidth="12.625" defaultRowHeight="16.5"/>
  <cols>
    <col min="1" max="1" width="2.125" style="69" customWidth="1"/>
    <col min="2" max="2" width="5.125" style="69" customWidth="1"/>
    <col min="3" max="3" width="15.125" style="69" customWidth="1"/>
    <col min="4" max="4" width="3.875" style="148" customWidth="1"/>
    <col min="5" max="5" width="5.625" style="69" bestFit="1" customWidth="1"/>
    <col min="6" max="6" width="4.625" style="69" bestFit="1" customWidth="1"/>
    <col min="7" max="7" width="24.625" style="69" bestFit="1" customWidth="1"/>
    <col min="8" max="8" width="25.125" style="69" bestFit="1" customWidth="1"/>
    <col min="9" max="9" width="5.125" style="69" bestFit="1" customWidth="1"/>
    <col min="10" max="10" width="16.5" style="69" bestFit="1" customWidth="1"/>
    <col min="11" max="11" width="3.5" style="69" bestFit="1" customWidth="1"/>
    <col min="12" max="12" width="9.125" style="69" customWidth="1"/>
    <col min="13" max="13" width="5" style="69" bestFit="1" customWidth="1"/>
    <col min="14" max="14" width="24.625" style="69" bestFit="1" customWidth="1"/>
    <col min="15" max="15" width="25.125" style="69" bestFit="1" customWidth="1"/>
    <col min="16" max="16" width="4.375" style="69" customWidth="1"/>
    <col min="17" max="17" width="3.875" style="69" customWidth="1"/>
    <col min="18" max="18" width="5.625" style="69" bestFit="1" customWidth="1"/>
    <col min="19" max="19" width="4.625" style="69" bestFit="1" customWidth="1"/>
    <col min="20" max="20" width="14.875" style="69" bestFit="1" customWidth="1"/>
    <col min="21" max="16384" width="12.625" style="69"/>
  </cols>
  <sheetData>
    <row r="1" spans="1:20" ht="17.25" thickBot="1">
      <c r="A1" s="67" t="s">
        <v>814</v>
      </c>
    </row>
    <row r="2" spans="1:20">
      <c r="B2" s="992" t="s">
        <v>1065</v>
      </c>
      <c r="C2" s="993"/>
      <c r="D2" s="993"/>
      <c r="E2" s="993"/>
      <c r="F2" s="993"/>
      <c r="G2" s="993"/>
      <c r="H2" s="993"/>
      <c r="I2" s="994"/>
      <c r="J2" s="70" t="s">
        <v>816</v>
      </c>
      <c r="K2" s="998" t="s">
        <v>128</v>
      </c>
      <c r="L2" s="999"/>
      <c r="M2" s="999"/>
      <c r="N2" s="1000"/>
      <c r="O2" s="70" t="s">
        <v>817</v>
      </c>
      <c r="P2" s="1001" t="s">
        <v>818</v>
      </c>
      <c r="Q2" s="1001"/>
      <c r="R2" s="1001"/>
      <c r="S2" s="1002"/>
      <c r="T2" s="71"/>
    </row>
    <row r="3" spans="1:20" ht="17.25"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0" ht="17.25" thickBot="1">
      <c r="B4" s="74" t="s">
        <v>822</v>
      </c>
      <c r="C4" s="73"/>
      <c r="D4" s="75"/>
      <c r="E4" s="73"/>
      <c r="F4" s="73"/>
      <c r="G4" s="73"/>
      <c r="H4" s="73"/>
      <c r="I4" s="73"/>
      <c r="J4" s="73"/>
      <c r="K4" s="73"/>
      <c r="L4" s="73"/>
      <c r="M4" s="73"/>
      <c r="N4" s="75"/>
      <c r="O4" s="75"/>
      <c r="P4" s="73"/>
      <c r="Q4" s="75"/>
      <c r="R4" s="75"/>
      <c r="S4" s="73"/>
      <c r="T4" s="73"/>
    </row>
    <row r="5" spans="1:20">
      <c r="B5" s="979" t="s">
        <v>823</v>
      </c>
      <c r="C5" s="980"/>
      <c r="D5" s="980"/>
      <c r="E5" s="980"/>
      <c r="F5" s="980"/>
      <c r="G5" s="980"/>
      <c r="H5" s="981"/>
      <c r="I5" s="1015" t="s">
        <v>1066</v>
      </c>
      <c r="J5" s="984"/>
      <c r="K5" s="984"/>
      <c r="L5" s="984"/>
      <c r="M5" s="984"/>
      <c r="N5" s="984"/>
      <c r="O5" s="984"/>
      <c r="P5" s="984"/>
      <c r="Q5" s="984"/>
      <c r="R5" s="1016" t="s">
        <v>825</v>
      </c>
      <c r="S5" s="1016" t="s">
        <v>1067</v>
      </c>
      <c r="T5" s="73"/>
    </row>
    <row r="6" spans="1:20" ht="27">
      <c r="B6" s="78" t="s">
        <v>828</v>
      </c>
      <c r="C6" s="987" t="s">
        <v>3716</v>
      </c>
      <c r="D6" s="984"/>
      <c r="E6" s="984"/>
      <c r="F6" s="984"/>
      <c r="G6" s="984"/>
      <c r="H6" s="986"/>
      <c r="I6" s="102" t="s">
        <v>829</v>
      </c>
      <c r="J6" s="988" t="s">
        <v>830</v>
      </c>
      <c r="K6" s="984"/>
      <c r="L6" s="984"/>
      <c r="M6" s="984"/>
      <c r="N6" s="984"/>
      <c r="O6" s="984"/>
      <c r="P6" s="984"/>
      <c r="Q6" s="984"/>
      <c r="R6" s="984"/>
      <c r="S6" s="984"/>
      <c r="T6" s="73"/>
    </row>
    <row r="7" spans="1:20"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4"/>
      <c r="T7" s="73"/>
    </row>
    <row r="8" spans="1:20" s="73" customFormat="1" ht="13.5">
      <c r="B8" s="104">
        <v>1</v>
      </c>
      <c r="C8" s="147" t="s">
        <v>1068</v>
      </c>
      <c r="D8" s="119" t="s">
        <v>42</v>
      </c>
      <c r="E8" s="107" t="s">
        <v>845</v>
      </c>
      <c r="F8" s="107">
        <v>18</v>
      </c>
      <c r="G8" s="108" t="s">
        <v>1069</v>
      </c>
      <c r="H8" s="109" t="s">
        <v>1070</v>
      </c>
      <c r="I8" s="110">
        <v>1</v>
      </c>
      <c r="J8" s="111" t="s">
        <v>1071</v>
      </c>
      <c r="K8" s="112" t="s">
        <v>42</v>
      </c>
      <c r="L8" s="113" t="s">
        <v>1072</v>
      </c>
      <c r="M8" s="112">
        <v>1000</v>
      </c>
      <c r="N8" s="114" t="s">
        <v>1069</v>
      </c>
      <c r="O8" s="114" t="s">
        <v>1070</v>
      </c>
      <c r="P8" s="112"/>
      <c r="Q8" s="112"/>
      <c r="R8" s="114"/>
      <c r="S8" s="115"/>
    </row>
    <row r="9" spans="1:20" s="73" customFormat="1" ht="13.5">
      <c r="B9" s="104">
        <v>2</v>
      </c>
      <c r="C9" s="147" t="s">
        <v>861</v>
      </c>
      <c r="D9" s="119" t="s">
        <v>42</v>
      </c>
      <c r="E9" s="107" t="s">
        <v>845</v>
      </c>
      <c r="F9" s="107">
        <v>4</v>
      </c>
      <c r="G9" s="108" t="s">
        <v>1073</v>
      </c>
      <c r="H9" s="109" t="s">
        <v>863</v>
      </c>
      <c r="I9" s="110">
        <v>2</v>
      </c>
      <c r="J9" s="111" t="s">
        <v>864</v>
      </c>
      <c r="K9" s="112" t="s">
        <v>42</v>
      </c>
      <c r="L9" s="113" t="s">
        <v>1072</v>
      </c>
      <c r="M9" s="112">
        <v>1000</v>
      </c>
      <c r="N9" s="114" t="s">
        <v>1073</v>
      </c>
      <c r="O9" s="114" t="s">
        <v>863</v>
      </c>
      <c r="P9" s="112"/>
      <c r="Q9" s="112"/>
      <c r="R9" s="114"/>
      <c r="S9" s="115"/>
      <c r="T9" s="71"/>
    </row>
    <row r="10" spans="1:20" s="73" customFormat="1" ht="13.5">
      <c r="B10" s="104">
        <v>3</v>
      </c>
      <c r="C10" s="105" t="s">
        <v>1074</v>
      </c>
      <c r="D10" s="119"/>
      <c r="E10" s="107" t="s">
        <v>845</v>
      </c>
      <c r="F10" s="107">
        <v>40</v>
      </c>
      <c r="G10" s="108" t="s">
        <v>1075</v>
      </c>
      <c r="H10" s="109" t="s">
        <v>1076</v>
      </c>
      <c r="I10" s="110">
        <v>3</v>
      </c>
      <c r="J10" s="177" t="s">
        <v>1077</v>
      </c>
      <c r="K10" s="173"/>
      <c r="L10" s="113" t="s">
        <v>1072</v>
      </c>
      <c r="M10" s="173">
        <v>1000</v>
      </c>
      <c r="N10" s="174" t="s">
        <v>1075</v>
      </c>
      <c r="O10" s="174" t="s">
        <v>1076</v>
      </c>
      <c r="P10" s="173"/>
      <c r="Q10" s="173"/>
      <c r="R10" s="174"/>
      <c r="S10" s="176"/>
      <c r="T10" s="73" t="s">
        <v>1078</v>
      </c>
    </row>
    <row r="11" spans="1:20" s="73" customFormat="1" ht="13.5">
      <c r="B11" s="104">
        <v>4</v>
      </c>
      <c r="C11" s="105" t="s">
        <v>1079</v>
      </c>
      <c r="D11" s="119"/>
      <c r="E11" s="107" t="s">
        <v>845</v>
      </c>
      <c r="F11" s="107">
        <v>4</v>
      </c>
      <c r="G11" s="108" t="s">
        <v>1080</v>
      </c>
      <c r="H11" s="109" t="s">
        <v>1081</v>
      </c>
      <c r="I11" s="110">
        <v>4</v>
      </c>
      <c r="J11" s="170" t="s">
        <v>1082</v>
      </c>
      <c r="K11" s="178"/>
      <c r="L11" s="113" t="s">
        <v>1072</v>
      </c>
      <c r="M11" s="173">
        <v>1000</v>
      </c>
      <c r="N11" s="175" t="s">
        <v>1080</v>
      </c>
      <c r="O11" s="175" t="s">
        <v>1081</v>
      </c>
      <c r="P11" s="171"/>
      <c r="Q11" s="171"/>
      <c r="R11" s="175"/>
      <c r="S11" s="176"/>
      <c r="T11" s="73" t="s">
        <v>1078</v>
      </c>
    </row>
    <row r="12" spans="1:20" s="73" customFormat="1" ht="13.5">
      <c r="B12" s="104">
        <v>5</v>
      </c>
      <c r="C12" s="573" t="s">
        <v>1083</v>
      </c>
      <c r="D12" s="574"/>
      <c r="E12" s="574" t="s">
        <v>845</v>
      </c>
      <c r="F12" s="574">
        <v>18</v>
      </c>
      <c r="G12" s="140" t="s">
        <v>1084</v>
      </c>
      <c r="H12" s="572" t="s">
        <v>1085</v>
      </c>
      <c r="I12" s="110">
        <v>5</v>
      </c>
      <c r="J12" s="118" t="s">
        <v>1086</v>
      </c>
      <c r="K12" s="119"/>
      <c r="L12" s="113" t="s">
        <v>1072</v>
      </c>
      <c r="M12" s="112">
        <v>1000</v>
      </c>
      <c r="N12" s="108" t="s">
        <v>1084</v>
      </c>
      <c r="O12" s="108" t="s">
        <v>1085</v>
      </c>
      <c r="P12" s="119"/>
      <c r="Q12" s="119"/>
      <c r="R12" s="108"/>
      <c r="S12" s="115"/>
    </row>
    <row r="13" spans="1:20" s="73" customFormat="1" ht="13.5">
      <c r="B13" s="104">
        <v>6</v>
      </c>
      <c r="C13" s="105" t="s">
        <v>1087</v>
      </c>
      <c r="D13" s="119"/>
      <c r="E13" s="107" t="s">
        <v>845</v>
      </c>
      <c r="F13" s="107">
        <v>3</v>
      </c>
      <c r="G13" s="340" t="s">
        <v>1088</v>
      </c>
      <c r="H13" s="109" t="s">
        <v>1089</v>
      </c>
      <c r="I13" s="110">
        <v>6</v>
      </c>
      <c r="J13" s="118" t="s">
        <v>1090</v>
      </c>
      <c r="K13" s="119"/>
      <c r="L13" s="113" t="s">
        <v>1072</v>
      </c>
      <c r="M13" s="112">
        <v>1000</v>
      </c>
      <c r="N13" s="108" t="s">
        <v>1088</v>
      </c>
      <c r="O13" s="108" t="s">
        <v>1089</v>
      </c>
      <c r="P13" s="119"/>
      <c r="Q13" s="112"/>
      <c r="R13" s="114"/>
      <c r="S13" s="115"/>
      <c r="T13" s="73" t="s">
        <v>1078</v>
      </c>
    </row>
    <row r="14" spans="1:20" s="73" customFormat="1" ht="13.5">
      <c r="B14" s="104">
        <v>7</v>
      </c>
      <c r="C14" s="105" t="s">
        <v>1091</v>
      </c>
      <c r="D14" s="119"/>
      <c r="E14" s="107" t="s">
        <v>845</v>
      </c>
      <c r="F14" s="107">
        <v>9</v>
      </c>
      <c r="G14" s="108" t="s">
        <v>882</v>
      </c>
      <c r="H14" s="109" t="s">
        <v>1092</v>
      </c>
      <c r="I14" s="110">
        <v>7</v>
      </c>
      <c r="J14" s="170" t="s">
        <v>1093</v>
      </c>
      <c r="K14" s="178"/>
      <c r="L14" s="113" t="s">
        <v>1072</v>
      </c>
      <c r="M14" s="173">
        <v>1000</v>
      </c>
      <c r="N14" s="175" t="s">
        <v>882</v>
      </c>
      <c r="O14" s="175" t="s">
        <v>1092</v>
      </c>
      <c r="P14" s="171"/>
      <c r="Q14" s="173"/>
      <c r="R14" s="174"/>
      <c r="S14" s="176"/>
      <c r="T14" s="73" t="s">
        <v>1078</v>
      </c>
    </row>
    <row r="15" spans="1:20" s="73" customFormat="1" ht="13.5">
      <c r="B15" s="104">
        <v>8</v>
      </c>
      <c r="C15" s="105" t="s">
        <v>1094</v>
      </c>
      <c r="D15" s="119"/>
      <c r="E15" s="107" t="s">
        <v>845</v>
      </c>
      <c r="F15" s="107">
        <v>20</v>
      </c>
      <c r="G15" s="108" t="s">
        <v>1095</v>
      </c>
      <c r="H15" s="109" t="s">
        <v>1096</v>
      </c>
      <c r="I15" s="110">
        <v>8</v>
      </c>
      <c r="J15" s="170" t="s">
        <v>1097</v>
      </c>
      <c r="K15" s="178"/>
      <c r="L15" s="113" t="s">
        <v>1072</v>
      </c>
      <c r="M15" s="173">
        <v>1000</v>
      </c>
      <c r="N15" s="175" t="s">
        <v>1095</v>
      </c>
      <c r="O15" s="175" t="s">
        <v>1096</v>
      </c>
      <c r="P15" s="171"/>
      <c r="Q15" s="173"/>
      <c r="R15" s="174"/>
      <c r="S15" s="176"/>
      <c r="T15" s="73" t="s">
        <v>1078</v>
      </c>
    </row>
    <row r="16" spans="1:20" s="73" customFormat="1" ht="13.5">
      <c r="B16" s="104">
        <v>9</v>
      </c>
      <c r="C16" s="105" t="s">
        <v>1098</v>
      </c>
      <c r="D16" s="119"/>
      <c r="E16" s="107" t="s">
        <v>845</v>
      </c>
      <c r="F16" s="107">
        <v>3</v>
      </c>
      <c r="G16" s="108" t="s">
        <v>1099</v>
      </c>
      <c r="H16" s="109" t="s">
        <v>1100</v>
      </c>
      <c r="I16" s="110">
        <v>9</v>
      </c>
      <c r="J16" s="170" t="s">
        <v>1101</v>
      </c>
      <c r="K16" s="178"/>
      <c r="L16" s="113" t="s">
        <v>1072</v>
      </c>
      <c r="M16" s="173">
        <v>1000</v>
      </c>
      <c r="N16" s="175" t="s">
        <v>1099</v>
      </c>
      <c r="O16" s="175" t="s">
        <v>1100</v>
      </c>
      <c r="P16" s="171"/>
      <c r="Q16" s="173"/>
      <c r="R16" s="174"/>
      <c r="S16" s="176"/>
      <c r="T16" s="73" t="s">
        <v>1078</v>
      </c>
    </row>
    <row r="17" spans="2:20" s="73" customFormat="1" ht="13.5">
      <c r="B17" s="104">
        <v>10</v>
      </c>
      <c r="C17" s="105" t="s">
        <v>1102</v>
      </c>
      <c r="D17" s="119"/>
      <c r="E17" s="107" t="s">
        <v>845</v>
      </c>
      <c r="F17" s="107">
        <v>3</v>
      </c>
      <c r="G17" s="108" t="s">
        <v>1103</v>
      </c>
      <c r="H17" s="109" t="s">
        <v>1104</v>
      </c>
      <c r="I17" s="110">
        <v>10</v>
      </c>
      <c r="J17" s="117" t="s">
        <v>1105</v>
      </c>
      <c r="K17" s="120"/>
      <c r="L17" s="113" t="s">
        <v>1072</v>
      </c>
      <c r="M17" s="112">
        <v>1000</v>
      </c>
      <c r="N17" s="108" t="s">
        <v>1103</v>
      </c>
      <c r="O17" s="108" t="s">
        <v>1104</v>
      </c>
      <c r="P17" s="112"/>
      <c r="Q17" s="112"/>
      <c r="R17" s="114"/>
      <c r="S17" s="115"/>
    </row>
    <row r="18" spans="2:20" s="73" customFormat="1" ht="13.5">
      <c r="B18" s="104">
        <v>11</v>
      </c>
      <c r="C18" s="105" t="s">
        <v>1106</v>
      </c>
      <c r="D18" s="119"/>
      <c r="E18" s="107" t="s">
        <v>845</v>
      </c>
      <c r="F18" s="107">
        <v>3</v>
      </c>
      <c r="G18" s="108" t="s">
        <v>1107</v>
      </c>
      <c r="H18" s="109" t="s">
        <v>1108</v>
      </c>
      <c r="I18" s="110">
        <v>11</v>
      </c>
      <c r="J18" s="117" t="s">
        <v>1106</v>
      </c>
      <c r="K18" s="112"/>
      <c r="L18" s="113" t="s">
        <v>1072</v>
      </c>
      <c r="M18" s="112">
        <v>1000</v>
      </c>
      <c r="N18" s="114" t="s">
        <v>1107</v>
      </c>
      <c r="O18" s="114" t="s">
        <v>1108</v>
      </c>
      <c r="P18" s="112"/>
      <c r="Q18" s="112"/>
      <c r="R18" s="114"/>
      <c r="S18" s="115"/>
    </row>
    <row r="19" spans="2:20" s="73" customFormat="1" ht="13.5">
      <c r="B19" s="104">
        <v>12</v>
      </c>
      <c r="C19" s="121" t="s">
        <v>1109</v>
      </c>
      <c r="D19" s="119"/>
      <c r="E19" s="107" t="s">
        <v>845</v>
      </c>
      <c r="F19" s="107">
        <v>3</v>
      </c>
      <c r="G19" s="108" t="s">
        <v>1110</v>
      </c>
      <c r="H19" s="109" t="s">
        <v>1111</v>
      </c>
      <c r="I19" s="110">
        <v>12</v>
      </c>
      <c r="J19" s="117" t="s">
        <v>1109</v>
      </c>
      <c r="K19" s="120"/>
      <c r="L19" s="113" t="s">
        <v>1072</v>
      </c>
      <c r="M19" s="112">
        <v>1000</v>
      </c>
      <c r="N19" s="114" t="s">
        <v>1110</v>
      </c>
      <c r="O19" s="114" t="s">
        <v>1111</v>
      </c>
      <c r="P19" s="112"/>
      <c r="Q19" s="112"/>
      <c r="R19" s="114"/>
      <c r="S19" s="115"/>
    </row>
    <row r="20" spans="2:20" s="73" customFormat="1" ht="13.5">
      <c r="B20" s="104">
        <v>13</v>
      </c>
      <c r="C20" s="121" t="s">
        <v>1112</v>
      </c>
      <c r="D20" s="119"/>
      <c r="E20" s="107" t="s">
        <v>845</v>
      </c>
      <c r="F20" s="107">
        <v>3</v>
      </c>
      <c r="G20" s="108" t="s">
        <v>1113</v>
      </c>
      <c r="H20" s="109" t="s">
        <v>1114</v>
      </c>
      <c r="I20" s="110">
        <v>13</v>
      </c>
      <c r="J20" s="177" t="s">
        <v>1115</v>
      </c>
      <c r="K20" s="179"/>
      <c r="L20" s="113" t="s">
        <v>1072</v>
      </c>
      <c r="M20" s="173">
        <v>1000</v>
      </c>
      <c r="N20" s="174" t="s">
        <v>1113</v>
      </c>
      <c r="O20" s="174" t="s">
        <v>1114</v>
      </c>
      <c r="P20" s="173"/>
      <c r="Q20" s="173"/>
      <c r="R20" s="174"/>
      <c r="S20" s="176"/>
      <c r="T20" s="73" t="s">
        <v>1078</v>
      </c>
    </row>
    <row r="21" spans="2:20" s="73" customFormat="1" ht="13.5">
      <c r="B21" s="104">
        <v>14</v>
      </c>
      <c r="C21" s="121" t="s">
        <v>1116</v>
      </c>
      <c r="D21" s="119"/>
      <c r="E21" s="107" t="s">
        <v>845</v>
      </c>
      <c r="F21" s="107">
        <v>3</v>
      </c>
      <c r="G21" s="108" t="s">
        <v>1117</v>
      </c>
      <c r="H21" s="109" t="s">
        <v>1118</v>
      </c>
      <c r="I21" s="110">
        <v>14</v>
      </c>
      <c r="J21" s="170" t="s">
        <v>1119</v>
      </c>
      <c r="K21" s="171"/>
      <c r="L21" s="113" t="s">
        <v>1072</v>
      </c>
      <c r="M21" s="173">
        <v>1000</v>
      </c>
      <c r="N21" s="175" t="s">
        <v>1117</v>
      </c>
      <c r="O21" s="175" t="s">
        <v>1118</v>
      </c>
      <c r="P21" s="171"/>
      <c r="Q21" s="171"/>
      <c r="R21" s="175"/>
      <c r="S21" s="176"/>
      <c r="T21" s="73" t="s">
        <v>1078</v>
      </c>
    </row>
    <row r="22" spans="2:20" s="73" customFormat="1" ht="13.5">
      <c r="B22" s="104">
        <v>15</v>
      </c>
      <c r="C22" s="121" t="s">
        <v>1120</v>
      </c>
      <c r="D22" s="119"/>
      <c r="E22" s="107" t="s">
        <v>845</v>
      </c>
      <c r="F22" s="107">
        <v>18</v>
      </c>
      <c r="G22" s="108" t="s">
        <v>1121</v>
      </c>
      <c r="H22" s="109" t="s">
        <v>1122</v>
      </c>
      <c r="I22" s="110">
        <v>15</v>
      </c>
      <c r="J22" s="170" t="s">
        <v>1123</v>
      </c>
      <c r="K22" s="171"/>
      <c r="L22" s="113" t="s">
        <v>1072</v>
      </c>
      <c r="M22" s="173">
        <v>1000</v>
      </c>
      <c r="N22" s="175" t="s">
        <v>1121</v>
      </c>
      <c r="O22" s="175" t="s">
        <v>1122</v>
      </c>
      <c r="P22" s="171"/>
      <c r="Q22" s="171"/>
      <c r="R22" s="175"/>
      <c r="S22" s="176"/>
      <c r="T22" s="73" t="s">
        <v>1078</v>
      </c>
    </row>
    <row r="23" spans="2:20" s="73" customFormat="1" ht="13.5">
      <c r="B23" s="104">
        <v>16</v>
      </c>
      <c r="C23" s="121" t="s">
        <v>1124</v>
      </c>
      <c r="D23" s="119"/>
      <c r="E23" s="107" t="s">
        <v>845</v>
      </c>
      <c r="F23" s="107">
        <v>18</v>
      </c>
      <c r="G23" s="108" t="s">
        <v>1125</v>
      </c>
      <c r="H23" s="109" t="s">
        <v>1126</v>
      </c>
      <c r="I23" s="110">
        <v>16</v>
      </c>
      <c r="J23" s="105" t="s">
        <v>1127</v>
      </c>
      <c r="K23" s="119"/>
      <c r="L23" s="113" t="s">
        <v>1072</v>
      </c>
      <c r="M23" s="112">
        <v>1000</v>
      </c>
      <c r="N23" s="114" t="s">
        <v>1125</v>
      </c>
      <c r="O23" s="114" t="s">
        <v>1126</v>
      </c>
      <c r="P23" s="119"/>
      <c r="Q23" s="119"/>
      <c r="R23" s="108"/>
      <c r="S23" s="115"/>
    </row>
    <row r="24" spans="2:20" s="73" customFormat="1" ht="13.5">
      <c r="B24" s="104">
        <v>17</v>
      </c>
      <c r="C24" s="121" t="s">
        <v>1128</v>
      </c>
      <c r="D24" s="119"/>
      <c r="E24" s="107" t="s">
        <v>845</v>
      </c>
      <c r="F24" s="107">
        <v>3</v>
      </c>
      <c r="G24" s="108" t="s">
        <v>1129</v>
      </c>
      <c r="H24" s="109" t="s">
        <v>1130</v>
      </c>
      <c r="I24" s="110">
        <v>17</v>
      </c>
      <c r="J24" s="105" t="s">
        <v>1128</v>
      </c>
      <c r="K24" s="119"/>
      <c r="L24" s="113" t="s">
        <v>1072</v>
      </c>
      <c r="M24" s="112">
        <v>1000</v>
      </c>
      <c r="N24" s="114" t="s">
        <v>1129</v>
      </c>
      <c r="O24" s="114" t="s">
        <v>1130</v>
      </c>
      <c r="P24" s="119"/>
      <c r="Q24" s="119"/>
      <c r="R24" s="108"/>
      <c r="S24" s="115"/>
    </row>
    <row r="25" spans="2:20" s="73" customFormat="1" ht="13.5">
      <c r="B25" s="104">
        <v>18</v>
      </c>
      <c r="C25" s="121" t="s">
        <v>1131</v>
      </c>
      <c r="D25" s="119"/>
      <c r="E25" s="107" t="s">
        <v>845</v>
      </c>
      <c r="F25" s="107">
        <v>3</v>
      </c>
      <c r="G25" s="108" t="s">
        <v>1132</v>
      </c>
      <c r="H25" s="109" t="s">
        <v>1133</v>
      </c>
      <c r="I25" s="110">
        <v>18</v>
      </c>
      <c r="J25" s="105" t="s">
        <v>1131</v>
      </c>
      <c r="K25" s="119"/>
      <c r="L25" s="113" t="s">
        <v>1072</v>
      </c>
      <c r="M25" s="112">
        <v>1000</v>
      </c>
      <c r="N25" s="114" t="s">
        <v>1132</v>
      </c>
      <c r="O25" s="114" t="s">
        <v>1133</v>
      </c>
      <c r="P25" s="119"/>
      <c r="Q25" s="119"/>
      <c r="R25" s="108"/>
      <c r="S25" s="115"/>
    </row>
    <row r="26" spans="2:20" s="73" customFormat="1" ht="13.5">
      <c r="B26" s="104">
        <v>19</v>
      </c>
      <c r="C26" s="121" t="s">
        <v>1134</v>
      </c>
      <c r="D26" s="119"/>
      <c r="E26" s="107" t="s">
        <v>845</v>
      </c>
      <c r="F26" s="107">
        <v>3</v>
      </c>
      <c r="G26" s="108" t="s">
        <v>1135</v>
      </c>
      <c r="H26" s="109" t="s">
        <v>1136</v>
      </c>
      <c r="I26" s="110">
        <v>19</v>
      </c>
      <c r="J26" s="105" t="s">
        <v>1137</v>
      </c>
      <c r="K26" s="119"/>
      <c r="L26" s="113" t="s">
        <v>1072</v>
      </c>
      <c r="M26" s="112">
        <v>1000</v>
      </c>
      <c r="N26" s="114" t="s">
        <v>1138</v>
      </c>
      <c r="O26" s="114" t="s">
        <v>1136</v>
      </c>
      <c r="P26" s="119"/>
      <c r="Q26" s="119"/>
      <c r="R26" s="108"/>
      <c r="S26" s="115"/>
    </row>
    <row r="27" spans="2:20" s="73" customFormat="1" ht="13.5">
      <c r="B27" s="104">
        <v>20</v>
      </c>
      <c r="C27" s="121" t="s">
        <v>1139</v>
      </c>
      <c r="D27" s="119"/>
      <c r="E27" s="107" t="s">
        <v>845</v>
      </c>
      <c r="F27" s="107">
        <v>1</v>
      </c>
      <c r="G27" s="108" t="s">
        <v>953</v>
      </c>
      <c r="H27" s="109" t="s">
        <v>1140</v>
      </c>
      <c r="I27" s="110">
        <v>20</v>
      </c>
      <c r="J27" s="105" t="s">
        <v>1139</v>
      </c>
      <c r="K27" s="119"/>
      <c r="L27" s="113" t="s">
        <v>1072</v>
      </c>
      <c r="M27" s="112">
        <v>1000</v>
      </c>
      <c r="N27" s="114" t="s">
        <v>953</v>
      </c>
      <c r="O27" s="114" t="s">
        <v>1140</v>
      </c>
      <c r="P27" s="119"/>
      <c r="Q27" s="119"/>
      <c r="R27" s="108"/>
      <c r="S27" s="115"/>
    </row>
    <row r="28" spans="2:20" s="73" customFormat="1" ht="13.5">
      <c r="B28" s="104">
        <v>21</v>
      </c>
      <c r="C28" s="121" t="s">
        <v>1141</v>
      </c>
      <c r="D28" s="119"/>
      <c r="E28" s="107" t="s">
        <v>845</v>
      </c>
      <c r="F28" s="107">
        <v>4</v>
      </c>
      <c r="G28" s="108" t="s">
        <v>1142</v>
      </c>
      <c r="H28" s="109" t="s">
        <v>1143</v>
      </c>
      <c r="I28" s="110">
        <v>21</v>
      </c>
      <c r="J28" s="105" t="s">
        <v>1144</v>
      </c>
      <c r="K28" s="119"/>
      <c r="L28" s="113" t="s">
        <v>1072</v>
      </c>
      <c r="M28" s="112">
        <v>1000</v>
      </c>
      <c r="N28" s="114" t="s">
        <v>1142</v>
      </c>
      <c r="O28" s="114" t="s">
        <v>1143</v>
      </c>
      <c r="P28" s="119"/>
      <c r="Q28" s="119"/>
      <c r="R28" s="108"/>
      <c r="S28" s="115"/>
    </row>
    <row r="29" spans="2:20" s="73" customFormat="1" ht="13.5">
      <c r="B29" s="104">
        <v>22</v>
      </c>
      <c r="C29" s="121" t="s">
        <v>1145</v>
      </c>
      <c r="D29" s="119"/>
      <c r="E29" s="107" t="s">
        <v>845</v>
      </c>
      <c r="F29" s="107">
        <v>8</v>
      </c>
      <c r="G29" s="108" t="s">
        <v>1146</v>
      </c>
      <c r="H29" s="109" t="s">
        <v>1147</v>
      </c>
      <c r="I29" s="110">
        <v>22</v>
      </c>
      <c r="J29" s="105" t="s">
        <v>1148</v>
      </c>
      <c r="K29" s="119"/>
      <c r="L29" s="113" t="s">
        <v>1072</v>
      </c>
      <c r="M29" s="112">
        <v>1000</v>
      </c>
      <c r="N29" s="114" t="s">
        <v>1146</v>
      </c>
      <c r="O29" s="114" t="s">
        <v>1147</v>
      </c>
      <c r="P29" s="119"/>
      <c r="Q29" s="119"/>
      <c r="R29" s="108"/>
      <c r="S29" s="115"/>
    </row>
    <row r="30" spans="2:20" s="73" customFormat="1" ht="13.5">
      <c r="B30" s="104">
        <v>23</v>
      </c>
      <c r="C30" s="121" t="s">
        <v>1149</v>
      </c>
      <c r="D30" s="119"/>
      <c r="E30" s="107" t="s">
        <v>845</v>
      </c>
      <c r="F30" s="107">
        <v>8</v>
      </c>
      <c r="G30" s="108" t="s">
        <v>1150</v>
      </c>
      <c r="H30" s="109" t="s">
        <v>1151</v>
      </c>
      <c r="I30" s="110">
        <v>23</v>
      </c>
      <c r="J30" s="105" t="s">
        <v>1152</v>
      </c>
      <c r="K30" s="119"/>
      <c r="L30" s="113" t="s">
        <v>1072</v>
      </c>
      <c r="M30" s="112">
        <v>1000</v>
      </c>
      <c r="N30" s="114" t="s">
        <v>1150</v>
      </c>
      <c r="O30" s="114" t="s">
        <v>1151</v>
      </c>
      <c r="P30" s="119"/>
      <c r="Q30" s="119"/>
      <c r="R30" s="108"/>
      <c r="S30" s="115"/>
    </row>
    <row r="31" spans="2:20" s="73" customFormat="1" ht="13.5">
      <c r="B31" s="104">
        <v>24</v>
      </c>
      <c r="C31" s="121" t="s">
        <v>1153</v>
      </c>
      <c r="D31" s="119"/>
      <c r="E31" s="107" t="s">
        <v>845</v>
      </c>
      <c r="F31" s="107">
        <v>40</v>
      </c>
      <c r="G31" s="108" t="s">
        <v>1154</v>
      </c>
      <c r="H31" s="109" t="s">
        <v>1155</v>
      </c>
      <c r="I31" s="110">
        <v>24</v>
      </c>
      <c r="J31" s="170" t="s">
        <v>1156</v>
      </c>
      <c r="K31" s="171"/>
      <c r="L31" s="113" t="s">
        <v>1072</v>
      </c>
      <c r="M31" s="173">
        <v>1000</v>
      </c>
      <c r="N31" s="174" t="s">
        <v>1154</v>
      </c>
      <c r="O31" s="174" t="s">
        <v>1155</v>
      </c>
      <c r="P31" s="171"/>
      <c r="Q31" s="171"/>
      <c r="R31" s="175"/>
      <c r="S31" s="176"/>
      <c r="T31" s="73" t="s">
        <v>1078</v>
      </c>
    </row>
    <row r="32" spans="2:20" s="73" customFormat="1" ht="13.5">
      <c r="B32" s="104">
        <v>25</v>
      </c>
      <c r="C32" s="121" t="s">
        <v>1157</v>
      </c>
      <c r="D32" s="119"/>
      <c r="E32" s="107" t="s">
        <v>845</v>
      </c>
      <c r="F32" s="107">
        <v>40</v>
      </c>
      <c r="G32" s="108" t="s">
        <v>1158</v>
      </c>
      <c r="H32" s="109" t="s">
        <v>1159</v>
      </c>
      <c r="I32" s="110">
        <v>25</v>
      </c>
      <c r="J32" s="170" t="s">
        <v>1160</v>
      </c>
      <c r="K32" s="171"/>
      <c r="L32" s="113" t="s">
        <v>1072</v>
      </c>
      <c r="M32" s="173">
        <v>1000</v>
      </c>
      <c r="N32" s="174" t="s">
        <v>1158</v>
      </c>
      <c r="O32" s="174" t="s">
        <v>1159</v>
      </c>
      <c r="P32" s="171"/>
      <c r="Q32" s="171"/>
      <c r="R32" s="175"/>
      <c r="S32" s="176"/>
      <c r="T32" s="73" t="s">
        <v>1078</v>
      </c>
    </row>
    <row r="33" spans="2:21" s="73" customFormat="1" ht="13.5">
      <c r="B33" s="104">
        <v>26</v>
      </c>
      <c r="C33" s="121" t="s">
        <v>1161</v>
      </c>
      <c r="D33" s="119"/>
      <c r="E33" s="107" t="s">
        <v>845</v>
      </c>
      <c r="F33" s="107">
        <v>20</v>
      </c>
      <c r="G33" s="108" t="s">
        <v>1162</v>
      </c>
      <c r="H33" s="109" t="s">
        <v>1163</v>
      </c>
      <c r="I33" s="110">
        <v>26</v>
      </c>
      <c r="J33" s="170" t="s">
        <v>1164</v>
      </c>
      <c r="K33" s="171"/>
      <c r="L33" s="113" t="s">
        <v>1072</v>
      </c>
      <c r="M33" s="173">
        <v>1000</v>
      </c>
      <c r="N33" s="174" t="s">
        <v>1162</v>
      </c>
      <c r="O33" s="174" t="s">
        <v>1163</v>
      </c>
      <c r="P33" s="171"/>
      <c r="Q33" s="171"/>
      <c r="R33" s="175"/>
      <c r="S33" s="176"/>
      <c r="T33" s="73" t="s">
        <v>1078</v>
      </c>
    </row>
    <row r="34" spans="2:21" s="73" customFormat="1" ht="13.5">
      <c r="B34" s="104">
        <v>27</v>
      </c>
      <c r="C34" s="121" t="s">
        <v>1165</v>
      </c>
      <c r="D34" s="119"/>
      <c r="E34" s="107" t="s">
        <v>845</v>
      </c>
      <c r="F34" s="107">
        <v>20</v>
      </c>
      <c r="G34" s="108" t="s">
        <v>1166</v>
      </c>
      <c r="H34" s="109" t="s">
        <v>1167</v>
      </c>
      <c r="I34" s="110">
        <v>27</v>
      </c>
      <c r="J34" s="170" t="s">
        <v>1168</v>
      </c>
      <c r="K34" s="171"/>
      <c r="L34" s="113" t="s">
        <v>1072</v>
      </c>
      <c r="M34" s="173">
        <v>1000</v>
      </c>
      <c r="N34" s="174" t="s">
        <v>1166</v>
      </c>
      <c r="O34" s="174" t="s">
        <v>1167</v>
      </c>
      <c r="P34" s="171"/>
      <c r="Q34" s="171"/>
      <c r="R34" s="175"/>
      <c r="S34" s="176"/>
      <c r="T34" s="73" t="s">
        <v>1078</v>
      </c>
    </row>
    <row r="35" spans="2:21" s="73" customFormat="1" ht="13.5">
      <c r="B35" s="104">
        <v>28</v>
      </c>
      <c r="C35" s="121" t="s">
        <v>1169</v>
      </c>
      <c r="D35" s="119"/>
      <c r="E35" s="107" t="s">
        <v>845</v>
      </c>
      <c r="F35" s="107">
        <v>10</v>
      </c>
      <c r="G35" s="108" t="s">
        <v>1170</v>
      </c>
      <c r="H35" s="109" t="s">
        <v>1171</v>
      </c>
      <c r="I35" s="110">
        <v>28</v>
      </c>
      <c r="J35" s="105" t="s">
        <v>1172</v>
      </c>
      <c r="K35" s="119"/>
      <c r="L35" s="113" t="s">
        <v>1072</v>
      </c>
      <c r="M35" s="112">
        <v>1000</v>
      </c>
      <c r="N35" s="114" t="s">
        <v>1170</v>
      </c>
      <c r="O35" s="114" t="s">
        <v>1171</v>
      </c>
      <c r="P35" s="119"/>
      <c r="Q35" s="119"/>
      <c r="R35" s="108"/>
      <c r="S35" s="115"/>
    </row>
    <row r="36" spans="2:21" s="73" customFormat="1" ht="13.5">
      <c r="B36" s="104">
        <v>29</v>
      </c>
      <c r="C36" s="121" t="s">
        <v>1173</v>
      </c>
      <c r="D36" s="119"/>
      <c r="E36" s="107" t="s">
        <v>845</v>
      </c>
      <c r="F36" s="107">
        <v>1</v>
      </c>
      <c r="G36" s="108" t="s">
        <v>1174</v>
      </c>
      <c r="H36" s="109" t="s">
        <v>1175</v>
      </c>
      <c r="I36" s="110">
        <v>29</v>
      </c>
      <c r="J36" s="170" t="s">
        <v>1176</v>
      </c>
      <c r="K36" s="171"/>
      <c r="L36" s="113" t="s">
        <v>1072</v>
      </c>
      <c r="M36" s="173">
        <v>1000</v>
      </c>
      <c r="N36" s="174" t="s">
        <v>1174</v>
      </c>
      <c r="O36" s="174" t="s">
        <v>1175</v>
      </c>
      <c r="P36" s="171"/>
      <c r="Q36" s="171"/>
      <c r="R36" s="175"/>
      <c r="S36" s="176"/>
      <c r="T36" s="73" t="s">
        <v>1078</v>
      </c>
    </row>
    <row r="37" spans="2:21" s="73" customFormat="1" ht="13.5">
      <c r="B37" s="104">
        <v>30</v>
      </c>
      <c r="C37" s="121" t="s">
        <v>1177</v>
      </c>
      <c r="D37" s="119"/>
      <c r="E37" s="107" t="s">
        <v>845</v>
      </c>
      <c r="F37" s="107">
        <v>9</v>
      </c>
      <c r="G37" s="108" t="s">
        <v>1178</v>
      </c>
      <c r="H37" s="109" t="s">
        <v>1179</v>
      </c>
      <c r="I37" s="110">
        <v>30</v>
      </c>
      <c r="J37" s="170" t="s">
        <v>1180</v>
      </c>
      <c r="K37" s="171"/>
      <c r="L37" s="113" t="s">
        <v>1072</v>
      </c>
      <c r="M37" s="173">
        <v>1000</v>
      </c>
      <c r="N37" s="174" t="s">
        <v>1178</v>
      </c>
      <c r="O37" s="174" t="s">
        <v>1179</v>
      </c>
      <c r="P37" s="171"/>
      <c r="Q37" s="171"/>
      <c r="R37" s="175"/>
      <c r="S37" s="176"/>
      <c r="T37" s="73" t="s">
        <v>1078</v>
      </c>
    </row>
    <row r="38" spans="2:21" s="73" customFormat="1" ht="13.5">
      <c r="B38" s="104">
        <v>31</v>
      </c>
      <c r="C38" s="121" t="s">
        <v>1181</v>
      </c>
      <c r="D38" s="119"/>
      <c r="E38" s="107" t="s">
        <v>845</v>
      </c>
      <c r="F38" s="107">
        <v>10</v>
      </c>
      <c r="G38" s="108" t="s">
        <v>1182</v>
      </c>
      <c r="H38" s="109" t="s">
        <v>1183</v>
      </c>
      <c r="I38" s="110">
        <v>31</v>
      </c>
      <c r="J38" s="170" t="s">
        <v>1184</v>
      </c>
      <c r="K38" s="171"/>
      <c r="L38" s="113" t="s">
        <v>1072</v>
      </c>
      <c r="M38" s="173">
        <v>1000</v>
      </c>
      <c r="N38" s="174" t="s">
        <v>1182</v>
      </c>
      <c r="O38" s="174" t="s">
        <v>1183</v>
      </c>
      <c r="P38" s="171"/>
      <c r="Q38" s="171"/>
      <c r="R38" s="175"/>
      <c r="S38" s="176"/>
      <c r="T38" s="73" t="s">
        <v>1078</v>
      </c>
    </row>
    <row r="39" spans="2:21" s="73" customFormat="1" ht="13.5">
      <c r="B39" s="163">
        <v>32</v>
      </c>
      <c r="C39" s="164" t="s">
        <v>1185</v>
      </c>
      <c r="D39" s="165"/>
      <c r="E39" s="166" t="s">
        <v>845</v>
      </c>
      <c r="F39" s="167"/>
      <c r="G39" s="168" t="s">
        <v>1186</v>
      </c>
      <c r="H39" s="169"/>
      <c r="I39" s="180">
        <v>32</v>
      </c>
      <c r="J39" s="181" t="s">
        <v>1187</v>
      </c>
      <c r="K39" s="165"/>
      <c r="L39" s="156" t="s">
        <v>1188</v>
      </c>
      <c r="M39" s="157">
        <v>1000</v>
      </c>
      <c r="N39" s="159" t="s">
        <v>1186</v>
      </c>
      <c r="O39" s="159"/>
      <c r="P39" s="165"/>
      <c r="Q39" s="165"/>
      <c r="R39" s="158"/>
      <c r="S39" s="182"/>
      <c r="T39" s="73" t="s">
        <v>1189</v>
      </c>
      <c r="U39" s="73" t="s">
        <v>1078</v>
      </c>
    </row>
    <row r="40" spans="2:21" s="73" customFormat="1" ht="13.5">
      <c r="B40" s="163">
        <v>33</v>
      </c>
      <c r="C40" s="164" t="s">
        <v>1190</v>
      </c>
      <c r="D40" s="165"/>
      <c r="E40" s="166" t="s">
        <v>845</v>
      </c>
      <c r="F40" s="167"/>
      <c r="G40" s="168" t="s">
        <v>1191</v>
      </c>
      <c r="H40" s="169"/>
      <c r="I40" s="180">
        <v>33</v>
      </c>
      <c r="J40" s="181" t="s">
        <v>1192</v>
      </c>
      <c r="K40" s="165"/>
      <c r="L40" s="156" t="s">
        <v>1188</v>
      </c>
      <c r="M40" s="157">
        <v>1000</v>
      </c>
      <c r="N40" s="159" t="s">
        <v>1191</v>
      </c>
      <c r="O40" s="159"/>
      <c r="P40" s="165"/>
      <c r="Q40" s="165"/>
      <c r="R40" s="158"/>
      <c r="S40" s="182"/>
      <c r="T40" s="73" t="s">
        <v>1189</v>
      </c>
    </row>
    <row r="41" spans="2:21" s="73" customFormat="1" ht="13.5">
      <c r="B41" s="163">
        <v>34</v>
      </c>
      <c r="C41" s="164" t="s">
        <v>1193</v>
      </c>
      <c r="D41" s="165"/>
      <c r="E41" s="166" t="s">
        <v>845</v>
      </c>
      <c r="F41" s="167"/>
      <c r="G41" s="168" t="s">
        <v>1194</v>
      </c>
      <c r="H41" s="169"/>
      <c r="I41" s="180">
        <v>34</v>
      </c>
      <c r="J41" s="181" t="s">
        <v>1195</v>
      </c>
      <c r="K41" s="165"/>
      <c r="L41" s="156" t="s">
        <v>1188</v>
      </c>
      <c r="M41" s="157">
        <v>1000</v>
      </c>
      <c r="N41" s="159" t="s">
        <v>1194</v>
      </c>
      <c r="O41" s="159"/>
      <c r="P41" s="165"/>
      <c r="Q41" s="165"/>
      <c r="R41" s="158"/>
      <c r="S41" s="182"/>
      <c r="T41" s="73" t="s">
        <v>1189</v>
      </c>
    </row>
    <row r="42" spans="2:21" s="73" customFormat="1" ht="13.5">
      <c r="B42" s="163">
        <v>35</v>
      </c>
      <c r="C42" s="164" t="s">
        <v>1196</v>
      </c>
      <c r="D42" s="165"/>
      <c r="E42" s="166" t="s">
        <v>845</v>
      </c>
      <c r="F42" s="167"/>
      <c r="G42" s="168" t="s">
        <v>1197</v>
      </c>
      <c r="H42" s="169"/>
      <c r="I42" s="180">
        <v>35</v>
      </c>
      <c r="J42" s="181" t="s">
        <v>1198</v>
      </c>
      <c r="K42" s="165"/>
      <c r="L42" s="156" t="s">
        <v>1188</v>
      </c>
      <c r="M42" s="157">
        <v>1000</v>
      </c>
      <c r="N42" s="159" t="s">
        <v>1197</v>
      </c>
      <c r="O42" s="159"/>
      <c r="P42" s="165"/>
      <c r="Q42" s="165"/>
      <c r="R42" s="158"/>
      <c r="S42" s="182"/>
      <c r="T42" s="73" t="s">
        <v>1189</v>
      </c>
      <c r="U42" s="73" t="s">
        <v>1078</v>
      </c>
    </row>
    <row r="43" spans="2:21" s="73" customFormat="1" ht="13.5">
      <c r="B43" s="163">
        <v>36</v>
      </c>
      <c r="C43" s="164" t="s">
        <v>1199</v>
      </c>
      <c r="D43" s="165"/>
      <c r="E43" s="166" t="s">
        <v>845</v>
      </c>
      <c r="F43" s="167"/>
      <c r="G43" s="168" t="s">
        <v>1200</v>
      </c>
      <c r="H43" s="169"/>
      <c r="I43" s="180">
        <v>36</v>
      </c>
      <c r="J43" s="181" t="s">
        <v>1201</v>
      </c>
      <c r="K43" s="165"/>
      <c r="L43" s="156" t="s">
        <v>1188</v>
      </c>
      <c r="M43" s="157">
        <v>1000</v>
      </c>
      <c r="N43" s="159" t="s">
        <v>1200</v>
      </c>
      <c r="O43" s="159"/>
      <c r="P43" s="165"/>
      <c r="Q43" s="165"/>
      <c r="R43" s="158"/>
      <c r="S43" s="182"/>
      <c r="T43" s="73" t="s">
        <v>1189</v>
      </c>
      <c r="U43" s="73" t="s">
        <v>1078</v>
      </c>
    </row>
    <row r="44" spans="2:21" s="73" customFormat="1" ht="13.5">
      <c r="B44" s="163">
        <v>37</v>
      </c>
      <c r="C44" s="164" t="s">
        <v>1202</v>
      </c>
      <c r="D44" s="165"/>
      <c r="E44" s="166" t="s">
        <v>845</v>
      </c>
      <c r="F44" s="167"/>
      <c r="G44" s="168" t="s">
        <v>1203</v>
      </c>
      <c r="H44" s="169"/>
      <c r="I44" s="180">
        <v>37</v>
      </c>
      <c r="J44" s="181" t="s">
        <v>1204</v>
      </c>
      <c r="K44" s="165"/>
      <c r="L44" s="156" t="s">
        <v>1188</v>
      </c>
      <c r="M44" s="157">
        <v>1000</v>
      </c>
      <c r="N44" s="159" t="s">
        <v>1203</v>
      </c>
      <c r="O44" s="159"/>
      <c r="P44" s="165"/>
      <c r="Q44" s="165"/>
      <c r="R44" s="158"/>
      <c r="S44" s="182"/>
      <c r="T44" s="73" t="s">
        <v>1189</v>
      </c>
      <c r="U44" s="73" t="s">
        <v>1078</v>
      </c>
    </row>
    <row r="45" spans="2:21" s="73" customFormat="1" ht="13.5">
      <c r="B45" s="163">
        <v>38</v>
      </c>
      <c r="C45" s="164" t="s">
        <v>1205</v>
      </c>
      <c r="D45" s="165"/>
      <c r="E45" s="166" t="s">
        <v>845</v>
      </c>
      <c r="F45" s="167"/>
      <c r="G45" s="168" t="s">
        <v>1206</v>
      </c>
      <c r="H45" s="169"/>
      <c r="I45" s="180">
        <v>38</v>
      </c>
      <c r="J45" s="181" t="s">
        <v>1207</v>
      </c>
      <c r="K45" s="165"/>
      <c r="L45" s="156" t="s">
        <v>1188</v>
      </c>
      <c r="M45" s="157">
        <v>1000</v>
      </c>
      <c r="N45" s="159" t="s">
        <v>1208</v>
      </c>
      <c r="O45" s="159"/>
      <c r="P45" s="165"/>
      <c r="Q45" s="165"/>
      <c r="R45" s="158"/>
      <c r="S45" s="182"/>
      <c r="T45" s="73" t="s">
        <v>1189</v>
      </c>
    </row>
    <row r="46" spans="2:21" s="73" customFormat="1" ht="13.5">
      <c r="B46" s="163">
        <v>39</v>
      </c>
      <c r="C46" s="164" t="s">
        <v>1209</v>
      </c>
      <c r="D46" s="165"/>
      <c r="E46" s="166" t="s">
        <v>845</v>
      </c>
      <c r="F46" s="167"/>
      <c r="G46" s="168" t="s">
        <v>1210</v>
      </c>
      <c r="H46" s="169"/>
      <c r="I46" s="180">
        <v>39</v>
      </c>
      <c r="J46" s="181" t="s">
        <v>1211</v>
      </c>
      <c r="K46" s="165"/>
      <c r="L46" s="156" t="s">
        <v>1188</v>
      </c>
      <c r="M46" s="157">
        <v>1000</v>
      </c>
      <c r="N46" s="159" t="s">
        <v>1210</v>
      </c>
      <c r="O46" s="159"/>
      <c r="P46" s="165"/>
      <c r="Q46" s="165"/>
      <c r="R46" s="158"/>
      <c r="S46" s="182"/>
      <c r="T46" s="73" t="s">
        <v>1189</v>
      </c>
    </row>
    <row r="47" spans="2:21" s="73" customFormat="1" ht="13.5">
      <c r="B47" s="163">
        <v>40</v>
      </c>
      <c r="C47" s="164" t="s">
        <v>1212</v>
      </c>
      <c r="D47" s="165"/>
      <c r="E47" s="166" t="s">
        <v>845</v>
      </c>
      <c r="F47" s="167"/>
      <c r="G47" s="168" t="s">
        <v>1213</v>
      </c>
      <c r="H47" s="169"/>
      <c r="I47" s="180">
        <v>40</v>
      </c>
      <c r="J47" s="181" t="s">
        <v>1214</v>
      </c>
      <c r="K47" s="165"/>
      <c r="L47" s="156" t="s">
        <v>1188</v>
      </c>
      <c r="M47" s="157">
        <v>1000</v>
      </c>
      <c r="N47" s="159" t="s">
        <v>1213</v>
      </c>
      <c r="O47" s="159"/>
      <c r="P47" s="165"/>
      <c r="Q47" s="165"/>
      <c r="R47" s="158"/>
      <c r="S47" s="182"/>
      <c r="T47" s="73" t="s">
        <v>1189</v>
      </c>
    </row>
    <row r="48" spans="2:21" s="73" customFormat="1" ht="13.5">
      <c r="B48" s="163">
        <v>41</v>
      </c>
      <c r="C48" s="164" t="s">
        <v>1215</v>
      </c>
      <c r="D48" s="165"/>
      <c r="E48" s="166" t="s">
        <v>845</v>
      </c>
      <c r="F48" s="167"/>
      <c r="G48" s="158" t="s">
        <v>1216</v>
      </c>
      <c r="H48" s="169"/>
      <c r="I48" s="180">
        <v>41</v>
      </c>
      <c r="J48" s="181" t="s">
        <v>1217</v>
      </c>
      <c r="K48" s="165"/>
      <c r="L48" s="156" t="s">
        <v>1188</v>
      </c>
      <c r="M48" s="157">
        <v>1000</v>
      </c>
      <c r="N48" s="159" t="s">
        <v>1216</v>
      </c>
      <c r="O48" s="159"/>
      <c r="P48" s="165"/>
      <c r="Q48" s="165"/>
      <c r="R48" s="158"/>
      <c r="S48" s="182"/>
      <c r="T48" s="73" t="s">
        <v>1189</v>
      </c>
    </row>
    <row r="49" spans="2:21" s="73" customFormat="1" ht="13.5">
      <c r="B49" s="163">
        <v>42</v>
      </c>
      <c r="C49" s="164" t="s">
        <v>1218</v>
      </c>
      <c r="D49" s="165"/>
      <c r="E49" s="166" t="s">
        <v>845</v>
      </c>
      <c r="F49" s="167"/>
      <c r="G49" s="164" t="s">
        <v>1219</v>
      </c>
      <c r="H49" s="169"/>
      <c r="I49" s="180">
        <v>42</v>
      </c>
      <c r="J49" s="181" t="s">
        <v>1220</v>
      </c>
      <c r="K49" s="165"/>
      <c r="L49" s="156" t="s">
        <v>1188</v>
      </c>
      <c r="M49" s="157">
        <v>1000</v>
      </c>
      <c r="N49" s="159" t="s">
        <v>1219</v>
      </c>
      <c r="O49" s="159"/>
      <c r="P49" s="165"/>
      <c r="Q49" s="165"/>
      <c r="R49" s="158"/>
      <c r="S49" s="182"/>
      <c r="T49" s="73" t="s">
        <v>1189</v>
      </c>
    </row>
    <row r="50" spans="2:21" s="73" customFormat="1" ht="13.5">
      <c r="B50" s="163">
        <v>43</v>
      </c>
      <c r="C50" s="164" t="s">
        <v>1221</v>
      </c>
      <c r="D50" s="165"/>
      <c r="E50" s="166" t="s">
        <v>845</v>
      </c>
      <c r="F50" s="167"/>
      <c r="G50" s="164" t="s">
        <v>1222</v>
      </c>
      <c r="H50" s="169"/>
      <c r="I50" s="180">
        <v>43</v>
      </c>
      <c r="J50" s="181" t="s">
        <v>1223</v>
      </c>
      <c r="K50" s="165"/>
      <c r="L50" s="156" t="s">
        <v>1188</v>
      </c>
      <c r="M50" s="157">
        <v>1000</v>
      </c>
      <c r="N50" s="159" t="s">
        <v>1222</v>
      </c>
      <c r="O50" s="159"/>
      <c r="P50" s="165"/>
      <c r="Q50" s="165"/>
      <c r="R50" s="158"/>
      <c r="S50" s="182"/>
      <c r="T50" s="73" t="s">
        <v>1189</v>
      </c>
    </row>
    <row r="51" spans="2:21" s="73" customFormat="1" ht="13.5">
      <c r="B51" s="163">
        <f>+B50+1</f>
        <v>44</v>
      </c>
      <c r="C51" s="164" t="s">
        <v>1224</v>
      </c>
      <c r="D51" s="165"/>
      <c r="E51" s="166" t="s">
        <v>1225</v>
      </c>
      <c r="F51" s="167"/>
      <c r="G51" s="158" t="s">
        <v>1226</v>
      </c>
      <c r="H51" s="169"/>
      <c r="I51" s="180">
        <v>44</v>
      </c>
      <c r="J51" s="181" t="s">
        <v>1227</v>
      </c>
      <c r="K51" s="165"/>
      <c r="L51" s="156" t="s">
        <v>1188</v>
      </c>
      <c r="M51" s="157">
        <v>1000</v>
      </c>
      <c r="N51" s="159" t="s">
        <v>1226</v>
      </c>
      <c r="O51" s="159"/>
      <c r="P51" s="165"/>
      <c r="Q51" s="165"/>
      <c r="R51" s="158"/>
      <c r="S51" s="182"/>
      <c r="T51" s="73" t="s">
        <v>1189</v>
      </c>
      <c r="U51" s="73" t="s">
        <v>1078</v>
      </c>
    </row>
    <row r="52" spans="2:21" s="73" customFormat="1" ht="13.5">
      <c r="B52" s="163">
        <f t="shared" ref="B52:B57" si="0">+B51+1</f>
        <v>45</v>
      </c>
      <c r="C52" s="164" t="s">
        <v>1228</v>
      </c>
      <c r="D52" s="165"/>
      <c r="E52" s="166" t="s">
        <v>845</v>
      </c>
      <c r="F52" s="167"/>
      <c r="G52" s="158" t="s">
        <v>1229</v>
      </c>
      <c r="H52" s="169" t="s">
        <v>1230</v>
      </c>
      <c r="I52" s="163">
        <f t="shared" ref="I52:I56" si="1">+I51+1</f>
        <v>45</v>
      </c>
      <c r="J52" s="181" t="s">
        <v>1231</v>
      </c>
      <c r="K52" s="165"/>
      <c r="L52" s="156" t="s">
        <v>1188</v>
      </c>
      <c r="M52" s="157">
        <v>1000</v>
      </c>
      <c r="N52" s="158" t="s">
        <v>1229</v>
      </c>
      <c r="O52" s="169" t="s">
        <v>1230</v>
      </c>
      <c r="P52" s="165"/>
      <c r="Q52" s="165"/>
      <c r="R52" s="158"/>
      <c r="S52" s="182"/>
      <c r="T52" s="263" t="s">
        <v>1232</v>
      </c>
      <c r="U52" s="73" t="s">
        <v>1078</v>
      </c>
    </row>
    <row r="53" spans="2:21" s="73" customFormat="1" ht="13.5">
      <c r="B53" s="163">
        <f t="shared" si="0"/>
        <v>46</v>
      </c>
      <c r="C53" s="164" t="s">
        <v>1233</v>
      </c>
      <c r="D53" s="165"/>
      <c r="E53" s="166" t="s">
        <v>845</v>
      </c>
      <c r="F53" s="167"/>
      <c r="G53" s="158" t="s">
        <v>1234</v>
      </c>
      <c r="H53" s="169" t="s">
        <v>1235</v>
      </c>
      <c r="I53" s="163">
        <f t="shared" si="1"/>
        <v>46</v>
      </c>
      <c r="J53" s="181" t="s">
        <v>1236</v>
      </c>
      <c r="K53" s="165"/>
      <c r="L53" s="156" t="s">
        <v>1188</v>
      </c>
      <c r="M53" s="157">
        <v>1000</v>
      </c>
      <c r="N53" s="158" t="s">
        <v>1234</v>
      </c>
      <c r="O53" s="169" t="s">
        <v>1235</v>
      </c>
      <c r="P53" s="165"/>
      <c r="Q53" s="165"/>
      <c r="R53" s="158"/>
      <c r="S53" s="182"/>
      <c r="T53" s="263" t="s">
        <v>1232</v>
      </c>
      <c r="U53" s="73" t="s">
        <v>1078</v>
      </c>
    </row>
    <row r="54" spans="2:21" s="73" customFormat="1" ht="13.5">
      <c r="B54" s="163">
        <f t="shared" si="0"/>
        <v>47</v>
      </c>
      <c r="C54" s="164" t="s">
        <v>1237</v>
      </c>
      <c r="D54" s="165"/>
      <c r="E54" s="166" t="s">
        <v>845</v>
      </c>
      <c r="F54" s="167"/>
      <c r="G54" s="158" t="s">
        <v>1238</v>
      </c>
      <c r="H54" s="169" t="s">
        <v>1239</v>
      </c>
      <c r="I54" s="163">
        <f t="shared" si="1"/>
        <v>47</v>
      </c>
      <c r="J54" s="181" t="s">
        <v>1240</v>
      </c>
      <c r="K54" s="165"/>
      <c r="L54" s="156" t="s">
        <v>1188</v>
      </c>
      <c r="M54" s="157">
        <v>1000</v>
      </c>
      <c r="N54" s="158" t="s">
        <v>1238</v>
      </c>
      <c r="O54" s="169" t="s">
        <v>1239</v>
      </c>
      <c r="P54" s="165"/>
      <c r="Q54" s="165"/>
      <c r="R54" s="158"/>
      <c r="S54" s="182"/>
      <c r="T54" s="263" t="s">
        <v>1232</v>
      </c>
      <c r="U54" s="73" t="s">
        <v>1078</v>
      </c>
    </row>
    <row r="55" spans="2:21" s="73" customFormat="1" ht="13.5">
      <c r="B55" s="163">
        <f t="shared" si="0"/>
        <v>48</v>
      </c>
      <c r="C55" s="164" t="s">
        <v>1241</v>
      </c>
      <c r="D55" s="165"/>
      <c r="E55" s="166" t="s">
        <v>845</v>
      </c>
      <c r="F55" s="167"/>
      <c r="G55" s="158" t="s">
        <v>1242</v>
      </c>
      <c r="H55" s="169" t="s">
        <v>1242</v>
      </c>
      <c r="I55" s="163">
        <f t="shared" si="1"/>
        <v>48</v>
      </c>
      <c r="J55" s="181" t="s">
        <v>1243</v>
      </c>
      <c r="K55" s="165"/>
      <c r="L55" s="156" t="s">
        <v>1188</v>
      </c>
      <c r="M55" s="157">
        <v>1000</v>
      </c>
      <c r="N55" s="158" t="s">
        <v>1242</v>
      </c>
      <c r="O55" s="169" t="s">
        <v>1242</v>
      </c>
      <c r="P55" s="165"/>
      <c r="Q55" s="165"/>
      <c r="R55" s="158"/>
      <c r="S55" s="182"/>
      <c r="T55" s="263" t="s">
        <v>1232</v>
      </c>
      <c r="U55" s="73" t="s">
        <v>1078</v>
      </c>
    </row>
    <row r="56" spans="2:21" s="73" customFormat="1" ht="13.5">
      <c r="B56" s="163">
        <f t="shared" si="0"/>
        <v>49</v>
      </c>
      <c r="C56" s="164" t="s">
        <v>1244</v>
      </c>
      <c r="D56" s="165"/>
      <c r="E56" s="166" t="s">
        <v>845</v>
      </c>
      <c r="F56" s="167"/>
      <c r="G56" s="158" t="s">
        <v>1245</v>
      </c>
      <c r="H56" s="169"/>
      <c r="I56" s="163">
        <f t="shared" si="1"/>
        <v>49</v>
      </c>
      <c r="J56" s="181" t="s">
        <v>1246</v>
      </c>
      <c r="K56" s="165"/>
      <c r="L56" s="182" t="s">
        <v>1188</v>
      </c>
      <c r="M56" s="165">
        <v>1000</v>
      </c>
      <c r="N56" s="158" t="s">
        <v>1247</v>
      </c>
      <c r="O56" s="158"/>
      <c r="P56" s="165"/>
      <c r="Q56" s="165"/>
      <c r="R56" s="158"/>
      <c r="S56" s="182"/>
      <c r="T56" s="263" t="s">
        <v>1248</v>
      </c>
      <c r="U56" s="73" t="s">
        <v>1078</v>
      </c>
    </row>
    <row r="57" spans="2:21" s="73" customFormat="1" ht="13.5">
      <c r="B57" s="163">
        <f t="shared" si="0"/>
        <v>50</v>
      </c>
      <c r="C57" s="124" t="s">
        <v>1249</v>
      </c>
      <c r="D57" s="149"/>
      <c r="E57" s="125"/>
      <c r="F57" s="107">
        <v>40</v>
      </c>
      <c r="G57" s="127" t="s">
        <v>1250</v>
      </c>
      <c r="H57" s="128"/>
      <c r="I57" s="163">
        <f>+I56+1</f>
        <v>50</v>
      </c>
      <c r="J57" s="105" t="s">
        <v>1251</v>
      </c>
      <c r="K57" s="119"/>
      <c r="L57" s="113" t="s">
        <v>1188</v>
      </c>
      <c r="M57" s="112">
        <v>1000</v>
      </c>
      <c r="N57" s="114" t="s">
        <v>1252</v>
      </c>
      <c r="O57" s="114"/>
      <c r="P57" s="119"/>
      <c r="Q57" s="119"/>
      <c r="R57" s="108"/>
      <c r="S57" s="115"/>
      <c r="T57" s="263" t="s">
        <v>1253</v>
      </c>
      <c r="U57" s="73" t="s">
        <v>1254</v>
      </c>
    </row>
    <row r="58" spans="2:21" s="73" customFormat="1" ht="13.5">
      <c r="B58" s="163">
        <f>+B57+1</f>
        <v>51</v>
      </c>
      <c r="C58" s="124" t="s">
        <v>1255</v>
      </c>
      <c r="D58" s="149"/>
      <c r="E58" s="125"/>
      <c r="F58" s="107">
        <v>40</v>
      </c>
      <c r="G58" s="127" t="s">
        <v>1256</v>
      </c>
      <c r="H58" s="128"/>
      <c r="I58" s="163">
        <f>+I57+1</f>
        <v>51</v>
      </c>
      <c r="J58" s="105" t="s">
        <v>1257</v>
      </c>
      <c r="K58" s="119"/>
      <c r="L58" s="113" t="s">
        <v>1188</v>
      </c>
      <c r="M58" s="112">
        <v>1000</v>
      </c>
      <c r="N58" s="114" t="s">
        <v>1258</v>
      </c>
      <c r="O58" s="114"/>
      <c r="P58" s="119"/>
      <c r="Q58" s="119"/>
      <c r="R58" s="108"/>
      <c r="S58" s="115"/>
      <c r="T58" s="263"/>
    </row>
    <row r="59" spans="2:21" s="73" customFormat="1" ht="13.5">
      <c r="B59" s="163">
        <f>+B58+1</f>
        <v>52</v>
      </c>
      <c r="C59" s="124" t="s">
        <v>1259</v>
      </c>
      <c r="D59" s="149"/>
      <c r="E59" s="125"/>
      <c r="F59" s="107">
        <v>40</v>
      </c>
      <c r="G59" s="127" t="s">
        <v>1260</v>
      </c>
      <c r="H59" s="128"/>
      <c r="I59" s="163">
        <f>+I58+1</f>
        <v>52</v>
      </c>
      <c r="J59" s="105" t="s">
        <v>1261</v>
      </c>
      <c r="K59" s="119"/>
      <c r="L59" s="113" t="s">
        <v>1188</v>
      </c>
      <c r="M59" s="112">
        <v>1000</v>
      </c>
      <c r="N59" s="114" t="s">
        <v>1262</v>
      </c>
      <c r="O59" s="114"/>
      <c r="P59" s="119"/>
      <c r="Q59" s="119"/>
      <c r="R59" s="108"/>
      <c r="S59" s="115"/>
      <c r="T59" s="263"/>
    </row>
    <row r="60" spans="2:21" s="73" customFormat="1" ht="13.5">
      <c r="B60" s="163">
        <f>+B59+1</f>
        <v>53</v>
      </c>
      <c r="C60" s="124" t="s">
        <v>1263</v>
      </c>
      <c r="D60" s="149"/>
      <c r="E60" s="125"/>
      <c r="F60" s="107">
        <v>40</v>
      </c>
      <c r="G60" s="127" t="s">
        <v>1264</v>
      </c>
      <c r="H60" s="128"/>
      <c r="I60" s="163">
        <f>+I59+1</f>
        <v>53</v>
      </c>
      <c r="J60" s="105" t="s">
        <v>1265</v>
      </c>
      <c r="K60" s="119"/>
      <c r="L60" s="113" t="s">
        <v>1188</v>
      </c>
      <c r="M60" s="112">
        <v>1000</v>
      </c>
      <c r="N60" s="114" t="s">
        <v>1186</v>
      </c>
      <c r="O60" s="114"/>
      <c r="P60" s="119"/>
      <c r="Q60" s="119"/>
      <c r="R60" s="108"/>
      <c r="S60" s="115"/>
      <c r="T60" s="745" t="s">
        <v>1266</v>
      </c>
      <c r="U60" s="745" t="s">
        <v>1254</v>
      </c>
    </row>
    <row r="61" spans="2:21" s="73" customFormat="1" ht="13.5">
      <c r="B61" s="123"/>
      <c r="C61" s="121"/>
      <c r="D61" s="119"/>
      <c r="E61" s="107"/>
      <c r="F61" s="122"/>
      <c r="G61" s="108"/>
      <c r="H61" s="128"/>
      <c r="I61" s="110"/>
      <c r="J61" s="105"/>
      <c r="K61" s="119"/>
      <c r="L61" s="113"/>
      <c r="M61" s="112"/>
      <c r="N61" s="114"/>
      <c r="O61" s="114"/>
      <c r="P61" s="119"/>
      <c r="Q61" s="119"/>
      <c r="R61" s="108"/>
      <c r="S61" s="115"/>
    </row>
    <row r="62" spans="2:21" s="73" customFormat="1" ht="13.5">
      <c r="B62" s="104"/>
      <c r="C62" s="121"/>
      <c r="D62" s="119"/>
      <c r="E62" s="107"/>
      <c r="F62" s="122"/>
      <c r="G62" s="108"/>
      <c r="H62" s="109"/>
      <c r="I62" s="110"/>
      <c r="J62" s="154" t="s">
        <v>916</v>
      </c>
      <c r="K62" s="155"/>
      <c r="L62" s="156" t="s">
        <v>917</v>
      </c>
      <c r="M62" s="157"/>
      <c r="N62" s="158" t="s">
        <v>918</v>
      </c>
      <c r="O62" s="158" t="s">
        <v>919</v>
      </c>
      <c r="P62" s="157"/>
      <c r="Q62" s="157"/>
      <c r="R62" s="159"/>
      <c r="S62" s="160"/>
    </row>
    <row r="63" spans="2:21" s="73" customFormat="1" ht="13.5">
      <c r="B63" s="123"/>
      <c r="C63" s="124"/>
      <c r="D63" s="149"/>
      <c r="E63" s="125"/>
      <c r="F63" s="126"/>
      <c r="G63" s="127"/>
      <c r="H63" s="128"/>
      <c r="I63" s="110"/>
      <c r="J63" s="154" t="s">
        <v>927</v>
      </c>
      <c r="K63" s="157"/>
      <c r="L63" s="156" t="s">
        <v>928</v>
      </c>
      <c r="M63" s="157">
        <v>30</v>
      </c>
      <c r="N63" s="159" t="s">
        <v>929</v>
      </c>
      <c r="O63" s="159" t="s">
        <v>930</v>
      </c>
      <c r="P63" s="157"/>
      <c r="Q63" s="157"/>
      <c r="R63" s="159"/>
      <c r="S63" s="160"/>
    </row>
    <row r="64" spans="2:21" s="73" customFormat="1" ht="13.5">
      <c r="B64" s="123"/>
      <c r="C64" s="121"/>
      <c r="D64" s="119"/>
      <c r="E64" s="107"/>
      <c r="F64" s="122"/>
      <c r="G64" s="108"/>
      <c r="H64" s="128"/>
      <c r="I64" s="110"/>
      <c r="J64" s="154" t="s">
        <v>938</v>
      </c>
      <c r="K64" s="157"/>
      <c r="L64" s="156" t="s">
        <v>917</v>
      </c>
      <c r="M64" s="157"/>
      <c r="N64" s="159" t="s">
        <v>939</v>
      </c>
      <c r="O64" s="159" t="s">
        <v>940</v>
      </c>
      <c r="P64" s="157"/>
      <c r="Q64" s="157"/>
      <c r="R64" s="159"/>
      <c r="S64" s="160"/>
    </row>
    <row r="65" spans="2:20" s="73" customFormat="1" ht="13.5">
      <c r="B65" s="129"/>
      <c r="C65" s="130"/>
      <c r="D65" s="131"/>
      <c r="E65" s="131"/>
      <c r="F65" s="131"/>
      <c r="G65" s="131"/>
      <c r="H65" s="132"/>
      <c r="I65" s="110"/>
      <c r="J65" s="154" t="s">
        <v>948</v>
      </c>
      <c r="K65" s="157"/>
      <c r="L65" s="156" t="s">
        <v>949</v>
      </c>
      <c r="M65" s="157"/>
      <c r="N65" s="159" t="s">
        <v>950</v>
      </c>
      <c r="O65" s="159" t="s">
        <v>951</v>
      </c>
      <c r="P65" s="157"/>
      <c r="Q65" s="157"/>
      <c r="R65" s="159"/>
      <c r="S65" s="160"/>
    </row>
    <row r="66" spans="2:20">
      <c r="B66" s="100"/>
      <c r="C66" s="100"/>
      <c r="D66" s="133"/>
      <c r="E66" s="100"/>
      <c r="F66" s="100"/>
      <c r="G66" s="100"/>
      <c r="H66" s="100"/>
      <c r="I66" s="100"/>
      <c r="J66" s="100"/>
      <c r="K66" s="100"/>
      <c r="L66" s="100"/>
      <c r="M66" s="100"/>
      <c r="N66" s="133"/>
      <c r="O66" s="133"/>
      <c r="P66" s="100"/>
      <c r="Q66" s="133"/>
      <c r="R66" s="133"/>
      <c r="S66" s="100"/>
      <c r="T66" s="100"/>
    </row>
    <row r="67" spans="2:20">
      <c r="B67" s="51" t="s">
        <v>1025</v>
      </c>
      <c r="C67" s="73"/>
      <c r="D67" s="75"/>
      <c r="E67" s="73"/>
      <c r="F67" s="73"/>
      <c r="G67" s="73"/>
      <c r="H67" s="73"/>
      <c r="I67" s="73"/>
      <c r="J67" s="73"/>
      <c r="K67" s="73"/>
      <c r="L67" s="73"/>
      <c r="M67" s="73"/>
      <c r="N67" s="75"/>
      <c r="O67" s="75"/>
      <c r="P67" s="73"/>
      <c r="Q67" s="75"/>
      <c r="R67" s="75"/>
      <c r="S67" s="73"/>
      <c r="T67" s="100"/>
    </row>
    <row r="68" spans="2:20">
      <c r="B68" s="976" t="s">
        <v>826</v>
      </c>
      <c r="C68" s="976"/>
      <c r="D68" s="976">
        <v>49</v>
      </c>
      <c r="E68" s="976"/>
      <c r="F68" s="976"/>
      <c r="G68" s="976"/>
      <c r="H68" s="976"/>
      <c r="I68" s="976"/>
      <c r="J68" s="976"/>
      <c r="K68" s="976"/>
      <c r="L68" s="976"/>
      <c r="M68" s="976"/>
      <c r="N68" s="976"/>
      <c r="O68" s="976"/>
      <c r="P68" s="976"/>
      <c r="Q68" s="976"/>
      <c r="R68" s="976"/>
      <c r="S68" s="976"/>
      <c r="T68" s="100"/>
    </row>
    <row r="69" spans="2:20">
      <c r="B69" s="977" t="s">
        <v>1033</v>
      </c>
      <c r="C69" s="978"/>
      <c r="D69" s="989"/>
      <c r="E69" s="990"/>
      <c r="F69" s="990"/>
      <c r="G69" s="990"/>
      <c r="H69" s="990"/>
      <c r="I69" s="990"/>
      <c r="J69" s="990"/>
      <c r="K69" s="990"/>
      <c r="L69" s="990"/>
      <c r="M69" s="990"/>
      <c r="N69" s="990"/>
      <c r="O69" s="990"/>
      <c r="P69" s="990"/>
      <c r="Q69" s="990"/>
      <c r="R69" s="990"/>
      <c r="S69" s="991"/>
      <c r="T69" s="100"/>
    </row>
    <row r="70" spans="2:20">
      <c r="B70" s="1008" t="s">
        <v>1038</v>
      </c>
      <c r="C70" s="1009"/>
      <c r="D70" s="1010"/>
      <c r="E70" s="1011"/>
      <c r="F70" s="1011"/>
      <c r="G70" s="1011"/>
      <c r="H70" s="1011"/>
      <c r="I70" s="1011"/>
      <c r="J70" s="1011"/>
      <c r="K70" s="1011"/>
      <c r="L70" s="1011"/>
      <c r="M70" s="1011"/>
      <c r="N70" s="1011"/>
      <c r="O70" s="1011"/>
      <c r="P70" s="1011"/>
      <c r="Q70" s="1011"/>
      <c r="R70" s="1011"/>
      <c r="S70" s="1012"/>
      <c r="T70" s="100"/>
    </row>
    <row r="71" spans="2:20">
      <c r="B71" s="75"/>
      <c r="C71" s="75"/>
      <c r="D71" s="75"/>
      <c r="E71" s="75"/>
      <c r="F71" s="75"/>
      <c r="G71" s="75"/>
      <c r="H71" s="75"/>
      <c r="I71" s="75"/>
      <c r="J71" s="75"/>
      <c r="K71" s="75"/>
      <c r="L71" s="75"/>
      <c r="M71" s="75"/>
      <c r="N71" s="75"/>
      <c r="O71" s="75"/>
      <c r="P71" s="75"/>
      <c r="Q71" s="75"/>
      <c r="R71" s="75"/>
      <c r="S71" s="75"/>
      <c r="T71" s="100"/>
    </row>
    <row r="72" spans="2:20">
      <c r="B72" s="51" t="s">
        <v>1045</v>
      </c>
      <c r="C72" s="73"/>
      <c r="D72" s="75"/>
      <c r="E72" s="73"/>
      <c r="F72" s="73"/>
      <c r="G72" s="73"/>
      <c r="H72" s="73"/>
      <c r="I72" s="73"/>
      <c r="J72" s="73"/>
      <c r="K72" s="73"/>
      <c r="L72" s="73"/>
      <c r="M72" s="73"/>
      <c r="N72" s="75"/>
      <c r="O72" s="75"/>
      <c r="P72" s="73"/>
      <c r="Q72" s="75"/>
      <c r="R72" s="75"/>
      <c r="S72" s="73"/>
      <c r="T72" s="100"/>
    </row>
    <row r="73" spans="2:20">
      <c r="B73" s="1014" t="s">
        <v>1049</v>
      </c>
      <c r="C73" s="1014"/>
      <c r="D73" s="1013"/>
      <c r="E73" s="1013"/>
      <c r="F73" s="1013"/>
      <c r="G73" s="1013"/>
      <c r="H73" s="1013"/>
      <c r="I73" s="1013"/>
      <c r="J73" s="1013"/>
      <c r="K73" s="1013"/>
      <c r="L73" s="1013"/>
      <c r="M73" s="1013"/>
      <c r="N73" s="1013"/>
      <c r="O73" s="1013"/>
      <c r="P73" s="1013"/>
      <c r="Q73" s="1013"/>
      <c r="R73" s="1013"/>
      <c r="S73" s="1013"/>
    </row>
    <row r="74" spans="2:20">
      <c r="B74" s="976" t="s">
        <v>1053</v>
      </c>
      <c r="C74" s="976"/>
      <c r="D74" s="1013"/>
      <c r="E74" s="1013"/>
      <c r="F74" s="1013"/>
      <c r="G74" s="1013"/>
      <c r="H74" s="1013"/>
      <c r="I74" s="1013"/>
      <c r="J74" s="1013"/>
      <c r="K74" s="1013"/>
      <c r="L74" s="1013"/>
      <c r="M74" s="1013"/>
      <c r="N74" s="1013"/>
      <c r="O74" s="1013"/>
      <c r="P74" s="1013"/>
      <c r="Q74" s="1013"/>
      <c r="R74" s="1013"/>
      <c r="S74" s="1013"/>
    </row>
    <row r="75" spans="2:20">
      <c r="B75" s="976" t="s">
        <v>1057</v>
      </c>
      <c r="C75" s="976"/>
      <c r="D75" s="1013"/>
      <c r="E75" s="1013"/>
      <c r="F75" s="1013"/>
      <c r="G75" s="1013"/>
      <c r="H75" s="1013"/>
      <c r="I75" s="1013"/>
      <c r="J75" s="1013"/>
      <c r="K75" s="1013"/>
      <c r="L75" s="1013"/>
      <c r="M75" s="1013"/>
      <c r="N75" s="1013"/>
      <c r="O75" s="1013"/>
      <c r="P75" s="1013"/>
      <c r="Q75" s="1013"/>
      <c r="R75" s="1013"/>
      <c r="S75" s="1013"/>
    </row>
    <row r="76" spans="2:20">
      <c r="B76" s="976" t="s">
        <v>1061</v>
      </c>
      <c r="C76" s="976"/>
      <c r="D76" s="1013" t="s">
        <v>1267</v>
      </c>
      <c r="E76" s="1013"/>
      <c r="F76" s="1013"/>
      <c r="G76" s="1013"/>
      <c r="H76" s="1013"/>
      <c r="I76" s="1013"/>
      <c r="J76" s="1013"/>
      <c r="K76" s="1013"/>
      <c r="L76" s="1013"/>
      <c r="M76" s="1013"/>
      <c r="N76" s="1013"/>
      <c r="O76" s="1013"/>
      <c r="P76" s="1013"/>
      <c r="Q76" s="1013"/>
      <c r="R76" s="1013"/>
      <c r="S76" s="1013"/>
    </row>
    <row r="77" spans="2:20" s="73" customFormat="1" ht="13.5">
      <c r="D77" s="75"/>
    </row>
    <row r="78" spans="2:20" s="73" customFormat="1" ht="13.5">
      <c r="D78" s="75"/>
    </row>
    <row r="79" spans="2:20" s="73" customFormat="1" ht="13.5">
      <c r="D79" s="75"/>
    </row>
    <row r="80" spans="2:20" s="73" customFormat="1" ht="13.5">
      <c r="D80" s="75"/>
    </row>
    <row r="81" spans="4:4" s="73" customFormat="1" ht="13.5">
      <c r="D81" s="75"/>
    </row>
    <row r="82" spans="4:4" s="73" customFormat="1" ht="13.5">
      <c r="D82" s="75"/>
    </row>
    <row r="83" spans="4:4" s="73" customFormat="1" ht="13.5">
      <c r="D83" s="75"/>
    </row>
    <row r="84" spans="4:4" s="73" customFormat="1" ht="13.5">
      <c r="D84" s="75"/>
    </row>
    <row r="85" spans="4:4" s="73" customFormat="1" ht="13.5">
      <c r="D85" s="75"/>
    </row>
    <row r="86" spans="4:4" s="73" customFormat="1" ht="13.5">
      <c r="D86" s="75"/>
    </row>
    <row r="87" spans="4:4" s="73" customFormat="1" ht="13.5">
      <c r="D87" s="75"/>
    </row>
    <row r="88" spans="4:4" s="73" customFormat="1" ht="13.5">
      <c r="D88" s="75"/>
    </row>
    <row r="89" spans="4:4" s="73" customFormat="1" ht="13.5">
      <c r="D89" s="75"/>
    </row>
    <row r="90" spans="4:4" s="73" customFormat="1" ht="13.5">
      <c r="D90" s="75"/>
    </row>
    <row r="91" spans="4:4" s="73" customFormat="1" ht="13.5">
      <c r="D91" s="75"/>
    </row>
    <row r="92" spans="4:4" s="73" customFormat="1" ht="13.5">
      <c r="D92" s="75"/>
    </row>
    <row r="93" spans="4:4" s="73" customFormat="1" ht="13.5">
      <c r="D93" s="75"/>
    </row>
    <row r="94" spans="4:4" s="73" customFormat="1" ht="13.5">
      <c r="D94" s="75"/>
    </row>
    <row r="95" spans="4:4" s="73" customFormat="1" ht="13.5">
      <c r="D95" s="75"/>
    </row>
    <row r="96" spans="4:4" s="73" customFormat="1" ht="13.5">
      <c r="D96" s="75"/>
    </row>
    <row r="97" spans="4:8" s="73" customFormat="1" ht="13.5">
      <c r="D97" s="75"/>
    </row>
    <row r="98" spans="4:8" s="73" customFormat="1" ht="13.5">
      <c r="D98" s="75"/>
      <c r="H98" s="51" t="s">
        <v>1268</v>
      </c>
    </row>
    <row r="99" spans="4:8" s="73" customFormat="1" ht="13.5">
      <c r="D99" s="75"/>
    </row>
    <row r="100" spans="4:8" s="73" customFormat="1" ht="13.5">
      <c r="D100" s="75"/>
    </row>
    <row r="101" spans="4:8" s="73" customFormat="1" ht="13.5">
      <c r="D101" s="75"/>
    </row>
    <row r="102" spans="4:8" s="73" customFormat="1" ht="13.5">
      <c r="D102" s="75"/>
    </row>
    <row r="103" spans="4:8" s="73" customFormat="1" ht="13.5">
      <c r="D103" s="75"/>
    </row>
    <row r="104" spans="4:8" s="73" customFormat="1" ht="13.5">
      <c r="D104" s="75"/>
    </row>
    <row r="105" spans="4:8" s="73" customFormat="1" ht="13.5">
      <c r="D105" s="75"/>
    </row>
    <row r="106" spans="4:8" s="73" customFormat="1" ht="13.5">
      <c r="D106" s="75"/>
    </row>
    <row r="107" spans="4:8" s="73" customFormat="1" ht="13.5">
      <c r="D107" s="75"/>
    </row>
    <row r="108" spans="4:8" s="73" customFormat="1" ht="13.5">
      <c r="D108" s="75"/>
    </row>
    <row r="109" spans="4:8" s="73" customFormat="1" ht="13.5">
      <c r="D109" s="75"/>
    </row>
    <row r="110" spans="4:8" s="73" customFormat="1" ht="13.5">
      <c r="D110" s="75"/>
    </row>
    <row r="111" spans="4:8" s="73" customFormat="1" ht="13.5">
      <c r="D111" s="75"/>
    </row>
    <row r="112" spans="4:8" s="73" customFormat="1" ht="13.5">
      <c r="D112" s="75"/>
    </row>
    <row r="113" spans="4:4" s="73" customFormat="1" ht="13.5">
      <c r="D113" s="75"/>
    </row>
    <row r="114" spans="4:4" s="73" customFormat="1" ht="13.5">
      <c r="D114" s="75"/>
    </row>
    <row r="115" spans="4:4" s="73" customFormat="1" ht="13.5">
      <c r="D115" s="75"/>
    </row>
    <row r="116" spans="4:4" s="73" customFormat="1" ht="13.5">
      <c r="D116" s="75"/>
    </row>
    <row r="117" spans="4:4" s="73" customFormat="1" ht="13.5">
      <c r="D117" s="75"/>
    </row>
    <row r="118" spans="4:4" s="73" customFormat="1" ht="13.5">
      <c r="D118" s="75"/>
    </row>
    <row r="119" spans="4:4" s="73" customFormat="1" ht="13.5">
      <c r="D119" s="75"/>
    </row>
    <row r="120" spans="4:4" s="73" customFormat="1" ht="13.5">
      <c r="D120" s="75"/>
    </row>
    <row r="121" spans="4:4" s="73" customFormat="1" ht="13.5">
      <c r="D121" s="75"/>
    </row>
    <row r="122" spans="4:4" s="73" customFormat="1" ht="13.5">
      <c r="D122" s="75"/>
    </row>
  </sheetData>
  <mergeCells count="25">
    <mergeCell ref="K2:N2"/>
    <mergeCell ref="P2:S2"/>
    <mergeCell ref="K3:N3"/>
    <mergeCell ref="P3:S3"/>
    <mergeCell ref="B5:H5"/>
    <mergeCell ref="I5:Q5"/>
    <mergeCell ref="R5:R7"/>
    <mergeCell ref="S5:S7"/>
    <mergeCell ref="C6:H6"/>
    <mergeCell ref="J6:Q6"/>
    <mergeCell ref="B2:I3"/>
    <mergeCell ref="B68:C68"/>
    <mergeCell ref="D68:S68"/>
    <mergeCell ref="B69:C69"/>
    <mergeCell ref="D69:S69"/>
    <mergeCell ref="B70:C70"/>
    <mergeCell ref="D70:S70"/>
    <mergeCell ref="B76:C76"/>
    <mergeCell ref="D76:S76"/>
    <mergeCell ref="B73:C73"/>
    <mergeCell ref="D73:S73"/>
    <mergeCell ref="B74:C74"/>
    <mergeCell ref="D74:S74"/>
    <mergeCell ref="B75:C75"/>
    <mergeCell ref="D75:S75"/>
  </mergeCells>
  <phoneticPr fontId="4" type="noConversion"/>
  <hyperlinks>
    <hyperlink ref="A1" location="List!A1" display="Top" xr:uid="{B2FE2078-4163-42F8-9671-9478386F285C}"/>
  </hyperlinks>
  <pageMargins left="0.7" right="0.7" top="0.75" bottom="0.75" header="0.3" footer="0.3"/>
  <customProperties>
    <customPr name="_pios_id" r:id="rId1"/>
  </customPropertie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4AE20-23A7-4501-A3A1-C66F43841723}">
  <sheetPr>
    <tabColor rgb="FFFFFF00"/>
  </sheetPr>
  <dimension ref="A1:AC109"/>
  <sheetViews>
    <sheetView showGridLines="0" zoomScaleNormal="100" workbookViewId="0">
      <selection activeCell="C6" sqref="C6:H6"/>
    </sheetView>
  </sheetViews>
  <sheetFormatPr defaultColWidth="12.625" defaultRowHeight="16.5"/>
  <cols>
    <col min="1" max="1" width="2.125" style="69" customWidth="1"/>
    <col min="2" max="2" width="5.625" style="69" customWidth="1"/>
    <col min="3" max="3" width="15.125" style="69" customWidth="1"/>
    <col min="4" max="4" width="3.5" style="69" bestFit="1" customWidth="1"/>
    <col min="5" max="5" width="6.125" style="69" bestFit="1" customWidth="1"/>
    <col min="6" max="6" width="4.625" style="69" bestFit="1" customWidth="1"/>
    <col min="7" max="7" width="23.125" style="69" bestFit="1" customWidth="1"/>
    <col min="8" max="8" width="23.875" style="69" bestFit="1" customWidth="1"/>
    <col min="9" max="9" width="5.625" style="69" customWidth="1"/>
    <col min="10" max="10" width="16.625" style="69" customWidth="1"/>
    <col min="11" max="11" width="4.625" style="69" customWidth="1"/>
    <col min="12" max="12" width="10.125" style="69" bestFit="1" customWidth="1"/>
    <col min="13" max="13" width="5.25" style="69" bestFit="1" customWidth="1"/>
    <col min="14" max="14" width="23.125" style="69" bestFit="1" customWidth="1"/>
    <col min="15" max="15" width="23.875" style="69" bestFit="1" customWidth="1"/>
    <col min="16" max="16" width="4.375" style="69" customWidth="1"/>
    <col min="17" max="17" width="3.875" style="69" customWidth="1"/>
    <col min="18" max="18" width="6" style="69" customWidth="1"/>
    <col min="19" max="19" width="4.625" style="69" bestFit="1" customWidth="1"/>
    <col min="20" max="20" width="26.125" style="69" customWidth="1"/>
    <col min="21" max="24" width="2.125" style="69" customWidth="1"/>
    <col min="25" max="25" width="35.125" style="69" customWidth="1"/>
    <col min="26" max="29" width="21.5" style="69" customWidth="1"/>
    <col min="30" max="16384" width="12.625" style="69"/>
  </cols>
  <sheetData>
    <row r="1" spans="1:29" ht="9.6" customHeight="1" thickBot="1">
      <c r="A1" s="67" t="s">
        <v>814</v>
      </c>
    </row>
    <row r="2" spans="1:29" ht="23.1" customHeight="1">
      <c r="B2" s="992" t="s">
        <v>1269</v>
      </c>
      <c r="C2" s="993"/>
      <c r="D2" s="993"/>
      <c r="E2" s="993"/>
      <c r="F2" s="993"/>
      <c r="G2" s="993"/>
      <c r="H2" s="993"/>
      <c r="I2" s="994"/>
      <c r="J2" s="70" t="s">
        <v>816</v>
      </c>
      <c r="K2" s="998" t="s">
        <v>128</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1017" t="s">
        <v>1270</v>
      </c>
      <c r="J5" s="980"/>
      <c r="K5" s="980"/>
      <c r="L5" s="980"/>
      <c r="M5" s="980"/>
      <c r="N5" s="980"/>
      <c r="O5" s="980"/>
      <c r="P5" s="980"/>
      <c r="Q5" s="980"/>
      <c r="R5" s="983" t="s">
        <v>825</v>
      </c>
      <c r="S5" s="985" t="s">
        <v>1067</v>
      </c>
      <c r="T5" s="73"/>
      <c r="Z5" s="76" t="s">
        <v>827</v>
      </c>
      <c r="AA5" s="76"/>
      <c r="AB5" s="76"/>
      <c r="AC5" s="77"/>
    </row>
    <row r="6" spans="1:29" ht="32.1" customHeight="1">
      <c r="B6" s="78" t="s">
        <v>828</v>
      </c>
      <c r="C6" s="987" t="s">
        <v>3717</v>
      </c>
      <c r="D6" s="984"/>
      <c r="E6" s="984"/>
      <c r="F6" s="984"/>
      <c r="G6" s="984"/>
      <c r="H6" s="986"/>
      <c r="I6" s="78" t="s">
        <v>829</v>
      </c>
      <c r="J6" s="988" t="s">
        <v>830</v>
      </c>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79"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147" t="s">
        <v>1068</v>
      </c>
      <c r="D8" s="119" t="s">
        <v>42</v>
      </c>
      <c r="E8" s="107" t="s">
        <v>845</v>
      </c>
      <c r="F8" s="107">
        <v>18</v>
      </c>
      <c r="G8" s="108" t="s">
        <v>1069</v>
      </c>
      <c r="H8" s="109" t="s">
        <v>1070</v>
      </c>
      <c r="I8" s="104">
        <v>1</v>
      </c>
      <c r="J8" s="111" t="s">
        <v>1271</v>
      </c>
      <c r="K8" s="112" t="s">
        <v>42</v>
      </c>
      <c r="L8" s="113" t="s">
        <v>1272</v>
      </c>
      <c r="M8" s="112">
        <v>1000</v>
      </c>
      <c r="N8" s="114" t="s">
        <v>1069</v>
      </c>
      <c r="O8" s="114" t="s">
        <v>1070</v>
      </c>
      <c r="P8" s="112"/>
      <c r="Q8" s="112"/>
      <c r="R8" s="114"/>
      <c r="S8" s="134"/>
      <c r="Z8" s="116" t="s">
        <v>848</v>
      </c>
      <c r="AA8" s="116" t="s">
        <v>849</v>
      </c>
      <c r="AB8" s="116" t="s">
        <v>850</v>
      </c>
      <c r="AC8" s="116" t="s">
        <v>851</v>
      </c>
    </row>
    <row r="9" spans="1:29" s="73" customFormat="1" ht="13.5">
      <c r="B9" s="104">
        <v>2</v>
      </c>
      <c r="C9" s="147" t="s">
        <v>1273</v>
      </c>
      <c r="D9" s="119" t="s">
        <v>42</v>
      </c>
      <c r="E9" s="107" t="s">
        <v>845</v>
      </c>
      <c r="F9" s="107">
        <v>4</v>
      </c>
      <c r="G9" s="108" t="s">
        <v>1144</v>
      </c>
      <c r="H9" s="109" t="s">
        <v>1144</v>
      </c>
      <c r="I9" s="104">
        <v>2</v>
      </c>
      <c r="J9" s="111" t="s">
        <v>1144</v>
      </c>
      <c r="K9" s="112" t="s">
        <v>42</v>
      </c>
      <c r="L9" s="113" t="s">
        <v>1272</v>
      </c>
      <c r="M9" s="112">
        <v>1000</v>
      </c>
      <c r="N9" s="114" t="s">
        <v>1274</v>
      </c>
      <c r="O9" s="114" t="s">
        <v>1144</v>
      </c>
      <c r="P9" s="112"/>
      <c r="Q9" s="112"/>
      <c r="R9" s="114"/>
      <c r="S9" s="134"/>
      <c r="T9" s="71"/>
      <c r="Z9" s="116" t="s">
        <v>857</v>
      </c>
      <c r="AA9" s="116" t="s">
        <v>858</v>
      </c>
      <c r="AB9" s="116" t="s">
        <v>859</v>
      </c>
      <c r="AC9" s="116" t="s">
        <v>860</v>
      </c>
    </row>
    <row r="10" spans="1:29" s="73" customFormat="1" ht="13.5">
      <c r="B10" s="104">
        <v>3</v>
      </c>
      <c r="C10" s="105" t="s">
        <v>1275</v>
      </c>
      <c r="D10" s="106"/>
      <c r="E10" s="107" t="s">
        <v>845</v>
      </c>
      <c r="F10" s="107">
        <v>1</v>
      </c>
      <c r="G10" s="108" t="s">
        <v>1276</v>
      </c>
      <c r="H10" s="109" t="s">
        <v>1277</v>
      </c>
      <c r="I10" s="104">
        <v>3</v>
      </c>
      <c r="J10" s="117" t="s">
        <v>1278</v>
      </c>
      <c r="K10" s="112"/>
      <c r="L10" s="113" t="s">
        <v>1272</v>
      </c>
      <c r="M10" s="112">
        <v>1000</v>
      </c>
      <c r="N10" s="114" t="s">
        <v>1276</v>
      </c>
      <c r="O10" s="114" t="s">
        <v>1277</v>
      </c>
      <c r="P10" s="112"/>
      <c r="Q10" s="112"/>
      <c r="R10" s="114"/>
      <c r="S10" s="134"/>
      <c r="T10" s="71"/>
      <c r="Z10" s="116" t="s">
        <v>865</v>
      </c>
      <c r="AA10" s="116" t="s">
        <v>866</v>
      </c>
      <c r="AB10" s="116" t="s">
        <v>867</v>
      </c>
      <c r="AC10" s="116" t="s">
        <v>868</v>
      </c>
    </row>
    <row r="11" spans="1:29" s="73" customFormat="1" ht="13.5">
      <c r="B11" s="104">
        <v>4</v>
      </c>
      <c r="C11" s="105" t="s">
        <v>1279</v>
      </c>
      <c r="D11" s="106"/>
      <c r="E11" s="107" t="s">
        <v>845</v>
      </c>
      <c r="F11" s="107">
        <v>2</v>
      </c>
      <c r="G11" s="108" t="s">
        <v>1280</v>
      </c>
      <c r="H11" s="109" t="s">
        <v>1281</v>
      </c>
      <c r="I11" s="104">
        <v>4</v>
      </c>
      <c r="J11" s="118" t="s">
        <v>1282</v>
      </c>
      <c r="K11" s="106"/>
      <c r="L11" s="113" t="s">
        <v>1272</v>
      </c>
      <c r="M11" s="112">
        <v>1000</v>
      </c>
      <c r="N11" s="108" t="s">
        <v>1280</v>
      </c>
      <c r="O11" s="108" t="s">
        <v>1281</v>
      </c>
      <c r="P11" s="119"/>
      <c r="Q11" s="119"/>
      <c r="R11" s="108"/>
      <c r="S11" s="134"/>
      <c r="Z11" s="116" t="s">
        <v>873</v>
      </c>
      <c r="AA11" s="116" t="s">
        <v>858</v>
      </c>
      <c r="AB11" s="116" t="s">
        <v>874</v>
      </c>
      <c r="AC11" s="116" t="s">
        <v>875</v>
      </c>
    </row>
    <row r="12" spans="1:29" s="73" customFormat="1" ht="13.5">
      <c r="B12" s="104">
        <v>5</v>
      </c>
      <c r="C12" s="105" t="s">
        <v>1283</v>
      </c>
      <c r="D12" s="106"/>
      <c r="E12" s="107" t="s">
        <v>845</v>
      </c>
      <c r="F12" s="107">
        <v>1</v>
      </c>
      <c r="G12" s="108" t="s">
        <v>1284</v>
      </c>
      <c r="H12" s="109" t="s">
        <v>1285</v>
      </c>
      <c r="I12" s="104">
        <v>5</v>
      </c>
      <c r="J12" s="118" t="s">
        <v>1283</v>
      </c>
      <c r="K12" s="119"/>
      <c r="L12" s="113" t="s">
        <v>1272</v>
      </c>
      <c r="M12" s="112">
        <v>1000</v>
      </c>
      <c r="N12" s="108" t="s">
        <v>1283</v>
      </c>
      <c r="O12" s="108" t="s">
        <v>1285</v>
      </c>
      <c r="P12" s="119"/>
      <c r="Q12" s="119"/>
      <c r="R12" s="108"/>
      <c r="S12" s="134"/>
      <c r="Z12" s="116" t="s">
        <v>880</v>
      </c>
      <c r="AA12" s="116" t="s">
        <v>881</v>
      </c>
      <c r="AB12" s="116" t="s">
        <v>882</v>
      </c>
      <c r="AC12" s="116" t="s">
        <v>883</v>
      </c>
    </row>
    <row r="13" spans="1:29" s="73" customFormat="1" ht="13.5">
      <c r="B13" s="104">
        <v>6</v>
      </c>
      <c r="C13" s="105" t="s">
        <v>1286</v>
      </c>
      <c r="D13" s="106"/>
      <c r="E13" s="107" t="s">
        <v>845</v>
      </c>
      <c r="F13" s="107">
        <v>2</v>
      </c>
      <c r="G13" s="108" t="s">
        <v>1287</v>
      </c>
      <c r="H13" s="109" t="s">
        <v>1288</v>
      </c>
      <c r="I13" s="104">
        <v>6</v>
      </c>
      <c r="J13" s="118" t="s">
        <v>1289</v>
      </c>
      <c r="K13" s="119"/>
      <c r="L13" s="113" t="s">
        <v>1272</v>
      </c>
      <c r="M13" s="112">
        <v>1000</v>
      </c>
      <c r="N13" s="108" t="s">
        <v>1290</v>
      </c>
      <c r="O13" s="108" t="s">
        <v>1288</v>
      </c>
      <c r="P13" s="119"/>
      <c r="Q13" s="112"/>
      <c r="R13" s="114"/>
      <c r="S13" s="134"/>
      <c r="Z13" s="116" t="s">
        <v>888</v>
      </c>
      <c r="AA13" s="116" t="s">
        <v>889</v>
      </c>
      <c r="AB13" s="116" t="s">
        <v>890</v>
      </c>
      <c r="AC13" s="116" t="s">
        <v>891</v>
      </c>
    </row>
    <row r="14" spans="1:29" s="73" customFormat="1" ht="13.5">
      <c r="B14" s="104">
        <v>7</v>
      </c>
      <c r="C14" s="105" t="s">
        <v>1291</v>
      </c>
      <c r="D14" s="106"/>
      <c r="E14" s="107" t="s">
        <v>845</v>
      </c>
      <c r="F14" s="107">
        <v>4</v>
      </c>
      <c r="G14" s="108" t="s">
        <v>1292</v>
      </c>
      <c r="H14" s="109" t="s">
        <v>1293</v>
      </c>
      <c r="I14" s="104">
        <v>7</v>
      </c>
      <c r="J14" s="118" t="s">
        <v>1294</v>
      </c>
      <c r="K14" s="106"/>
      <c r="L14" s="113" t="s">
        <v>1272</v>
      </c>
      <c r="M14" s="112">
        <v>1000</v>
      </c>
      <c r="N14" s="108" t="s">
        <v>1292</v>
      </c>
      <c r="O14" s="108" t="s">
        <v>1293</v>
      </c>
      <c r="P14" s="119"/>
      <c r="Q14" s="112"/>
      <c r="R14" s="114"/>
      <c r="S14" s="134"/>
      <c r="Z14" s="116" t="s">
        <v>896</v>
      </c>
      <c r="AA14" s="116" t="s">
        <v>849</v>
      </c>
      <c r="AB14" s="116" t="s">
        <v>897</v>
      </c>
      <c r="AC14" s="116" t="s">
        <v>898</v>
      </c>
    </row>
    <row r="15" spans="1:29" s="73" customFormat="1" ht="13.5">
      <c r="B15" s="104">
        <v>8</v>
      </c>
      <c r="C15" s="105" t="s">
        <v>1295</v>
      </c>
      <c r="D15" s="106"/>
      <c r="E15" s="107" t="s">
        <v>845</v>
      </c>
      <c r="F15" s="107">
        <v>4</v>
      </c>
      <c r="G15" s="108" t="s">
        <v>1296</v>
      </c>
      <c r="H15" s="109" t="s">
        <v>1297</v>
      </c>
      <c r="I15" s="104">
        <v>8</v>
      </c>
      <c r="J15" s="118" t="s">
        <v>1298</v>
      </c>
      <c r="K15" s="106"/>
      <c r="L15" s="113" t="s">
        <v>1272</v>
      </c>
      <c r="M15" s="112">
        <v>1000</v>
      </c>
      <c r="N15" s="108" t="s">
        <v>1299</v>
      </c>
      <c r="O15" s="108" t="s">
        <v>1297</v>
      </c>
      <c r="P15" s="119"/>
      <c r="Q15" s="112"/>
      <c r="R15" s="114"/>
      <c r="S15" s="134"/>
      <c r="Z15" s="116" t="s">
        <v>903</v>
      </c>
      <c r="AA15" s="116" t="s">
        <v>858</v>
      </c>
      <c r="AB15" s="116" t="s">
        <v>904</v>
      </c>
      <c r="AC15" s="116" t="s">
        <v>860</v>
      </c>
    </row>
    <row r="16" spans="1:29" s="73" customFormat="1" ht="13.5">
      <c r="B16" s="104">
        <v>9</v>
      </c>
      <c r="C16" s="105" t="s">
        <v>1300</v>
      </c>
      <c r="D16" s="106"/>
      <c r="E16" s="107" t="s">
        <v>845</v>
      </c>
      <c r="F16" s="107">
        <v>4</v>
      </c>
      <c r="G16" s="108" t="s">
        <v>1301</v>
      </c>
      <c r="H16" s="109" t="s">
        <v>1302</v>
      </c>
      <c r="I16" s="104">
        <v>9</v>
      </c>
      <c r="J16" s="118" t="s">
        <v>1303</v>
      </c>
      <c r="K16" s="106"/>
      <c r="L16" s="113" t="s">
        <v>1272</v>
      </c>
      <c r="M16" s="112">
        <v>1000</v>
      </c>
      <c r="N16" s="108" t="s">
        <v>1304</v>
      </c>
      <c r="O16" s="108" t="s">
        <v>1302</v>
      </c>
      <c r="P16" s="119"/>
      <c r="Q16" s="112"/>
      <c r="R16" s="114"/>
      <c r="S16" s="134"/>
      <c r="Z16" s="116" t="s">
        <v>909</v>
      </c>
      <c r="AA16" s="116" t="s">
        <v>858</v>
      </c>
      <c r="AB16" s="116" t="s">
        <v>910</v>
      </c>
      <c r="AC16" s="116" t="s">
        <v>911</v>
      </c>
    </row>
    <row r="17" spans="2:29" s="73" customFormat="1" ht="13.5">
      <c r="B17" s="104">
        <v>10</v>
      </c>
      <c r="C17" s="105" t="s">
        <v>1098</v>
      </c>
      <c r="D17" s="106"/>
      <c r="E17" s="107" t="s">
        <v>845</v>
      </c>
      <c r="F17" s="107">
        <v>3</v>
      </c>
      <c r="G17" s="108" t="s">
        <v>1099</v>
      </c>
      <c r="H17" s="109" t="s">
        <v>1100</v>
      </c>
      <c r="I17" s="183">
        <v>10</v>
      </c>
      <c r="J17" s="177" t="s">
        <v>1101</v>
      </c>
      <c r="K17" s="179"/>
      <c r="L17" s="172" t="s">
        <v>1272</v>
      </c>
      <c r="M17" s="173">
        <v>1000</v>
      </c>
      <c r="N17" s="175" t="s">
        <v>1101</v>
      </c>
      <c r="O17" s="175" t="s">
        <v>1100</v>
      </c>
      <c r="P17" s="173"/>
      <c r="Q17" s="173"/>
      <c r="R17" s="174"/>
      <c r="S17" s="184"/>
      <c r="T17" s="73" t="s">
        <v>1078</v>
      </c>
      <c r="Z17" s="116" t="s">
        <v>920</v>
      </c>
      <c r="AA17" s="116" t="s">
        <v>849</v>
      </c>
      <c r="AB17" s="116" t="s">
        <v>921</v>
      </c>
      <c r="AC17" s="116" t="s">
        <v>922</v>
      </c>
    </row>
    <row r="18" spans="2:29" s="73" customFormat="1" ht="13.5">
      <c r="B18" s="104">
        <v>11</v>
      </c>
      <c r="C18" s="105" t="s">
        <v>1305</v>
      </c>
      <c r="D18" s="106"/>
      <c r="E18" s="107" t="s">
        <v>1306</v>
      </c>
      <c r="F18" s="107" t="s">
        <v>1307</v>
      </c>
      <c r="G18" s="108" t="s">
        <v>1308</v>
      </c>
      <c r="H18" s="109" t="s">
        <v>1309</v>
      </c>
      <c r="I18" s="104">
        <v>11</v>
      </c>
      <c r="J18" s="117" t="s">
        <v>1310</v>
      </c>
      <c r="K18" s="112"/>
      <c r="L18" s="113" t="s">
        <v>1272</v>
      </c>
      <c r="M18" s="112">
        <v>1000</v>
      </c>
      <c r="N18" s="114" t="s">
        <v>1311</v>
      </c>
      <c r="O18" s="114" t="s">
        <v>1309</v>
      </c>
      <c r="P18" s="112"/>
      <c r="Q18" s="112"/>
      <c r="R18" s="114"/>
      <c r="S18" s="134"/>
      <c r="Z18" s="116" t="s">
        <v>931</v>
      </c>
      <c r="AA18" s="116" t="s">
        <v>932</v>
      </c>
      <c r="AB18" s="116" t="s">
        <v>933</v>
      </c>
      <c r="AC18" s="116" t="s">
        <v>934</v>
      </c>
    </row>
    <row r="19" spans="2:29" s="73" customFormat="1" ht="13.5">
      <c r="B19" s="104">
        <v>12</v>
      </c>
      <c r="C19" s="121" t="s">
        <v>1312</v>
      </c>
      <c r="D19" s="106"/>
      <c r="E19" s="107" t="s">
        <v>845</v>
      </c>
      <c r="F19" s="107">
        <v>3</v>
      </c>
      <c r="G19" s="108" t="s">
        <v>1313</v>
      </c>
      <c r="H19" s="109" t="s">
        <v>1313</v>
      </c>
      <c r="I19" s="104">
        <v>12</v>
      </c>
      <c r="J19" s="117" t="s">
        <v>1314</v>
      </c>
      <c r="K19" s="120"/>
      <c r="L19" s="113" t="s">
        <v>1272</v>
      </c>
      <c r="M19" s="112">
        <v>1000</v>
      </c>
      <c r="N19" s="114" t="s">
        <v>1315</v>
      </c>
      <c r="O19" s="114" t="s">
        <v>1313</v>
      </c>
      <c r="P19" s="112"/>
      <c r="Q19" s="112"/>
      <c r="R19" s="114"/>
      <c r="S19" s="134"/>
      <c r="Z19" s="116" t="s">
        <v>941</v>
      </c>
      <c r="AA19" s="116" t="s">
        <v>942</v>
      </c>
      <c r="AB19" s="116" t="s">
        <v>943</v>
      </c>
      <c r="AC19" s="116" t="s">
        <v>944</v>
      </c>
    </row>
    <row r="20" spans="2:29" s="73" customFormat="1" ht="13.5">
      <c r="B20" s="104">
        <v>13</v>
      </c>
      <c r="C20" s="121" t="s">
        <v>1079</v>
      </c>
      <c r="D20" s="106"/>
      <c r="E20" s="107" t="s">
        <v>845</v>
      </c>
      <c r="F20" s="107">
        <v>4</v>
      </c>
      <c r="G20" s="108" t="s">
        <v>1316</v>
      </c>
      <c r="H20" s="109" t="s">
        <v>1317</v>
      </c>
      <c r="I20" s="183">
        <v>13</v>
      </c>
      <c r="J20" s="177" t="s">
        <v>1082</v>
      </c>
      <c r="K20" s="179"/>
      <c r="L20" s="172" t="s">
        <v>1272</v>
      </c>
      <c r="M20" s="173">
        <v>1000</v>
      </c>
      <c r="N20" s="174" t="s">
        <v>1316</v>
      </c>
      <c r="O20" s="174" t="s">
        <v>1317</v>
      </c>
      <c r="P20" s="173"/>
      <c r="Q20" s="173"/>
      <c r="R20" s="174"/>
      <c r="S20" s="184"/>
      <c r="T20" s="73" t="s">
        <v>1078</v>
      </c>
      <c r="Z20" s="116" t="s">
        <v>952</v>
      </c>
      <c r="AA20" s="116" t="s">
        <v>942</v>
      </c>
      <c r="AB20" s="116" t="s">
        <v>953</v>
      </c>
      <c r="AC20" s="116" t="s">
        <v>954</v>
      </c>
    </row>
    <row r="21" spans="2:29" s="73" customFormat="1" ht="27">
      <c r="B21" s="104">
        <v>14</v>
      </c>
      <c r="C21" s="121" t="s">
        <v>1318</v>
      </c>
      <c r="D21" s="106"/>
      <c r="E21" s="107" t="s">
        <v>845</v>
      </c>
      <c r="F21" s="107">
        <v>40</v>
      </c>
      <c r="G21" s="108" t="s">
        <v>1319</v>
      </c>
      <c r="H21" s="109" t="s">
        <v>1319</v>
      </c>
      <c r="I21" s="183">
        <v>14</v>
      </c>
      <c r="J21" s="170" t="s">
        <v>1320</v>
      </c>
      <c r="K21" s="171"/>
      <c r="L21" s="172" t="s">
        <v>1272</v>
      </c>
      <c r="M21" s="173">
        <v>1000</v>
      </c>
      <c r="N21" s="175" t="s">
        <v>1319</v>
      </c>
      <c r="O21" s="175" t="s">
        <v>1319</v>
      </c>
      <c r="P21" s="171"/>
      <c r="Q21" s="171"/>
      <c r="R21" s="175"/>
      <c r="S21" s="184"/>
      <c r="T21" s="73" t="s">
        <v>1078</v>
      </c>
      <c r="Z21" s="116" t="s">
        <v>958</v>
      </c>
      <c r="AA21" s="116" t="s">
        <v>959</v>
      </c>
      <c r="AB21" s="116" t="s">
        <v>960</v>
      </c>
      <c r="AC21" s="116" t="s">
        <v>961</v>
      </c>
    </row>
    <row r="22" spans="2:29" s="73" customFormat="1" ht="27">
      <c r="B22" s="104">
        <v>15</v>
      </c>
      <c r="C22" s="121" t="s">
        <v>1321</v>
      </c>
      <c r="D22" s="106"/>
      <c r="E22" s="107" t="s">
        <v>845</v>
      </c>
      <c r="F22" s="107">
        <v>40</v>
      </c>
      <c r="G22" s="108" t="s">
        <v>1322</v>
      </c>
      <c r="H22" s="109" t="s">
        <v>1323</v>
      </c>
      <c r="I22" s="183">
        <v>15</v>
      </c>
      <c r="J22" s="170" t="s">
        <v>1156</v>
      </c>
      <c r="K22" s="171"/>
      <c r="L22" s="172" t="s">
        <v>1272</v>
      </c>
      <c r="M22" s="173">
        <v>1000</v>
      </c>
      <c r="N22" s="175" t="s">
        <v>1322</v>
      </c>
      <c r="O22" s="175" t="s">
        <v>1323</v>
      </c>
      <c r="P22" s="171"/>
      <c r="Q22" s="171"/>
      <c r="R22" s="175"/>
      <c r="S22" s="184"/>
      <c r="T22" s="73" t="s">
        <v>1078</v>
      </c>
      <c r="Z22" s="116" t="s">
        <v>965</v>
      </c>
      <c r="AA22" s="116" t="s">
        <v>966</v>
      </c>
      <c r="AB22" s="116" t="s">
        <v>967</v>
      </c>
      <c r="AC22" s="116" t="s">
        <v>968</v>
      </c>
    </row>
    <row r="23" spans="2:29" s="73" customFormat="1" ht="27">
      <c r="B23" s="104">
        <v>16</v>
      </c>
      <c r="C23" s="121" t="s">
        <v>1324</v>
      </c>
      <c r="D23" s="106"/>
      <c r="E23" s="107" t="s">
        <v>845</v>
      </c>
      <c r="F23" s="107">
        <v>40</v>
      </c>
      <c r="G23" s="108" t="s">
        <v>1325</v>
      </c>
      <c r="H23" s="109" t="s">
        <v>1325</v>
      </c>
      <c r="I23" s="183">
        <v>16</v>
      </c>
      <c r="J23" s="170" t="s">
        <v>1077</v>
      </c>
      <c r="K23" s="171"/>
      <c r="L23" s="172" t="s">
        <v>1272</v>
      </c>
      <c r="M23" s="173">
        <v>1000</v>
      </c>
      <c r="N23" s="174" t="s">
        <v>1325</v>
      </c>
      <c r="O23" s="174" t="s">
        <v>1325</v>
      </c>
      <c r="P23" s="171"/>
      <c r="Q23" s="171"/>
      <c r="R23" s="175"/>
      <c r="S23" s="184"/>
      <c r="T23" s="73" t="s">
        <v>1078</v>
      </c>
      <c r="Z23" s="116" t="s">
        <v>969</v>
      </c>
      <c r="AA23" s="116" t="s">
        <v>970</v>
      </c>
      <c r="AB23" s="116" t="s">
        <v>971</v>
      </c>
      <c r="AC23" s="116" t="s">
        <v>972</v>
      </c>
    </row>
    <row r="24" spans="2:29" s="73" customFormat="1" ht="27">
      <c r="B24" s="104">
        <v>17</v>
      </c>
      <c r="C24" s="121" t="s">
        <v>1326</v>
      </c>
      <c r="D24" s="106"/>
      <c r="E24" s="107" t="s">
        <v>845</v>
      </c>
      <c r="F24" s="107">
        <v>40</v>
      </c>
      <c r="G24" s="108" t="s">
        <v>1327</v>
      </c>
      <c r="H24" s="109" t="s">
        <v>1327</v>
      </c>
      <c r="I24" s="183">
        <v>17</v>
      </c>
      <c r="J24" s="170" t="s">
        <v>1160</v>
      </c>
      <c r="K24" s="171"/>
      <c r="L24" s="172" t="s">
        <v>1272</v>
      </c>
      <c r="M24" s="173">
        <v>1000</v>
      </c>
      <c r="N24" s="174" t="s">
        <v>1327</v>
      </c>
      <c r="O24" s="174" t="s">
        <v>1327</v>
      </c>
      <c r="P24" s="171"/>
      <c r="Q24" s="171"/>
      <c r="R24" s="175"/>
      <c r="S24" s="184"/>
      <c r="T24" s="73" t="s">
        <v>1078</v>
      </c>
      <c r="Z24" s="116" t="s">
        <v>973</v>
      </c>
      <c r="AA24" s="116" t="s">
        <v>970</v>
      </c>
      <c r="AB24" s="116" t="s">
        <v>974</v>
      </c>
      <c r="AC24" s="116" t="s">
        <v>975</v>
      </c>
    </row>
    <row r="25" spans="2:29" s="73" customFormat="1" ht="13.5">
      <c r="B25" s="104">
        <v>18</v>
      </c>
      <c r="C25" s="121" t="s">
        <v>1128</v>
      </c>
      <c r="D25" s="106"/>
      <c r="E25" s="107" t="s">
        <v>845</v>
      </c>
      <c r="F25" s="107">
        <v>3</v>
      </c>
      <c r="G25" s="108" t="s">
        <v>1328</v>
      </c>
      <c r="H25" s="109" t="s">
        <v>1328</v>
      </c>
      <c r="I25" s="104">
        <v>18</v>
      </c>
      <c r="J25" s="105" t="s">
        <v>1128</v>
      </c>
      <c r="K25" s="119"/>
      <c r="L25" s="113" t="s">
        <v>1272</v>
      </c>
      <c r="M25" s="112">
        <v>1000</v>
      </c>
      <c r="N25" s="114" t="s">
        <v>1328</v>
      </c>
      <c r="O25" s="114" t="s">
        <v>1328</v>
      </c>
      <c r="P25" s="119"/>
      <c r="Q25" s="119"/>
      <c r="R25" s="108"/>
      <c r="S25" s="134"/>
      <c r="Z25" s="116" t="s">
        <v>976</v>
      </c>
      <c r="AA25" s="116" t="s">
        <v>977</v>
      </c>
      <c r="AB25" s="116" t="s">
        <v>978</v>
      </c>
      <c r="AC25" s="116" t="s">
        <v>979</v>
      </c>
    </row>
    <row r="26" spans="2:29" s="73" customFormat="1" ht="13.5">
      <c r="B26" s="104">
        <v>19</v>
      </c>
      <c r="C26" s="121" t="s">
        <v>1131</v>
      </c>
      <c r="D26" s="106"/>
      <c r="E26" s="107" t="s">
        <v>845</v>
      </c>
      <c r="F26" s="107">
        <v>3</v>
      </c>
      <c r="G26" s="108" t="s">
        <v>1329</v>
      </c>
      <c r="H26" s="109" t="s">
        <v>1330</v>
      </c>
      <c r="I26" s="104">
        <v>19</v>
      </c>
      <c r="J26" s="105" t="s">
        <v>1131</v>
      </c>
      <c r="K26" s="119"/>
      <c r="L26" s="113" t="s">
        <v>1272</v>
      </c>
      <c r="M26" s="112">
        <v>1000</v>
      </c>
      <c r="N26" s="114" t="s">
        <v>1329</v>
      </c>
      <c r="O26" s="114" t="s">
        <v>1330</v>
      </c>
      <c r="P26" s="119"/>
      <c r="Q26" s="119"/>
      <c r="R26" s="108"/>
      <c r="S26" s="134"/>
      <c r="Z26" s="116" t="s">
        <v>980</v>
      </c>
      <c r="AA26" s="116" t="s">
        <v>981</v>
      </c>
      <c r="AB26" s="116" t="s">
        <v>982</v>
      </c>
      <c r="AC26" s="116" t="s">
        <v>983</v>
      </c>
    </row>
    <row r="27" spans="2:29" s="73" customFormat="1" ht="13.5">
      <c r="B27" s="104">
        <v>20</v>
      </c>
      <c r="C27" s="121" t="s">
        <v>1173</v>
      </c>
      <c r="D27" s="106"/>
      <c r="E27" s="107" t="s">
        <v>845</v>
      </c>
      <c r="F27" s="107">
        <v>1</v>
      </c>
      <c r="G27" s="108" t="s">
        <v>1331</v>
      </c>
      <c r="H27" s="109" t="s">
        <v>1332</v>
      </c>
      <c r="I27" s="183">
        <v>20</v>
      </c>
      <c r="J27" s="170" t="s">
        <v>1176</v>
      </c>
      <c r="K27" s="171"/>
      <c r="L27" s="172" t="s">
        <v>1272</v>
      </c>
      <c r="M27" s="173">
        <v>1000</v>
      </c>
      <c r="N27" s="174" t="s">
        <v>1331</v>
      </c>
      <c r="O27" s="174" t="s">
        <v>1332</v>
      </c>
      <c r="P27" s="171"/>
      <c r="Q27" s="171"/>
      <c r="R27" s="175"/>
      <c r="S27" s="184"/>
      <c r="T27" s="73" t="s">
        <v>1078</v>
      </c>
      <c r="Z27" s="116" t="s">
        <v>984</v>
      </c>
      <c r="AA27" s="116" t="s">
        <v>942</v>
      </c>
      <c r="AB27" s="116" t="s">
        <v>985</v>
      </c>
      <c r="AC27" s="116" t="s">
        <v>986</v>
      </c>
    </row>
    <row r="28" spans="2:29" s="73" customFormat="1" ht="27">
      <c r="B28" s="104">
        <v>21</v>
      </c>
      <c r="C28" s="121" t="s">
        <v>1102</v>
      </c>
      <c r="D28" s="106"/>
      <c r="E28" s="107" t="s">
        <v>845</v>
      </c>
      <c r="F28" s="107">
        <v>3</v>
      </c>
      <c r="G28" s="108" t="s">
        <v>1333</v>
      </c>
      <c r="H28" s="109" t="s">
        <v>1333</v>
      </c>
      <c r="I28" s="104">
        <v>21</v>
      </c>
      <c r="J28" s="105" t="s">
        <v>1105</v>
      </c>
      <c r="K28" s="119"/>
      <c r="L28" s="113" t="s">
        <v>1272</v>
      </c>
      <c r="M28" s="112">
        <v>1000</v>
      </c>
      <c r="N28" s="114" t="s">
        <v>1333</v>
      </c>
      <c r="O28" s="114" t="s">
        <v>1333</v>
      </c>
      <c r="P28" s="119"/>
      <c r="Q28" s="119"/>
      <c r="R28" s="108"/>
      <c r="S28" s="134"/>
      <c r="Z28" s="116" t="s">
        <v>987</v>
      </c>
      <c r="AA28" s="116" t="s">
        <v>942</v>
      </c>
      <c r="AB28" s="116" t="s">
        <v>988</v>
      </c>
      <c r="AC28" s="116" t="s">
        <v>989</v>
      </c>
    </row>
    <row r="29" spans="2:29" s="73" customFormat="1" ht="13.5">
      <c r="B29" s="104">
        <v>22</v>
      </c>
      <c r="C29" s="121" t="s">
        <v>1087</v>
      </c>
      <c r="D29" s="106"/>
      <c r="E29" s="107" t="s">
        <v>845</v>
      </c>
      <c r="F29" s="107">
        <v>3</v>
      </c>
      <c r="G29" s="108" t="s">
        <v>1334</v>
      </c>
      <c r="H29" s="109" t="s">
        <v>1335</v>
      </c>
      <c r="I29" s="104">
        <v>22</v>
      </c>
      <c r="J29" s="105" t="s">
        <v>1090</v>
      </c>
      <c r="K29" s="119"/>
      <c r="L29" s="113" t="s">
        <v>1272</v>
      </c>
      <c r="M29" s="112">
        <v>1000</v>
      </c>
      <c r="N29" s="114" t="s">
        <v>1334</v>
      </c>
      <c r="O29" s="114" t="s">
        <v>1335</v>
      </c>
      <c r="P29" s="119"/>
      <c r="Q29" s="119"/>
      <c r="R29" s="108"/>
      <c r="S29" s="134"/>
      <c r="Z29" s="116" t="s">
        <v>990</v>
      </c>
      <c r="AA29" s="116" t="s">
        <v>932</v>
      </c>
      <c r="AB29" s="116" t="s">
        <v>991</v>
      </c>
      <c r="AC29" s="116" t="s">
        <v>979</v>
      </c>
    </row>
    <row r="30" spans="2:29" s="73" customFormat="1" ht="13.5">
      <c r="B30" s="104">
        <v>23</v>
      </c>
      <c r="C30" s="121" t="s">
        <v>1177</v>
      </c>
      <c r="D30" s="106"/>
      <c r="E30" s="107" t="s">
        <v>845</v>
      </c>
      <c r="F30" s="107">
        <v>9</v>
      </c>
      <c r="G30" s="108" t="s">
        <v>1336</v>
      </c>
      <c r="H30" s="109" t="s">
        <v>1336</v>
      </c>
      <c r="I30" s="183">
        <v>23</v>
      </c>
      <c r="J30" s="170" t="s">
        <v>1180</v>
      </c>
      <c r="K30" s="171"/>
      <c r="L30" s="172" t="s">
        <v>1272</v>
      </c>
      <c r="M30" s="173">
        <v>1000</v>
      </c>
      <c r="N30" s="174" t="s">
        <v>1336</v>
      </c>
      <c r="O30" s="174" t="s">
        <v>1336</v>
      </c>
      <c r="P30" s="119"/>
      <c r="Q30" s="119"/>
      <c r="R30" s="108"/>
      <c r="S30" s="134"/>
      <c r="T30" s="73" t="s">
        <v>1078</v>
      </c>
      <c r="Z30" s="116" t="s">
        <v>992</v>
      </c>
      <c r="AA30" s="116" t="s">
        <v>970</v>
      </c>
      <c r="AB30" s="116" t="s">
        <v>993</v>
      </c>
      <c r="AC30" s="116" t="s">
        <v>994</v>
      </c>
    </row>
    <row r="31" spans="2:29" s="73" customFormat="1" ht="13.5">
      <c r="B31" s="104">
        <v>24</v>
      </c>
      <c r="C31" s="121" t="s">
        <v>1091</v>
      </c>
      <c r="D31" s="106"/>
      <c r="E31" s="107" t="s">
        <v>845</v>
      </c>
      <c r="F31" s="107">
        <v>10</v>
      </c>
      <c r="G31" s="108" t="s">
        <v>1337</v>
      </c>
      <c r="H31" s="109" t="s">
        <v>1092</v>
      </c>
      <c r="I31" s="183">
        <v>24</v>
      </c>
      <c r="J31" s="170" t="s">
        <v>1093</v>
      </c>
      <c r="K31" s="171"/>
      <c r="L31" s="172" t="s">
        <v>1272</v>
      </c>
      <c r="M31" s="173">
        <v>1000</v>
      </c>
      <c r="N31" s="174" t="s">
        <v>1337</v>
      </c>
      <c r="O31" s="174" t="s">
        <v>1092</v>
      </c>
      <c r="P31" s="119"/>
      <c r="Q31" s="119"/>
      <c r="R31" s="108"/>
      <c r="S31" s="134"/>
      <c r="T31" s="73" t="s">
        <v>1078</v>
      </c>
      <c r="Z31" s="116" t="s">
        <v>995</v>
      </c>
      <c r="AA31" s="116" t="s">
        <v>981</v>
      </c>
      <c r="AB31" s="116" t="s">
        <v>996</v>
      </c>
      <c r="AC31" s="116" t="s">
        <v>997</v>
      </c>
    </row>
    <row r="32" spans="2:29" s="73" customFormat="1" ht="13.5">
      <c r="B32" s="104">
        <v>25</v>
      </c>
      <c r="C32" s="121" t="s">
        <v>1338</v>
      </c>
      <c r="D32" s="106"/>
      <c r="E32" s="107" t="s">
        <v>845</v>
      </c>
      <c r="F32" s="107">
        <v>40</v>
      </c>
      <c r="G32" s="108" t="s">
        <v>1339</v>
      </c>
      <c r="H32" s="109" t="s">
        <v>1339</v>
      </c>
      <c r="I32" s="183">
        <v>25</v>
      </c>
      <c r="J32" s="170" t="s">
        <v>1097</v>
      </c>
      <c r="K32" s="171"/>
      <c r="L32" s="172" t="s">
        <v>1272</v>
      </c>
      <c r="M32" s="173">
        <v>1000</v>
      </c>
      <c r="N32" s="174" t="s">
        <v>1339</v>
      </c>
      <c r="O32" s="174" t="s">
        <v>1339</v>
      </c>
      <c r="P32" s="119"/>
      <c r="Q32" s="119"/>
      <c r="R32" s="108"/>
      <c r="S32" s="134"/>
      <c r="T32" s="73" t="s">
        <v>1078</v>
      </c>
      <c r="Z32" s="116" t="s">
        <v>998</v>
      </c>
      <c r="AA32" s="116" t="s">
        <v>981</v>
      </c>
      <c r="AB32" s="116" t="s">
        <v>999</v>
      </c>
      <c r="AC32" s="116" t="s">
        <v>1000</v>
      </c>
    </row>
    <row r="33" spans="2:29" s="73" customFormat="1" ht="13.5">
      <c r="B33" s="104">
        <v>26</v>
      </c>
      <c r="C33" s="121" t="s">
        <v>1106</v>
      </c>
      <c r="D33" s="106"/>
      <c r="E33" s="107" t="s">
        <v>845</v>
      </c>
      <c r="F33" s="107">
        <v>3</v>
      </c>
      <c r="G33" s="108" t="s">
        <v>1340</v>
      </c>
      <c r="H33" s="109" t="s">
        <v>1341</v>
      </c>
      <c r="I33" s="104">
        <v>26</v>
      </c>
      <c r="J33" s="105" t="s">
        <v>1106</v>
      </c>
      <c r="K33" s="119"/>
      <c r="L33" s="113" t="s">
        <v>1272</v>
      </c>
      <c r="M33" s="112">
        <v>1000</v>
      </c>
      <c r="N33" s="114" t="s">
        <v>1340</v>
      </c>
      <c r="O33" s="114" t="s">
        <v>1341</v>
      </c>
      <c r="P33" s="119"/>
      <c r="Q33" s="119"/>
      <c r="R33" s="108"/>
      <c r="S33" s="134"/>
      <c r="Z33" s="116" t="s">
        <v>1001</v>
      </c>
      <c r="AA33" s="116" t="s">
        <v>970</v>
      </c>
      <c r="AB33" s="116" t="s">
        <v>1002</v>
      </c>
      <c r="AC33" s="116" t="s">
        <v>1003</v>
      </c>
    </row>
    <row r="34" spans="2:29" s="73" customFormat="1" ht="13.5">
      <c r="B34" s="104">
        <v>27</v>
      </c>
      <c r="C34" s="121" t="s">
        <v>1109</v>
      </c>
      <c r="D34" s="106"/>
      <c r="E34" s="107" t="s">
        <v>845</v>
      </c>
      <c r="F34" s="107">
        <v>3</v>
      </c>
      <c r="G34" s="108" t="s">
        <v>1342</v>
      </c>
      <c r="H34" s="109" t="s">
        <v>1342</v>
      </c>
      <c r="I34" s="104">
        <v>27</v>
      </c>
      <c r="J34" s="105" t="s">
        <v>1109</v>
      </c>
      <c r="K34" s="119"/>
      <c r="L34" s="113" t="s">
        <v>1272</v>
      </c>
      <c r="M34" s="112">
        <v>1000</v>
      </c>
      <c r="N34" s="114" t="s">
        <v>1342</v>
      </c>
      <c r="O34" s="114" t="s">
        <v>1342</v>
      </c>
      <c r="P34" s="119"/>
      <c r="Q34" s="119"/>
      <c r="R34" s="108"/>
      <c r="S34" s="134"/>
      <c r="Z34" s="116" t="s">
        <v>1004</v>
      </c>
      <c r="AA34" s="116" t="s">
        <v>942</v>
      </c>
      <c r="AB34" s="116" t="s">
        <v>1005</v>
      </c>
      <c r="AC34" s="116" t="s">
        <v>1006</v>
      </c>
    </row>
    <row r="35" spans="2:29" s="73" customFormat="1" ht="13.5">
      <c r="B35" s="104">
        <v>28</v>
      </c>
      <c r="C35" s="121" t="s">
        <v>1120</v>
      </c>
      <c r="D35" s="106"/>
      <c r="E35" s="107" t="s">
        <v>845</v>
      </c>
      <c r="F35" s="107">
        <v>18</v>
      </c>
      <c r="G35" s="108" t="s">
        <v>1122</v>
      </c>
      <c r="H35" s="109" t="s">
        <v>1343</v>
      </c>
      <c r="I35" s="104">
        <v>28</v>
      </c>
      <c r="J35" s="105" t="s">
        <v>1123</v>
      </c>
      <c r="K35" s="119"/>
      <c r="L35" s="113" t="s">
        <v>1272</v>
      </c>
      <c r="M35" s="112">
        <v>1000</v>
      </c>
      <c r="N35" s="114" t="s">
        <v>1122</v>
      </c>
      <c r="O35" s="114" t="s">
        <v>1343</v>
      </c>
      <c r="P35" s="119"/>
      <c r="Q35" s="119"/>
      <c r="R35" s="108"/>
      <c r="S35" s="134"/>
      <c r="Z35" s="116" t="s">
        <v>1007</v>
      </c>
      <c r="AA35" s="116" t="s">
        <v>942</v>
      </c>
      <c r="AB35" s="116" t="s">
        <v>1008</v>
      </c>
      <c r="AC35" s="116" t="s">
        <v>1009</v>
      </c>
    </row>
    <row r="36" spans="2:29" s="73" customFormat="1" ht="13.5">
      <c r="B36" s="104">
        <v>29</v>
      </c>
      <c r="C36" s="121" t="s">
        <v>1083</v>
      </c>
      <c r="D36" s="106"/>
      <c r="E36" s="107" t="s">
        <v>845</v>
      </c>
      <c r="F36" s="107">
        <v>18</v>
      </c>
      <c r="G36" s="108" t="s">
        <v>1344</v>
      </c>
      <c r="H36" s="109" t="s">
        <v>1345</v>
      </c>
      <c r="I36" s="104">
        <v>29</v>
      </c>
      <c r="J36" s="105" t="s">
        <v>1086</v>
      </c>
      <c r="K36" s="119"/>
      <c r="L36" s="113" t="s">
        <v>1272</v>
      </c>
      <c r="M36" s="112">
        <v>1000</v>
      </c>
      <c r="N36" s="114" t="s">
        <v>1344</v>
      </c>
      <c r="O36" s="114" t="s">
        <v>1345</v>
      </c>
      <c r="P36" s="119"/>
      <c r="Q36" s="119"/>
      <c r="R36" s="108"/>
      <c r="S36" s="134"/>
      <c r="Z36" s="116" t="s">
        <v>1010</v>
      </c>
      <c r="AA36" s="116" t="s">
        <v>942</v>
      </c>
      <c r="AB36" s="116" t="s">
        <v>1011</v>
      </c>
      <c r="AC36" s="116" t="s">
        <v>1012</v>
      </c>
    </row>
    <row r="37" spans="2:29" s="73" customFormat="1" ht="13.5">
      <c r="B37" s="104">
        <v>30</v>
      </c>
      <c r="C37" s="121" t="s">
        <v>1346</v>
      </c>
      <c r="D37" s="106"/>
      <c r="E37" s="107" t="s">
        <v>845</v>
      </c>
      <c r="F37" s="107">
        <v>2</v>
      </c>
      <c r="G37" s="108" t="s">
        <v>1347</v>
      </c>
      <c r="H37" s="109" t="s">
        <v>1348</v>
      </c>
      <c r="I37" s="104">
        <v>30</v>
      </c>
      <c r="J37" s="105" t="s">
        <v>1349</v>
      </c>
      <c r="K37" s="119"/>
      <c r="L37" s="113" t="s">
        <v>1272</v>
      </c>
      <c r="M37" s="112">
        <v>1000</v>
      </c>
      <c r="N37" s="114" t="s">
        <v>1347</v>
      </c>
      <c r="O37" s="114" t="s">
        <v>1348</v>
      </c>
      <c r="P37" s="119"/>
      <c r="Q37" s="119"/>
      <c r="R37" s="108"/>
      <c r="S37" s="134"/>
      <c r="Z37" s="116" t="s">
        <v>1013</v>
      </c>
      <c r="AA37" s="116" t="s">
        <v>970</v>
      </c>
      <c r="AB37" s="116" t="s">
        <v>1014</v>
      </c>
      <c r="AC37" s="116" t="s">
        <v>1015</v>
      </c>
    </row>
    <row r="38" spans="2:29" s="73" customFormat="1" ht="13.5">
      <c r="B38" s="104">
        <v>31</v>
      </c>
      <c r="C38" s="121" t="s">
        <v>861</v>
      </c>
      <c r="D38" s="106"/>
      <c r="E38" s="107" t="s">
        <v>845</v>
      </c>
      <c r="F38" s="107">
        <v>4</v>
      </c>
      <c r="G38" s="108" t="s">
        <v>862</v>
      </c>
      <c r="H38" s="109" t="s">
        <v>863</v>
      </c>
      <c r="I38" s="104">
        <v>31</v>
      </c>
      <c r="J38" s="105" t="s">
        <v>864</v>
      </c>
      <c r="K38" s="119"/>
      <c r="L38" s="113" t="s">
        <v>1272</v>
      </c>
      <c r="M38" s="112">
        <v>1000</v>
      </c>
      <c r="N38" s="114" t="s">
        <v>862</v>
      </c>
      <c r="O38" s="114" t="s">
        <v>863</v>
      </c>
      <c r="P38" s="119"/>
      <c r="Q38" s="119"/>
      <c r="R38" s="108"/>
      <c r="S38" s="134"/>
      <c r="Z38" s="116" t="s">
        <v>1016</v>
      </c>
      <c r="AA38" s="116" t="s">
        <v>981</v>
      </c>
      <c r="AB38" s="116" t="s">
        <v>1017</v>
      </c>
      <c r="AC38" s="116" t="s">
        <v>1018</v>
      </c>
    </row>
    <row r="39" spans="2:29" s="73" customFormat="1" ht="13.5">
      <c r="B39" s="104">
        <v>32</v>
      </c>
      <c r="C39" s="121" t="s">
        <v>1350</v>
      </c>
      <c r="D39" s="106"/>
      <c r="E39" s="107" t="s">
        <v>845</v>
      </c>
      <c r="F39" s="122">
        <v>1</v>
      </c>
      <c r="G39" s="106" t="s">
        <v>1351</v>
      </c>
      <c r="H39" s="109" t="s">
        <v>1352</v>
      </c>
      <c r="I39" s="104">
        <v>32</v>
      </c>
      <c r="J39" s="105" t="s">
        <v>1353</v>
      </c>
      <c r="K39" s="119"/>
      <c r="L39" s="113" t="s">
        <v>1354</v>
      </c>
      <c r="M39" s="112">
        <v>1000</v>
      </c>
      <c r="N39" s="114" t="s">
        <v>1351</v>
      </c>
      <c r="O39" s="114" t="s">
        <v>1352</v>
      </c>
      <c r="P39" s="119"/>
      <c r="Q39" s="119"/>
      <c r="R39" s="108"/>
      <c r="S39" s="134"/>
      <c r="Z39" s="116"/>
      <c r="AA39" s="116"/>
      <c r="AB39" s="116"/>
      <c r="AC39" s="116"/>
    </row>
    <row r="40" spans="2:29" s="73" customFormat="1" ht="13.5">
      <c r="B40" s="104">
        <v>33</v>
      </c>
      <c r="C40" s="121" t="s">
        <v>1355</v>
      </c>
      <c r="D40" s="106"/>
      <c r="E40" s="107" t="s">
        <v>845</v>
      </c>
      <c r="F40" s="122">
        <v>1</v>
      </c>
      <c r="G40" s="106" t="s">
        <v>1356</v>
      </c>
      <c r="H40" s="109" t="s">
        <v>1357</v>
      </c>
      <c r="I40" s="104">
        <v>33</v>
      </c>
      <c r="J40" s="105" t="s">
        <v>895</v>
      </c>
      <c r="K40" s="119"/>
      <c r="L40" s="113" t="s">
        <v>1354</v>
      </c>
      <c r="M40" s="112">
        <v>1000</v>
      </c>
      <c r="N40" s="114" t="s">
        <v>1358</v>
      </c>
      <c r="O40" s="114" t="s">
        <v>1357</v>
      </c>
      <c r="P40" s="119"/>
      <c r="Q40" s="119"/>
      <c r="R40" s="108"/>
      <c r="S40" s="134"/>
      <c r="Z40" s="116"/>
      <c r="AA40" s="116"/>
      <c r="AB40" s="116"/>
      <c r="AC40" s="116"/>
    </row>
    <row r="41" spans="2:29" s="73" customFormat="1" ht="13.5">
      <c r="B41" s="104">
        <v>34</v>
      </c>
      <c r="C41" s="121" t="s">
        <v>1359</v>
      </c>
      <c r="D41" s="106"/>
      <c r="E41" s="107" t="s">
        <v>1360</v>
      </c>
      <c r="F41" s="122">
        <v>10</v>
      </c>
      <c r="G41" s="106" t="s">
        <v>1361</v>
      </c>
      <c r="H41" s="109" t="s">
        <v>1183</v>
      </c>
      <c r="I41" s="183">
        <v>34</v>
      </c>
      <c r="J41" s="170" t="s">
        <v>1184</v>
      </c>
      <c r="K41" s="171"/>
      <c r="L41" s="172" t="s">
        <v>1272</v>
      </c>
      <c r="M41" s="173">
        <v>1000</v>
      </c>
      <c r="N41" s="174" t="s">
        <v>1361</v>
      </c>
      <c r="O41" s="174" t="s">
        <v>1183</v>
      </c>
      <c r="P41" s="119"/>
      <c r="Q41" s="119"/>
      <c r="R41" s="108"/>
      <c r="S41" s="134"/>
      <c r="T41" s="73" t="s">
        <v>1078</v>
      </c>
      <c r="Z41" s="116"/>
      <c r="AA41" s="116"/>
      <c r="AB41" s="116"/>
      <c r="AC41" s="116"/>
    </row>
    <row r="42" spans="2:29" s="73" customFormat="1" ht="13.5">
      <c r="B42" s="185">
        <v>35</v>
      </c>
      <c r="C42" s="186" t="s">
        <v>1362</v>
      </c>
      <c r="D42" s="187"/>
      <c r="E42" s="188" t="s">
        <v>845</v>
      </c>
      <c r="F42" s="189">
        <v>3</v>
      </c>
      <c r="G42" s="187" t="s">
        <v>1363</v>
      </c>
      <c r="H42" s="190" t="s">
        <v>1364</v>
      </c>
      <c r="I42" s="104">
        <v>35</v>
      </c>
      <c r="J42" s="105" t="s">
        <v>1365</v>
      </c>
      <c r="K42" s="119"/>
      <c r="L42" s="113" t="s">
        <v>1354</v>
      </c>
      <c r="M42" s="112">
        <v>1000</v>
      </c>
      <c r="N42" s="114" t="s">
        <v>1366</v>
      </c>
      <c r="O42" s="114"/>
      <c r="P42" s="119"/>
      <c r="Q42" s="119"/>
      <c r="R42" s="108"/>
      <c r="S42" s="134"/>
      <c r="T42" s="73" t="s">
        <v>1232</v>
      </c>
      <c r="Z42" s="116"/>
      <c r="AA42" s="116"/>
      <c r="AB42" s="116"/>
      <c r="AC42" s="116"/>
    </row>
    <row r="43" spans="2:29" s="73" customFormat="1" ht="13.5">
      <c r="B43" s="104">
        <v>36</v>
      </c>
      <c r="C43" s="475" t="s">
        <v>1367</v>
      </c>
      <c r="D43" s="476" t="s">
        <v>1368</v>
      </c>
      <c r="E43" s="476" t="s">
        <v>845</v>
      </c>
      <c r="F43" s="476">
        <v>8</v>
      </c>
      <c r="G43" s="477" t="s">
        <v>1027</v>
      </c>
      <c r="H43" s="109"/>
      <c r="I43" s="110">
        <v>36</v>
      </c>
      <c r="J43" s="482" t="s">
        <v>1152</v>
      </c>
      <c r="K43" s="476" t="s">
        <v>1368</v>
      </c>
      <c r="L43" s="483" t="s">
        <v>1368</v>
      </c>
      <c r="M43" s="484" t="s">
        <v>1368</v>
      </c>
      <c r="N43" s="477" t="s">
        <v>1027</v>
      </c>
      <c r="O43" s="114"/>
      <c r="P43" s="119"/>
      <c r="Q43" s="119"/>
      <c r="R43" s="108"/>
      <c r="S43" s="134"/>
    </row>
    <row r="44" spans="2:29" s="73" customFormat="1" ht="13.5">
      <c r="B44" s="123">
        <v>37</v>
      </c>
      <c r="C44" s="478" t="s">
        <v>1369</v>
      </c>
      <c r="D44" s="479" t="s">
        <v>1368</v>
      </c>
      <c r="E44" s="480" t="s">
        <v>845</v>
      </c>
      <c r="F44" s="480">
        <v>8</v>
      </c>
      <c r="G44" s="481" t="s">
        <v>1031</v>
      </c>
      <c r="H44" s="128"/>
      <c r="I44" s="110">
        <v>37</v>
      </c>
      <c r="J44" s="485" t="s">
        <v>1148</v>
      </c>
      <c r="K44" s="480" t="s">
        <v>1368</v>
      </c>
      <c r="L44" s="486" t="s">
        <v>1368</v>
      </c>
      <c r="M44" s="487" t="s">
        <v>1368</v>
      </c>
      <c r="N44" s="481" t="s">
        <v>1031</v>
      </c>
      <c r="O44" s="114"/>
      <c r="P44" s="119"/>
      <c r="Q44" s="119"/>
      <c r="R44" s="108"/>
      <c r="S44" s="134"/>
    </row>
    <row r="45" spans="2:29" s="73" customFormat="1" ht="13.5">
      <c r="B45" s="123"/>
      <c r="C45" s="121"/>
      <c r="D45" s="119"/>
      <c r="E45" s="107"/>
      <c r="F45" s="122"/>
      <c r="G45" s="108"/>
      <c r="H45" s="128"/>
      <c r="I45" s="110"/>
      <c r="J45" s="105"/>
      <c r="K45" s="119"/>
      <c r="L45" s="113"/>
      <c r="M45" s="112"/>
      <c r="N45" s="114"/>
      <c r="O45" s="114"/>
      <c r="P45" s="119"/>
      <c r="Q45" s="119"/>
      <c r="R45" s="108"/>
      <c r="S45" s="134"/>
    </row>
    <row r="46" spans="2:29" s="73" customFormat="1" ht="13.5">
      <c r="B46" s="185"/>
      <c r="C46" s="186" t="s">
        <v>1370</v>
      </c>
      <c r="D46" s="956"/>
      <c r="E46" s="188" t="s">
        <v>845</v>
      </c>
      <c r="F46" s="189"/>
      <c r="G46" s="963" t="s">
        <v>1191</v>
      </c>
      <c r="H46" s="190"/>
      <c r="I46" s="110"/>
      <c r="J46" s="181" t="s">
        <v>1192</v>
      </c>
      <c r="K46" s="165"/>
      <c r="L46" s="156" t="s">
        <v>1188</v>
      </c>
      <c r="M46" s="157">
        <v>1000</v>
      </c>
      <c r="N46" s="159" t="s">
        <v>1191</v>
      </c>
      <c r="O46" s="114"/>
      <c r="P46" s="119"/>
      <c r="Q46" s="119"/>
      <c r="R46" s="108"/>
      <c r="S46" s="134"/>
      <c r="T46" s="745" t="s">
        <v>1371</v>
      </c>
    </row>
    <row r="47" spans="2:29" s="73" customFormat="1" ht="13.5">
      <c r="B47" s="123"/>
      <c r="C47" s="124"/>
      <c r="D47" s="149"/>
      <c r="E47" s="125"/>
      <c r="F47" s="126"/>
      <c r="G47" s="127"/>
      <c r="H47" s="128"/>
      <c r="I47" s="110"/>
      <c r="J47" s="105"/>
      <c r="K47" s="119"/>
      <c r="L47" s="113"/>
      <c r="M47" s="112"/>
      <c r="N47" s="114"/>
      <c r="O47" s="114"/>
      <c r="P47" s="119"/>
      <c r="Q47" s="119"/>
      <c r="R47" s="108"/>
      <c r="S47" s="134"/>
    </row>
    <row r="48" spans="2:29" s="73" customFormat="1" ht="13.5">
      <c r="B48" s="104"/>
      <c r="C48" s="121"/>
      <c r="D48" s="106"/>
      <c r="E48" s="107"/>
      <c r="F48" s="122"/>
      <c r="G48" s="106"/>
      <c r="H48" s="109"/>
      <c r="I48" s="104"/>
      <c r="J48" s="105"/>
      <c r="K48" s="119"/>
      <c r="L48" s="113"/>
      <c r="M48" s="112"/>
      <c r="N48" s="114"/>
      <c r="O48" s="114"/>
      <c r="P48" s="119"/>
      <c r="Q48" s="119"/>
      <c r="R48" s="108"/>
      <c r="S48" s="134"/>
      <c r="Z48" s="116"/>
      <c r="AA48" s="116"/>
      <c r="AB48" s="116"/>
      <c r="AC48" s="116"/>
    </row>
    <row r="49" spans="2:29" s="73" customFormat="1" ht="13.5">
      <c r="B49" s="104"/>
      <c r="C49" s="121"/>
      <c r="D49" s="106"/>
      <c r="E49" s="107"/>
      <c r="F49" s="122"/>
      <c r="G49" s="106"/>
      <c r="H49" s="109"/>
      <c r="I49" s="104"/>
      <c r="J49" s="105" t="s">
        <v>1372</v>
      </c>
      <c r="K49" s="119"/>
      <c r="L49" s="113" t="s">
        <v>1373</v>
      </c>
      <c r="M49" s="112"/>
      <c r="N49" s="114" t="s">
        <v>1374</v>
      </c>
      <c r="O49" s="114" t="s">
        <v>1375</v>
      </c>
      <c r="P49" s="119"/>
      <c r="Q49" s="119"/>
      <c r="R49" s="108"/>
      <c r="S49" s="134"/>
      <c r="Z49" s="116"/>
      <c r="AA49" s="116"/>
      <c r="AB49" s="116"/>
      <c r="AC49" s="116"/>
    </row>
    <row r="50" spans="2:29" s="73" customFormat="1" ht="13.5">
      <c r="B50" s="104"/>
      <c r="C50" s="121"/>
      <c r="D50" s="106"/>
      <c r="E50" s="107"/>
      <c r="F50" s="122"/>
      <c r="G50" s="106"/>
      <c r="H50" s="109"/>
      <c r="I50" s="104"/>
      <c r="J50" s="105" t="s">
        <v>1376</v>
      </c>
      <c r="K50" s="119"/>
      <c r="L50" s="113" t="s">
        <v>1377</v>
      </c>
      <c r="M50" s="112">
        <v>30</v>
      </c>
      <c r="N50" s="114" t="s">
        <v>1378</v>
      </c>
      <c r="O50" s="114" t="s">
        <v>1379</v>
      </c>
      <c r="P50" s="119"/>
      <c r="Q50" s="119"/>
      <c r="R50" s="108"/>
      <c r="S50" s="134"/>
      <c r="Z50" s="116"/>
      <c r="AA50" s="116"/>
      <c r="AB50" s="116"/>
      <c r="AC50" s="116"/>
    </row>
    <row r="51" spans="2:29" s="73" customFormat="1" ht="13.5">
      <c r="B51" s="104"/>
      <c r="C51" s="121"/>
      <c r="D51" s="106"/>
      <c r="E51" s="107"/>
      <c r="F51" s="122"/>
      <c r="G51" s="106"/>
      <c r="H51" s="109"/>
      <c r="I51" s="104"/>
      <c r="J51" s="105" t="s">
        <v>1380</v>
      </c>
      <c r="K51" s="119"/>
      <c r="L51" s="113" t="s">
        <v>1373</v>
      </c>
      <c r="M51" s="112"/>
      <c r="N51" s="114" t="s">
        <v>1381</v>
      </c>
      <c r="O51" s="114" t="s">
        <v>1382</v>
      </c>
      <c r="P51" s="119"/>
      <c r="Q51" s="119"/>
      <c r="R51" s="108"/>
      <c r="S51" s="134"/>
      <c r="Z51" s="116"/>
      <c r="AA51" s="116"/>
      <c r="AB51" s="116"/>
      <c r="AC51" s="116"/>
    </row>
    <row r="52" spans="2:29" s="73" customFormat="1" ht="14.25" thickBot="1">
      <c r="B52" s="129"/>
      <c r="C52" s="130"/>
      <c r="D52" s="131"/>
      <c r="E52" s="131"/>
      <c r="F52" s="131"/>
      <c r="G52" s="131"/>
      <c r="H52" s="132"/>
      <c r="I52" s="129"/>
      <c r="J52" s="130" t="s">
        <v>1383</v>
      </c>
      <c r="K52" s="131"/>
      <c r="L52" s="130" t="s">
        <v>1377</v>
      </c>
      <c r="M52" s="131">
        <v>1000</v>
      </c>
      <c r="N52" s="130" t="s">
        <v>1384</v>
      </c>
      <c r="O52" s="131"/>
      <c r="P52" s="131"/>
      <c r="Q52" s="131"/>
      <c r="R52" s="131"/>
      <c r="S52" s="136"/>
      <c r="Z52" s="116" t="s">
        <v>1019</v>
      </c>
      <c r="AA52" s="116" t="s">
        <v>981</v>
      </c>
      <c r="AB52" s="116" t="s">
        <v>1020</v>
      </c>
      <c r="AC52" s="116" t="s">
        <v>1021</v>
      </c>
    </row>
    <row r="53" spans="2:29" ht="18.75" customHeight="1">
      <c r="B53" s="100"/>
      <c r="C53" s="100"/>
      <c r="D53" s="100"/>
      <c r="E53" s="100"/>
      <c r="F53" s="100"/>
      <c r="G53" s="100"/>
      <c r="H53" s="100"/>
      <c r="I53" s="100"/>
      <c r="J53" s="100"/>
      <c r="K53" s="100"/>
      <c r="L53" s="100"/>
      <c r="M53" s="100"/>
      <c r="N53" s="133"/>
      <c r="O53" s="133"/>
      <c r="P53" s="100"/>
      <c r="Q53" s="133"/>
      <c r="R53" s="133"/>
      <c r="S53" s="100"/>
      <c r="T53" s="100"/>
      <c r="Z53" s="101" t="s">
        <v>1022</v>
      </c>
      <c r="AA53" s="101" t="s">
        <v>942</v>
      </c>
      <c r="AB53" s="101" t="s">
        <v>1023</v>
      </c>
      <c r="AC53" s="101" t="s">
        <v>1024</v>
      </c>
    </row>
    <row r="54" spans="2:29" ht="18.75" customHeight="1">
      <c r="B54" s="51" t="s">
        <v>1025</v>
      </c>
      <c r="C54" s="73"/>
      <c r="D54" s="73"/>
      <c r="E54" s="73"/>
      <c r="F54" s="73"/>
      <c r="G54" s="73"/>
      <c r="H54" s="73"/>
      <c r="I54" s="73"/>
      <c r="J54" s="73"/>
      <c r="K54" s="73"/>
      <c r="L54" s="73"/>
      <c r="M54" s="73"/>
      <c r="N54" s="75"/>
      <c r="O54" s="75"/>
      <c r="P54" s="73"/>
      <c r="Q54" s="75"/>
      <c r="R54" s="75"/>
      <c r="S54" s="73"/>
      <c r="T54" s="100"/>
      <c r="Z54" s="101" t="s">
        <v>1026</v>
      </c>
      <c r="AA54" s="101" t="s">
        <v>977</v>
      </c>
      <c r="AB54" s="101" t="s">
        <v>1027</v>
      </c>
      <c r="AC54" s="101" t="s">
        <v>1028</v>
      </c>
    </row>
    <row r="55" spans="2:29" ht="18.75" customHeight="1">
      <c r="B55" s="976" t="s">
        <v>826</v>
      </c>
      <c r="C55" s="976"/>
      <c r="D55" s="976" t="s">
        <v>1029</v>
      </c>
      <c r="E55" s="976"/>
      <c r="F55" s="976"/>
      <c r="G55" s="976"/>
      <c r="H55" s="976"/>
      <c r="I55" s="976"/>
      <c r="J55" s="976"/>
      <c r="K55" s="976"/>
      <c r="L55" s="976"/>
      <c r="M55" s="976"/>
      <c r="N55" s="976"/>
      <c r="O55" s="976"/>
      <c r="P55" s="976"/>
      <c r="Q55" s="976"/>
      <c r="R55" s="976"/>
      <c r="S55" s="976"/>
      <c r="T55" s="100"/>
      <c r="Z55" s="101" t="s">
        <v>1030</v>
      </c>
      <c r="AA55" s="101" t="s">
        <v>977</v>
      </c>
      <c r="AB55" s="101" t="s">
        <v>1031</v>
      </c>
      <c r="AC55" s="101" t="s">
        <v>1032</v>
      </c>
    </row>
    <row r="56" spans="2:29" ht="22.5" customHeight="1">
      <c r="B56" s="977" t="s">
        <v>1033</v>
      </c>
      <c r="C56" s="978"/>
      <c r="D56" s="989"/>
      <c r="E56" s="990"/>
      <c r="F56" s="990"/>
      <c r="G56" s="990"/>
      <c r="H56" s="990"/>
      <c r="I56" s="990"/>
      <c r="J56" s="990"/>
      <c r="K56" s="990"/>
      <c r="L56" s="990"/>
      <c r="M56" s="990"/>
      <c r="N56" s="990"/>
      <c r="O56" s="990"/>
      <c r="P56" s="990"/>
      <c r="Q56" s="990"/>
      <c r="R56" s="990"/>
      <c r="S56" s="991"/>
      <c r="T56" s="100"/>
      <c r="Z56" s="101" t="s">
        <v>1034</v>
      </c>
      <c r="AA56" s="101" t="s">
        <v>1035</v>
      </c>
      <c r="AB56" s="101" t="s">
        <v>1036</v>
      </c>
      <c r="AC56" s="101" t="s">
        <v>1037</v>
      </c>
    </row>
    <row r="57" spans="2:29" ht="24.75" customHeight="1">
      <c r="B57" s="1008" t="s">
        <v>1038</v>
      </c>
      <c r="C57" s="1009"/>
      <c r="D57" s="1010"/>
      <c r="E57" s="1011"/>
      <c r="F57" s="1011"/>
      <c r="G57" s="1011"/>
      <c r="H57" s="1011"/>
      <c r="I57" s="1011"/>
      <c r="J57" s="1011"/>
      <c r="K57" s="1011"/>
      <c r="L57" s="1011"/>
      <c r="M57" s="1011"/>
      <c r="N57" s="1011"/>
      <c r="O57" s="1011"/>
      <c r="P57" s="1011"/>
      <c r="Q57" s="1011"/>
      <c r="R57" s="1011"/>
      <c r="S57" s="1012"/>
      <c r="T57" s="100"/>
      <c r="Z57" s="101" t="s">
        <v>1039</v>
      </c>
      <c r="AA57" s="101" t="s">
        <v>977</v>
      </c>
      <c r="AB57" s="101" t="s">
        <v>1040</v>
      </c>
      <c r="AC57" s="101" t="s">
        <v>1041</v>
      </c>
    </row>
    <row r="58" spans="2:29" ht="18.75" customHeight="1">
      <c r="B58" s="75"/>
      <c r="C58" s="75"/>
      <c r="D58" s="75"/>
      <c r="E58" s="75"/>
      <c r="F58" s="75"/>
      <c r="G58" s="75"/>
      <c r="H58" s="75"/>
      <c r="I58" s="75"/>
      <c r="J58" s="75"/>
      <c r="K58" s="75"/>
      <c r="L58" s="75"/>
      <c r="M58" s="75"/>
      <c r="N58" s="75"/>
      <c r="O58" s="75"/>
      <c r="P58" s="75"/>
      <c r="Q58" s="75"/>
      <c r="R58" s="75"/>
      <c r="S58" s="75"/>
      <c r="T58" s="100"/>
      <c r="Z58" s="101" t="s">
        <v>1042</v>
      </c>
      <c r="AA58" s="101" t="s">
        <v>942</v>
      </c>
      <c r="AB58" s="101" t="s">
        <v>1043</v>
      </c>
      <c r="AC58" s="101" t="s">
        <v>1044</v>
      </c>
    </row>
    <row r="59" spans="2:29" ht="18.75" customHeight="1">
      <c r="B59" s="51" t="s">
        <v>1045</v>
      </c>
      <c r="C59" s="73"/>
      <c r="D59" s="73"/>
      <c r="E59" s="73"/>
      <c r="F59" s="73"/>
      <c r="G59" s="73"/>
      <c r="H59" s="73"/>
      <c r="I59" s="73"/>
      <c r="J59" s="73"/>
      <c r="K59" s="73"/>
      <c r="L59" s="73"/>
      <c r="M59" s="73"/>
      <c r="N59" s="75"/>
      <c r="O59" s="75"/>
      <c r="P59" s="73"/>
      <c r="Q59" s="75"/>
      <c r="R59" s="75"/>
      <c r="S59" s="73"/>
      <c r="T59" s="100"/>
      <c r="Z59" s="101" t="s">
        <v>1046</v>
      </c>
      <c r="AA59" s="101" t="s">
        <v>959</v>
      </c>
      <c r="AB59" s="101" t="s">
        <v>1047</v>
      </c>
      <c r="AC59" s="101" t="s">
        <v>1048</v>
      </c>
    </row>
    <row r="60" spans="2:29" ht="54" customHeight="1">
      <c r="B60" s="1014" t="s">
        <v>1049</v>
      </c>
      <c r="C60" s="1014"/>
      <c r="D60" s="1013"/>
      <c r="E60" s="1013"/>
      <c r="F60" s="1013"/>
      <c r="G60" s="1013"/>
      <c r="H60" s="1013"/>
      <c r="I60" s="1013"/>
      <c r="J60" s="1013"/>
      <c r="K60" s="1013"/>
      <c r="L60" s="1013"/>
      <c r="M60" s="1013"/>
      <c r="N60" s="1013"/>
      <c r="O60" s="1013"/>
      <c r="P60" s="1013"/>
      <c r="Q60" s="1013"/>
      <c r="R60" s="1013"/>
      <c r="S60" s="1013"/>
      <c r="Z60" s="101" t="s">
        <v>1050</v>
      </c>
      <c r="AA60" s="101" t="s">
        <v>977</v>
      </c>
      <c r="AB60" s="101" t="s">
        <v>1051</v>
      </c>
      <c r="AC60" s="101" t="s">
        <v>1052</v>
      </c>
    </row>
    <row r="61" spans="2:29" ht="33" customHeight="1">
      <c r="B61" s="976" t="s">
        <v>1053</v>
      </c>
      <c r="C61" s="976"/>
      <c r="D61" s="1013"/>
      <c r="E61" s="1013"/>
      <c r="F61" s="1013"/>
      <c r="G61" s="1013"/>
      <c r="H61" s="1013"/>
      <c r="I61" s="1013"/>
      <c r="J61" s="1013"/>
      <c r="K61" s="1013"/>
      <c r="L61" s="1013"/>
      <c r="M61" s="1013"/>
      <c r="N61" s="1013"/>
      <c r="O61" s="1013"/>
      <c r="P61" s="1013"/>
      <c r="Q61" s="1013"/>
      <c r="R61" s="1013"/>
      <c r="S61" s="1013"/>
      <c r="Z61" s="101" t="s">
        <v>1054</v>
      </c>
      <c r="AA61" s="101" t="s">
        <v>932</v>
      </c>
      <c r="AB61" s="101" t="s">
        <v>1055</v>
      </c>
      <c r="AC61" s="101" t="s">
        <v>1056</v>
      </c>
    </row>
    <row r="62" spans="2:29" ht="71.25" customHeight="1">
      <c r="B62" s="976" t="s">
        <v>1057</v>
      </c>
      <c r="C62" s="976"/>
      <c r="D62" s="1013"/>
      <c r="E62" s="1013"/>
      <c r="F62" s="1013"/>
      <c r="G62" s="1013"/>
      <c r="H62" s="1013"/>
      <c r="I62" s="1013"/>
      <c r="J62" s="1013"/>
      <c r="K62" s="1013"/>
      <c r="L62" s="1013"/>
      <c r="M62" s="1013"/>
      <c r="N62" s="1013"/>
      <c r="O62" s="1013"/>
      <c r="P62" s="1013"/>
      <c r="Q62" s="1013"/>
      <c r="R62" s="1013"/>
      <c r="S62" s="1013"/>
      <c r="Z62" s="101" t="s">
        <v>1058</v>
      </c>
      <c r="AA62" s="101" t="s">
        <v>977</v>
      </c>
      <c r="AB62" s="101" t="s">
        <v>1059</v>
      </c>
      <c r="AC62" s="101" t="s">
        <v>1060</v>
      </c>
    </row>
    <row r="63" spans="2:29" ht="38.25" customHeight="1">
      <c r="B63" s="976" t="s">
        <v>1061</v>
      </c>
      <c r="C63" s="976"/>
      <c r="D63" s="1013"/>
      <c r="E63" s="1013"/>
      <c r="F63" s="1013"/>
      <c r="G63" s="1013"/>
      <c r="H63" s="1013"/>
      <c r="I63" s="1013"/>
      <c r="J63" s="1013"/>
      <c r="K63" s="1013"/>
      <c r="L63" s="1013"/>
      <c r="M63" s="1013"/>
      <c r="N63" s="1013"/>
      <c r="O63" s="1013"/>
      <c r="P63" s="1013"/>
      <c r="Q63" s="1013"/>
      <c r="R63" s="1013"/>
      <c r="S63" s="1013"/>
      <c r="Z63" s="101" t="s">
        <v>1062</v>
      </c>
      <c r="AA63" s="101" t="s">
        <v>981</v>
      </c>
      <c r="AB63" s="101" t="s">
        <v>1063</v>
      </c>
      <c r="AC63" s="101" t="s">
        <v>1064</v>
      </c>
    </row>
    <row r="64" spans="2:29" s="73" customFormat="1" ht="15" customHeight="1"/>
    <row r="65" spans="3:3" s="73" customFormat="1" ht="15" customHeight="1"/>
    <row r="66" spans="3:3" s="73" customFormat="1" ht="15" customHeight="1">
      <c r="C66" s="73" t="s">
        <v>1385</v>
      </c>
    </row>
    <row r="67" spans="3:3" s="73" customFormat="1" ht="15" customHeight="1">
      <c r="C67" s="73" t="s">
        <v>1386</v>
      </c>
    </row>
    <row r="68" spans="3:3" s="73" customFormat="1" ht="15" customHeight="1">
      <c r="C68" s="73" t="s">
        <v>1387</v>
      </c>
    </row>
    <row r="69" spans="3:3" s="73" customFormat="1" ht="15" customHeight="1">
      <c r="C69" s="73" t="s">
        <v>1388</v>
      </c>
    </row>
    <row r="70" spans="3:3" s="73" customFormat="1" ht="15" customHeight="1"/>
    <row r="71" spans="3:3" s="73" customFormat="1" ht="15" customHeight="1"/>
    <row r="72" spans="3:3" s="73" customFormat="1" ht="15" customHeight="1"/>
    <row r="73" spans="3:3" s="73" customFormat="1" ht="15" customHeight="1"/>
    <row r="74" spans="3:3" s="73" customFormat="1" ht="15" customHeight="1"/>
    <row r="75" spans="3:3" s="73" customFormat="1" ht="15" customHeight="1"/>
    <row r="76" spans="3:3" s="73" customFormat="1" ht="15" customHeight="1"/>
    <row r="77" spans="3:3" s="73" customFormat="1" ht="15" customHeight="1"/>
    <row r="78" spans="3:3" s="73" customFormat="1" ht="15" customHeight="1"/>
    <row r="79" spans="3:3" s="73" customFormat="1" ht="15" customHeight="1"/>
    <row r="80" spans="3:3"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row r="97" s="73" customFormat="1" ht="15" customHeight="1"/>
    <row r="98" s="73" customFormat="1" ht="15" customHeight="1"/>
    <row r="99" s="73" customFormat="1" ht="15" customHeight="1"/>
    <row r="100" s="73" customFormat="1" ht="15" customHeight="1"/>
    <row r="101" s="73" customFormat="1" ht="15" customHeight="1"/>
    <row r="102" s="73" customFormat="1" ht="15" customHeight="1"/>
    <row r="103" s="73" customFormat="1" ht="15" customHeight="1"/>
    <row r="104" s="73" customFormat="1" ht="15" customHeight="1"/>
    <row r="105" s="73" customFormat="1" ht="15" customHeight="1"/>
    <row r="106" s="73" customFormat="1" ht="15" customHeight="1"/>
    <row r="107" s="73" customFormat="1" ht="15" customHeight="1"/>
    <row r="108" s="73" customFormat="1" ht="15" customHeight="1"/>
    <row r="109" s="73" customFormat="1" ht="15" customHeight="1"/>
  </sheetData>
  <mergeCells count="25">
    <mergeCell ref="B5:H5"/>
    <mergeCell ref="I5:Q5"/>
    <mergeCell ref="R5:R7"/>
    <mergeCell ref="S5:S7"/>
    <mergeCell ref="B2:I3"/>
    <mergeCell ref="K2:N2"/>
    <mergeCell ref="P2:S2"/>
    <mergeCell ref="K3:N3"/>
    <mergeCell ref="P3:S3"/>
    <mergeCell ref="C6:H6"/>
    <mergeCell ref="J6:Q6"/>
    <mergeCell ref="B55:C55"/>
    <mergeCell ref="D55:S55"/>
    <mergeCell ref="B56:C56"/>
    <mergeCell ref="D56:S56"/>
    <mergeCell ref="B62:C62"/>
    <mergeCell ref="D62:S62"/>
    <mergeCell ref="B63:C63"/>
    <mergeCell ref="D63:S63"/>
    <mergeCell ref="B57:C57"/>
    <mergeCell ref="D57:S57"/>
    <mergeCell ref="B60:C60"/>
    <mergeCell ref="D60:S60"/>
    <mergeCell ref="B61:C61"/>
    <mergeCell ref="D61:S61"/>
  </mergeCells>
  <phoneticPr fontId="4" type="noConversion"/>
  <hyperlinks>
    <hyperlink ref="A1" location="List!A1" display="Top" xr:uid="{CEA26D92-CED0-45F9-BCCD-A238F3E55A12}"/>
  </hyperlinks>
  <pageMargins left="0.7" right="0.7" top="0.75" bottom="0.75" header="0.3" footer="0.3"/>
  <customProperties>
    <customPr name="_pios_i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51942-CC9D-44BC-9E71-7E614CCFAEFB}">
  <dimension ref="A1:AC96"/>
  <sheetViews>
    <sheetView showGridLines="0" zoomScaleNormal="100" workbookViewId="0">
      <selection activeCell="C6" sqref="C6:H6"/>
    </sheetView>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4.625" style="69" bestFit="1"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1389</v>
      </c>
      <c r="C2" s="993"/>
      <c r="D2" s="993"/>
      <c r="E2" s="993"/>
      <c r="F2" s="993"/>
      <c r="G2" s="993"/>
      <c r="H2" s="993"/>
      <c r="I2" s="994"/>
      <c r="J2" s="70" t="s">
        <v>816</v>
      </c>
      <c r="K2" s="998" t="s">
        <v>128</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1067</v>
      </c>
      <c r="T5" s="73"/>
      <c r="Z5" s="76" t="s">
        <v>827</v>
      </c>
      <c r="AA5" s="76"/>
      <c r="AB5" s="76"/>
      <c r="AC5" s="77"/>
    </row>
    <row r="6" spans="1:29" ht="32.1" customHeight="1">
      <c r="B6" s="78" t="s">
        <v>828</v>
      </c>
      <c r="C6" s="987" t="s">
        <v>1391</v>
      </c>
      <c r="D6" s="984"/>
      <c r="E6" s="984"/>
      <c r="F6" s="984"/>
      <c r="G6" s="984"/>
      <c r="H6" s="986"/>
      <c r="I6" s="102" t="s">
        <v>829</v>
      </c>
      <c r="J6" s="988" t="s">
        <v>830</v>
      </c>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147" t="s">
        <v>844</v>
      </c>
      <c r="D8" s="119" t="s">
        <v>42</v>
      </c>
      <c r="E8" s="107" t="s">
        <v>1377</v>
      </c>
      <c r="F8" s="107">
        <v>10</v>
      </c>
      <c r="G8" s="108" t="s">
        <v>1392</v>
      </c>
      <c r="H8" s="109" t="s">
        <v>1393</v>
      </c>
      <c r="I8" s="110">
        <v>1</v>
      </c>
      <c r="J8" s="117"/>
      <c r="K8" s="112" t="s">
        <v>42</v>
      </c>
      <c r="L8" s="113"/>
      <c r="M8" s="112"/>
      <c r="N8" s="114"/>
      <c r="O8" s="114"/>
      <c r="P8" s="112"/>
      <c r="Q8" s="112"/>
      <c r="R8" s="114"/>
      <c r="S8" s="134"/>
      <c r="Z8" s="116" t="s">
        <v>848</v>
      </c>
      <c r="AA8" s="116" t="s">
        <v>849</v>
      </c>
      <c r="AB8" s="116" t="s">
        <v>850</v>
      </c>
      <c r="AC8" s="116" t="s">
        <v>851</v>
      </c>
    </row>
    <row r="9" spans="1:29" s="73" customFormat="1" ht="13.5">
      <c r="B9" s="104">
        <v>2</v>
      </c>
      <c r="C9" s="147" t="s">
        <v>1394</v>
      </c>
      <c r="D9" s="119" t="s">
        <v>42</v>
      </c>
      <c r="E9" s="107" t="s">
        <v>1377</v>
      </c>
      <c r="F9" s="107">
        <v>10</v>
      </c>
      <c r="G9" s="108" t="s">
        <v>1395</v>
      </c>
      <c r="H9" s="109" t="s">
        <v>1396</v>
      </c>
      <c r="I9" s="110">
        <v>2</v>
      </c>
      <c r="J9" s="117" t="s">
        <v>1397</v>
      </c>
      <c r="K9" s="119" t="s">
        <v>42</v>
      </c>
      <c r="L9" s="113" t="s">
        <v>1354</v>
      </c>
      <c r="M9" s="112">
        <v>1000</v>
      </c>
      <c r="N9" s="114" t="s">
        <v>1395</v>
      </c>
      <c r="O9" s="114" t="s">
        <v>1396</v>
      </c>
      <c r="P9" s="112"/>
      <c r="Q9" s="112"/>
      <c r="R9" s="114"/>
      <c r="S9" s="134"/>
      <c r="T9" s="71"/>
      <c r="Z9" s="116" t="s">
        <v>857</v>
      </c>
      <c r="AA9" s="116" t="s">
        <v>858</v>
      </c>
      <c r="AB9" s="116" t="s">
        <v>859</v>
      </c>
      <c r="AC9" s="116" t="s">
        <v>860</v>
      </c>
    </row>
    <row r="10" spans="1:29" s="73" customFormat="1" ht="13.5">
      <c r="B10" s="104">
        <v>3</v>
      </c>
      <c r="C10" s="147" t="s">
        <v>1398</v>
      </c>
      <c r="D10" s="119" t="s">
        <v>42</v>
      </c>
      <c r="E10" s="107" t="s">
        <v>1377</v>
      </c>
      <c r="F10" s="107">
        <v>12</v>
      </c>
      <c r="G10" s="108" t="s">
        <v>1399</v>
      </c>
      <c r="H10" s="109" t="s">
        <v>1400</v>
      </c>
      <c r="I10" s="110">
        <v>3</v>
      </c>
      <c r="J10" s="117" t="s">
        <v>1401</v>
      </c>
      <c r="K10" s="119" t="s">
        <v>42</v>
      </c>
      <c r="L10" s="113" t="s">
        <v>1354</v>
      </c>
      <c r="M10" s="112">
        <v>1000</v>
      </c>
      <c r="N10" s="114" t="s">
        <v>1399</v>
      </c>
      <c r="O10" s="114" t="s">
        <v>1400</v>
      </c>
      <c r="P10" s="112"/>
      <c r="Q10" s="112"/>
      <c r="R10" s="114"/>
      <c r="S10" s="134"/>
      <c r="T10" s="71"/>
      <c r="Z10" s="116" t="s">
        <v>865</v>
      </c>
      <c r="AA10" s="116" t="s">
        <v>866</v>
      </c>
      <c r="AB10" s="116" t="s">
        <v>867</v>
      </c>
      <c r="AC10" s="116" t="s">
        <v>868</v>
      </c>
    </row>
    <row r="11" spans="1:29" s="73" customFormat="1" ht="13.5">
      <c r="B11" s="104">
        <v>4</v>
      </c>
      <c r="C11" s="147" t="s">
        <v>861</v>
      </c>
      <c r="D11" s="119" t="s">
        <v>42</v>
      </c>
      <c r="E11" s="107" t="s">
        <v>1377</v>
      </c>
      <c r="F11" s="107">
        <v>12</v>
      </c>
      <c r="G11" s="108" t="s">
        <v>1402</v>
      </c>
      <c r="H11" s="109" t="s">
        <v>863</v>
      </c>
      <c r="I11" s="110">
        <v>4</v>
      </c>
      <c r="J11" s="118" t="s">
        <v>864</v>
      </c>
      <c r="K11" s="119" t="s">
        <v>42</v>
      </c>
      <c r="L11" s="113" t="s">
        <v>1354</v>
      </c>
      <c r="M11" s="112">
        <v>1000</v>
      </c>
      <c r="N11" s="108" t="s">
        <v>1402</v>
      </c>
      <c r="O11" s="108" t="s">
        <v>863</v>
      </c>
      <c r="P11" s="119"/>
      <c r="Q11" s="119"/>
      <c r="R11" s="108"/>
      <c r="S11" s="134"/>
      <c r="Z11" s="116" t="s">
        <v>873</v>
      </c>
      <c r="AA11" s="116" t="s">
        <v>858</v>
      </c>
      <c r="AB11" s="116" t="s">
        <v>874</v>
      </c>
      <c r="AC11" s="116" t="s">
        <v>875</v>
      </c>
    </row>
    <row r="12" spans="1:29" s="73" customFormat="1" ht="13.5">
      <c r="B12" s="104">
        <v>5</v>
      </c>
      <c r="C12" s="147" t="s">
        <v>1403</v>
      </c>
      <c r="D12" s="119" t="s">
        <v>42</v>
      </c>
      <c r="E12" s="107" t="s">
        <v>1377</v>
      </c>
      <c r="F12" s="107">
        <v>15</v>
      </c>
      <c r="G12" s="108" t="s">
        <v>1404</v>
      </c>
      <c r="H12" s="109" t="s">
        <v>1405</v>
      </c>
      <c r="I12" s="110">
        <v>5</v>
      </c>
      <c r="J12" s="118" t="s">
        <v>1405</v>
      </c>
      <c r="K12" s="119" t="s">
        <v>42</v>
      </c>
      <c r="L12" s="113" t="s">
        <v>1354</v>
      </c>
      <c r="M12" s="112">
        <v>1000</v>
      </c>
      <c r="N12" s="108" t="s">
        <v>1404</v>
      </c>
      <c r="O12" s="108" t="s">
        <v>1405</v>
      </c>
      <c r="P12" s="119"/>
      <c r="Q12" s="119"/>
      <c r="R12" s="108"/>
      <c r="S12" s="134"/>
      <c r="Z12" s="116" t="s">
        <v>880</v>
      </c>
      <c r="AA12" s="116" t="s">
        <v>881</v>
      </c>
      <c r="AB12" s="116" t="s">
        <v>882</v>
      </c>
      <c r="AC12" s="116" t="s">
        <v>883</v>
      </c>
    </row>
    <row r="13" spans="1:29" s="73" customFormat="1" ht="13.5">
      <c r="B13" s="104">
        <v>6</v>
      </c>
      <c r="C13" s="147" t="s">
        <v>1068</v>
      </c>
      <c r="D13" s="119" t="s">
        <v>42</v>
      </c>
      <c r="E13" s="107" t="s">
        <v>1377</v>
      </c>
      <c r="F13" s="107">
        <v>54</v>
      </c>
      <c r="G13" s="108" t="s">
        <v>1406</v>
      </c>
      <c r="H13" s="109" t="s">
        <v>1407</v>
      </c>
      <c r="I13" s="110">
        <v>6</v>
      </c>
      <c r="J13" s="118" t="s">
        <v>1271</v>
      </c>
      <c r="K13" s="119" t="s">
        <v>42</v>
      </c>
      <c r="L13" s="113" t="s">
        <v>1354</v>
      </c>
      <c r="M13" s="112">
        <v>1000</v>
      </c>
      <c r="N13" s="108" t="s">
        <v>1406</v>
      </c>
      <c r="O13" s="108" t="s">
        <v>1407</v>
      </c>
      <c r="P13" s="119"/>
      <c r="Q13" s="112"/>
      <c r="R13" s="114"/>
      <c r="S13" s="134"/>
      <c r="Z13" s="116" t="s">
        <v>888</v>
      </c>
      <c r="AA13" s="116" t="s">
        <v>889</v>
      </c>
      <c r="AB13" s="116" t="s">
        <v>890</v>
      </c>
      <c r="AC13" s="116" t="s">
        <v>891</v>
      </c>
    </row>
    <row r="14" spans="1:29" s="73" customFormat="1" ht="13.5">
      <c r="B14" s="104">
        <v>7</v>
      </c>
      <c r="C14" s="105" t="s">
        <v>1408</v>
      </c>
      <c r="D14" s="119"/>
      <c r="E14" s="107" t="s">
        <v>1377</v>
      </c>
      <c r="F14" s="107">
        <v>6</v>
      </c>
      <c r="G14" s="108" t="s">
        <v>1409</v>
      </c>
      <c r="H14" s="109" t="s">
        <v>1410</v>
      </c>
      <c r="I14" s="110">
        <v>7</v>
      </c>
      <c r="J14" s="118" t="s">
        <v>1411</v>
      </c>
      <c r="K14" s="106"/>
      <c r="L14" s="113" t="s">
        <v>1354</v>
      </c>
      <c r="M14" s="112">
        <v>1000</v>
      </c>
      <c r="N14" s="108" t="s">
        <v>1409</v>
      </c>
      <c r="O14" s="108" t="s">
        <v>1410</v>
      </c>
      <c r="P14" s="119"/>
      <c r="Q14" s="112"/>
      <c r="R14" s="114"/>
      <c r="S14" s="134"/>
      <c r="Z14" s="116" t="s">
        <v>896</v>
      </c>
      <c r="AA14" s="116" t="s">
        <v>849</v>
      </c>
      <c r="AB14" s="116" t="s">
        <v>897</v>
      </c>
      <c r="AC14" s="116" t="s">
        <v>898</v>
      </c>
    </row>
    <row r="15" spans="1:29" s="73" customFormat="1" ht="13.5">
      <c r="B15" s="104">
        <v>8</v>
      </c>
      <c r="C15" s="105" t="s">
        <v>1412</v>
      </c>
      <c r="D15" s="119"/>
      <c r="E15" s="107" t="s">
        <v>1377</v>
      </c>
      <c r="F15" s="107">
        <v>24</v>
      </c>
      <c r="G15" s="108" t="s">
        <v>1413</v>
      </c>
      <c r="H15" s="109" t="s">
        <v>1414</v>
      </c>
      <c r="I15" s="110">
        <v>8</v>
      </c>
      <c r="J15" s="118" t="s">
        <v>1415</v>
      </c>
      <c r="K15" s="106"/>
      <c r="L15" s="113" t="s">
        <v>1354</v>
      </c>
      <c r="M15" s="112">
        <v>1000</v>
      </c>
      <c r="N15" s="108" t="s">
        <v>1413</v>
      </c>
      <c r="O15" s="108" t="s">
        <v>1414</v>
      </c>
      <c r="P15" s="119"/>
      <c r="Q15" s="112"/>
      <c r="R15" s="114"/>
      <c r="S15" s="134"/>
      <c r="Z15" s="116" t="s">
        <v>903</v>
      </c>
      <c r="AA15" s="116" t="s">
        <v>858</v>
      </c>
      <c r="AB15" s="116" t="s">
        <v>904</v>
      </c>
      <c r="AC15" s="116" t="s">
        <v>860</v>
      </c>
    </row>
    <row r="16" spans="1:29" s="73" customFormat="1" ht="13.5">
      <c r="B16" s="104">
        <v>9</v>
      </c>
      <c r="C16" s="105" t="s">
        <v>1416</v>
      </c>
      <c r="D16" s="119"/>
      <c r="E16" s="107" t="s">
        <v>1377</v>
      </c>
      <c r="F16" s="107">
        <v>24</v>
      </c>
      <c r="G16" s="108" t="s">
        <v>1417</v>
      </c>
      <c r="H16" s="109" t="s">
        <v>1418</v>
      </c>
      <c r="I16" s="110">
        <v>9</v>
      </c>
      <c r="J16" s="118" t="s">
        <v>1419</v>
      </c>
      <c r="K16" s="106"/>
      <c r="L16" s="113" t="s">
        <v>1354</v>
      </c>
      <c r="M16" s="112">
        <v>1000</v>
      </c>
      <c r="N16" s="108" t="s">
        <v>1417</v>
      </c>
      <c r="O16" s="108" t="s">
        <v>1418</v>
      </c>
      <c r="P16" s="119"/>
      <c r="Q16" s="112"/>
      <c r="R16" s="114"/>
      <c r="S16" s="134"/>
      <c r="Z16" s="116" t="s">
        <v>909</v>
      </c>
      <c r="AA16" s="116" t="s">
        <v>858</v>
      </c>
      <c r="AB16" s="116" t="s">
        <v>910</v>
      </c>
      <c r="AC16" s="116" t="s">
        <v>911</v>
      </c>
    </row>
    <row r="17" spans="2:29" s="73" customFormat="1" ht="27">
      <c r="B17" s="104">
        <v>10</v>
      </c>
      <c r="C17" s="105" t="s">
        <v>1420</v>
      </c>
      <c r="D17" s="119"/>
      <c r="E17" s="107" t="s">
        <v>1421</v>
      </c>
      <c r="F17" s="107">
        <v>11.2</v>
      </c>
      <c r="G17" s="108" t="s">
        <v>1422</v>
      </c>
      <c r="H17" s="109" t="s">
        <v>1423</v>
      </c>
      <c r="I17" s="110">
        <v>10</v>
      </c>
      <c r="J17" s="117" t="s">
        <v>1420</v>
      </c>
      <c r="K17" s="120"/>
      <c r="L17" s="113" t="s">
        <v>1354</v>
      </c>
      <c r="M17" s="112">
        <v>1000</v>
      </c>
      <c r="N17" s="108" t="s">
        <v>1422</v>
      </c>
      <c r="O17" s="108" t="s">
        <v>1423</v>
      </c>
      <c r="P17" s="112"/>
      <c r="Q17" s="112"/>
      <c r="R17" s="114"/>
      <c r="S17" s="134"/>
      <c r="Z17" s="116" t="s">
        <v>920</v>
      </c>
      <c r="AA17" s="116" t="s">
        <v>849</v>
      </c>
      <c r="AB17" s="116" t="s">
        <v>921</v>
      </c>
      <c r="AC17" s="116" t="s">
        <v>922</v>
      </c>
    </row>
    <row r="18" spans="2:29" s="73" customFormat="1" ht="27">
      <c r="B18" s="104">
        <v>11</v>
      </c>
      <c r="C18" s="105" t="s">
        <v>1424</v>
      </c>
      <c r="D18" s="119"/>
      <c r="E18" s="107" t="s">
        <v>1421</v>
      </c>
      <c r="F18" s="107">
        <v>11.2</v>
      </c>
      <c r="G18" s="108" t="s">
        <v>1425</v>
      </c>
      <c r="H18" s="109" t="s">
        <v>1426</v>
      </c>
      <c r="I18" s="110">
        <v>11</v>
      </c>
      <c r="J18" s="117" t="s">
        <v>1424</v>
      </c>
      <c r="K18" s="112"/>
      <c r="L18" s="113" t="s">
        <v>1354</v>
      </c>
      <c r="M18" s="112">
        <v>1000</v>
      </c>
      <c r="N18" s="114" t="s">
        <v>1425</v>
      </c>
      <c r="O18" s="114" t="s">
        <v>1426</v>
      </c>
      <c r="P18" s="112"/>
      <c r="Q18" s="112"/>
      <c r="R18" s="114"/>
      <c r="S18" s="134"/>
      <c r="Z18" s="116" t="s">
        <v>931</v>
      </c>
      <c r="AA18" s="116" t="s">
        <v>932</v>
      </c>
      <c r="AB18" s="116" t="s">
        <v>933</v>
      </c>
      <c r="AC18" s="116" t="s">
        <v>934</v>
      </c>
    </row>
    <row r="19" spans="2:29" s="73" customFormat="1" ht="13.5">
      <c r="B19" s="104">
        <v>12</v>
      </c>
      <c r="C19" s="121" t="s">
        <v>1427</v>
      </c>
      <c r="D19" s="119"/>
      <c r="E19" s="107" t="s">
        <v>1421</v>
      </c>
      <c r="F19" s="107">
        <v>11.2</v>
      </c>
      <c r="G19" s="108" t="s">
        <v>1428</v>
      </c>
      <c r="H19" s="109" t="s">
        <v>1429</v>
      </c>
      <c r="I19" s="110">
        <v>12</v>
      </c>
      <c r="J19" s="117" t="s">
        <v>1427</v>
      </c>
      <c r="K19" s="120"/>
      <c r="L19" s="113" t="s">
        <v>1354</v>
      </c>
      <c r="M19" s="112">
        <v>1000</v>
      </c>
      <c r="N19" s="114" t="s">
        <v>1428</v>
      </c>
      <c r="O19" s="114" t="s">
        <v>1429</v>
      </c>
      <c r="P19" s="112"/>
      <c r="Q19" s="112"/>
      <c r="R19" s="114"/>
      <c r="S19" s="134"/>
      <c r="Z19" s="116" t="s">
        <v>941</v>
      </c>
      <c r="AA19" s="116" t="s">
        <v>942</v>
      </c>
      <c r="AB19" s="116" t="s">
        <v>943</v>
      </c>
      <c r="AC19" s="116" t="s">
        <v>944</v>
      </c>
    </row>
    <row r="20" spans="2:29" s="73" customFormat="1" ht="54">
      <c r="B20" s="104">
        <v>13</v>
      </c>
      <c r="C20" s="121" t="s">
        <v>1430</v>
      </c>
      <c r="D20" s="119"/>
      <c r="E20" s="107" t="s">
        <v>1421</v>
      </c>
      <c r="F20" s="107">
        <v>11.2</v>
      </c>
      <c r="G20" s="108" t="s">
        <v>1431</v>
      </c>
      <c r="H20" s="109" t="s">
        <v>1432</v>
      </c>
      <c r="I20" s="110">
        <v>13</v>
      </c>
      <c r="J20" s="117" t="s">
        <v>1430</v>
      </c>
      <c r="K20" s="120"/>
      <c r="L20" s="113" t="s">
        <v>1354</v>
      </c>
      <c r="M20" s="112">
        <v>1000</v>
      </c>
      <c r="N20" s="114" t="s">
        <v>1431</v>
      </c>
      <c r="O20" s="114" t="s">
        <v>1432</v>
      </c>
      <c r="P20" s="112"/>
      <c r="Q20" s="112"/>
      <c r="R20" s="114"/>
      <c r="S20" s="134"/>
      <c r="Z20" s="116" t="s">
        <v>952</v>
      </c>
      <c r="AA20" s="116" t="s">
        <v>942</v>
      </c>
      <c r="AB20" s="116" t="s">
        <v>953</v>
      </c>
      <c r="AC20" s="116" t="s">
        <v>954</v>
      </c>
    </row>
    <row r="21" spans="2:29" s="73" customFormat="1" ht="13.5">
      <c r="B21" s="104">
        <v>14</v>
      </c>
      <c r="C21" s="121" t="s">
        <v>1433</v>
      </c>
      <c r="D21" s="119"/>
      <c r="E21" s="107" t="s">
        <v>1421</v>
      </c>
      <c r="F21" s="107">
        <v>11.2</v>
      </c>
      <c r="G21" s="108" t="s">
        <v>1434</v>
      </c>
      <c r="H21" s="109" t="s">
        <v>1435</v>
      </c>
      <c r="I21" s="110">
        <v>14</v>
      </c>
      <c r="J21" s="118" t="s">
        <v>1433</v>
      </c>
      <c r="K21" s="119"/>
      <c r="L21" s="113" t="s">
        <v>1354</v>
      </c>
      <c r="M21" s="112">
        <v>1000</v>
      </c>
      <c r="N21" s="108" t="s">
        <v>1434</v>
      </c>
      <c r="O21" s="108" t="s">
        <v>1435</v>
      </c>
      <c r="P21" s="119"/>
      <c r="Q21" s="119"/>
      <c r="R21" s="108"/>
      <c r="S21" s="134"/>
      <c r="Z21" s="116" t="s">
        <v>958</v>
      </c>
      <c r="AA21" s="116" t="s">
        <v>959</v>
      </c>
      <c r="AB21" s="116" t="s">
        <v>960</v>
      </c>
      <c r="AC21" s="116" t="s">
        <v>961</v>
      </c>
    </row>
    <row r="22" spans="2:29" s="73" customFormat="1" ht="13.5">
      <c r="B22" s="104">
        <v>15</v>
      </c>
      <c r="C22" s="121" t="s">
        <v>1436</v>
      </c>
      <c r="D22" s="119"/>
      <c r="E22" s="107" t="s">
        <v>1421</v>
      </c>
      <c r="F22" s="107">
        <v>11.2</v>
      </c>
      <c r="G22" s="108" t="s">
        <v>1437</v>
      </c>
      <c r="H22" s="109" t="s">
        <v>1438</v>
      </c>
      <c r="I22" s="110">
        <v>15</v>
      </c>
      <c r="J22" s="118" t="s">
        <v>1436</v>
      </c>
      <c r="K22" s="119"/>
      <c r="L22" s="113" t="s">
        <v>1354</v>
      </c>
      <c r="M22" s="112">
        <v>1000</v>
      </c>
      <c r="N22" s="108" t="s">
        <v>1437</v>
      </c>
      <c r="O22" s="108" t="s">
        <v>1438</v>
      </c>
      <c r="P22" s="119"/>
      <c r="Q22" s="119"/>
      <c r="R22" s="108"/>
      <c r="S22" s="134"/>
      <c r="Z22" s="116" t="s">
        <v>965</v>
      </c>
      <c r="AA22" s="116" t="s">
        <v>966</v>
      </c>
      <c r="AB22" s="116" t="s">
        <v>967</v>
      </c>
      <c r="AC22" s="116" t="s">
        <v>968</v>
      </c>
    </row>
    <row r="23" spans="2:29" s="73" customFormat="1" ht="13.5">
      <c r="B23" s="104">
        <v>16</v>
      </c>
      <c r="C23" s="121" t="s">
        <v>1439</v>
      </c>
      <c r="D23" s="119"/>
      <c r="E23" s="107" t="s">
        <v>1421</v>
      </c>
      <c r="F23" s="107">
        <v>11.2</v>
      </c>
      <c r="G23" s="108" t="s">
        <v>1440</v>
      </c>
      <c r="H23" s="109" t="s">
        <v>1441</v>
      </c>
      <c r="I23" s="110">
        <v>16</v>
      </c>
      <c r="J23" s="105" t="s">
        <v>1439</v>
      </c>
      <c r="K23" s="119"/>
      <c r="L23" s="113" t="s">
        <v>1354</v>
      </c>
      <c r="M23" s="112">
        <v>1000</v>
      </c>
      <c r="N23" s="114" t="s">
        <v>1440</v>
      </c>
      <c r="O23" s="114" t="s">
        <v>1441</v>
      </c>
      <c r="P23" s="119"/>
      <c r="Q23" s="119"/>
      <c r="R23" s="108"/>
      <c r="S23" s="134"/>
      <c r="Z23" s="116" t="s">
        <v>969</v>
      </c>
      <c r="AA23" s="116" t="s">
        <v>970</v>
      </c>
      <c r="AB23" s="116" t="s">
        <v>971</v>
      </c>
      <c r="AC23" s="116" t="s">
        <v>972</v>
      </c>
    </row>
    <row r="24" spans="2:29" s="73" customFormat="1" ht="13.5">
      <c r="B24" s="104">
        <v>17</v>
      </c>
      <c r="C24" s="121" t="s">
        <v>1442</v>
      </c>
      <c r="D24" s="119"/>
      <c r="E24" s="107" t="s">
        <v>1377</v>
      </c>
      <c r="F24" s="107">
        <v>2</v>
      </c>
      <c r="G24" s="108" t="s">
        <v>1351</v>
      </c>
      <c r="H24" s="109" t="s">
        <v>1443</v>
      </c>
      <c r="I24" s="110">
        <v>17</v>
      </c>
      <c r="J24" s="105" t="s">
        <v>1353</v>
      </c>
      <c r="K24" s="119"/>
      <c r="L24" s="113" t="s">
        <v>1354</v>
      </c>
      <c r="M24" s="112">
        <v>1000</v>
      </c>
      <c r="N24" s="114" t="s">
        <v>1351</v>
      </c>
      <c r="O24" s="114" t="s">
        <v>1443</v>
      </c>
      <c r="P24" s="119"/>
      <c r="Q24" s="119"/>
      <c r="R24" s="108"/>
      <c r="S24" s="134"/>
      <c r="Z24" s="116" t="s">
        <v>973</v>
      </c>
      <c r="AA24" s="116" t="s">
        <v>970</v>
      </c>
      <c r="AB24" s="116" t="s">
        <v>974</v>
      </c>
      <c r="AC24" s="116" t="s">
        <v>975</v>
      </c>
    </row>
    <row r="25" spans="2:29" s="73" customFormat="1" ht="13.5">
      <c r="B25" s="104">
        <v>18</v>
      </c>
      <c r="C25" s="121" t="s">
        <v>1444</v>
      </c>
      <c r="D25" s="119"/>
      <c r="E25" s="107" t="s">
        <v>1377</v>
      </c>
      <c r="F25" s="107">
        <v>2</v>
      </c>
      <c r="G25" s="108" t="s">
        <v>1445</v>
      </c>
      <c r="H25" s="109" t="s">
        <v>1446</v>
      </c>
      <c r="I25" s="110">
        <v>18</v>
      </c>
      <c r="J25" s="105" t="s">
        <v>834</v>
      </c>
      <c r="K25" s="119"/>
      <c r="L25" s="113" t="s">
        <v>1354</v>
      </c>
      <c r="M25" s="112">
        <v>1000</v>
      </c>
      <c r="N25" s="114" t="s">
        <v>1445</v>
      </c>
      <c r="O25" s="114" t="s">
        <v>1446</v>
      </c>
      <c r="P25" s="119"/>
      <c r="Q25" s="119"/>
      <c r="R25" s="108"/>
      <c r="S25" s="134"/>
      <c r="Z25" s="116" t="s">
        <v>976</v>
      </c>
      <c r="AA25" s="116" t="s">
        <v>977</v>
      </c>
      <c r="AB25" s="116" t="s">
        <v>978</v>
      </c>
      <c r="AC25" s="116" t="s">
        <v>979</v>
      </c>
    </row>
    <row r="26" spans="2:29" s="73" customFormat="1" ht="13.5">
      <c r="B26" s="104">
        <v>19</v>
      </c>
      <c r="C26" s="121" t="s">
        <v>1447</v>
      </c>
      <c r="D26" s="119"/>
      <c r="E26" s="107" t="s">
        <v>845</v>
      </c>
      <c r="F26" s="107">
        <v>1</v>
      </c>
      <c r="G26" s="108" t="s">
        <v>1448</v>
      </c>
      <c r="H26" s="109" t="s">
        <v>1449</v>
      </c>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t="s">
        <v>1450</v>
      </c>
      <c r="D27" s="119"/>
      <c r="E27" s="107" t="s">
        <v>845</v>
      </c>
      <c r="F27" s="107">
        <v>220</v>
      </c>
      <c r="G27" s="108" t="s">
        <v>1451</v>
      </c>
      <c r="H27" s="109" t="s">
        <v>1452</v>
      </c>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B07AE052-FC0D-4431-9332-7757961A5042}"/>
  </hyperlinks>
  <pageMargins left="0.7" right="0.7" top="0.75" bottom="0.75" header="0.3" footer="0.3"/>
  <customProperties>
    <customPr name="_pios_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3709-2AD8-44F1-BC6E-0708003191CC}">
  <dimension ref="A1:AC96"/>
  <sheetViews>
    <sheetView showGridLines="0" workbookViewId="0">
      <selection activeCell="C11" sqref="C11"/>
    </sheetView>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4.625" style="69" bestFit="1"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1453</v>
      </c>
      <c r="C2" s="993"/>
      <c r="D2" s="993"/>
      <c r="E2" s="993"/>
      <c r="F2" s="993"/>
      <c r="G2" s="993"/>
      <c r="H2" s="993"/>
      <c r="I2" s="994"/>
      <c r="J2" s="70" t="s">
        <v>816</v>
      </c>
      <c r="K2" s="998" t="s">
        <v>103</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1067</v>
      </c>
      <c r="T5" s="73"/>
      <c r="Z5" s="76" t="s">
        <v>827</v>
      </c>
      <c r="AA5" s="76"/>
      <c r="AB5" s="76"/>
      <c r="AC5" s="77"/>
    </row>
    <row r="6" spans="1:29" ht="32.1" customHeight="1">
      <c r="B6" s="78" t="s">
        <v>828</v>
      </c>
      <c r="C6" s="987"/>
      <c r="D6" s="984"/>
      <c r="E6" s="984"/>
      <c r="F6" s="984"/>
      <c r="G6" s="984"/>
      <c r="H6" s="986"/>
      <c r="I6" s="102" t="s">
        <v>829</v>
      </c>
      <c r="J6" s="988" t="s">
        <v>830</v>
      </c>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147" t="s">
        <v>1454</v>
      </c>
      <c r="D8" s="119" t="s">
        <v>42</v>
      </c>
      <c r="E8" s="107" t="s">
        <v>845</v>
      </c>
      <c r="F8" s="107">
        <v>8</v>
      </c>
      <c r="G8" s="108" t="s">
        <v>1455</v>
      </c>
      <c r="H8" s="109" t="s">
        <v>1456</v>
      </c>
      <c r="I8" s="110">
        <v>1</v>
      </c>
      <c r="J8" s="111" t="s">
        <v>1457</v>
      </c>
      <c r="K8" s="112" t="s">
        <v>42</v>
      </c>
      <c r="L8" s="113" t="s">
        <v>1354</v>
      </c>
      <c r="M8" s="112">
        <v>1000</v>
      </c>
      <c r="N8" s="114" t="s">
        <v>1458</v>
      </c>
      <c r="O8" s="114" t="s">
        <v>1456</v>
      </c>
      <c r="P8" s="112"/>
      <c r="Q8" s="112"/>
      <c r="R8" s="114"/>
      <c r="S8" s="134"/>
      <c r="Z8" s="116" t="s">
        <v>848</v>
      </c>
      <c r="AA8" s="116" t="s">
        <v>849</v>
      </c>
      <c r="AB8" s="116" t="s">
        <v>850</v>
      </c>
      <c r="AC8" s="116" t="s">
        <v>851</v>
      </c>
    </row>
    <row r="9" spans="1:29" s="73" customFormat="1" ht="13.5">
      <c r="B9" s="104">
        <v>2</v>
      </c>
      <c r="C9" s="147" t="s">
        <v>1459</v>
      </c>
      <c r="D9" s="119" t="s">
        <v>42</v>
      </c>
      <c r="E9" s="107" t="s">
        <v>845</v>
      </c>
      <c r="F9" s="107">
        <v>8</v>
      </c>
      <c r="G9" s="108" t="s">
        <v>1460</v>
      </c>
      <c r="H9" s="109" t="s">
        <v>1461</v>
      </c>
      <c r="I9" s="110">
        <v>2</v>
      </c>
      <c r="J9" s="111" t="s">
        <v>1462</v>
      </c>
      <c r="K9" s="119" t="s">
        <v>42</v>
      </c>
      <c r="L9" s="113" t="s">
        <v>1354</v>
      </c>
      <c r="M9" s="112">
        <v>1000</v>
      </c>
      <c r="N9" s="114" t="s">
        <v>1461</v>
      </c>
      <c r="O9" s="114" t="s">
        <v>1461</v>
      </c>
      <c r="P9" s="112"/>
      <c r="Q9" s="112"/>
      <c r="R9" s="114"/>
      <c r="S9" s="134"/>
      <c r="T9" s="71"/>
      <c r="Z9" s="116" t="s">
        <v>857</v>
      </c>
      <c r="AA9" s="116" t="s">
        <v>858</v>
      </c>
      <c r="AB9" s="116" t="s">
        <v>859</v>
      </c>
      <c r="AC9" s="116" t="s">
        <v>860</v>
      </c>
    </row>
    <row r="10" spans="1:29" s="73" customFormat="1" ht="13.5">
      <c r="B10" s="104">
        <v>3</v>
      </c>
      <c r="C10" s="147" t="s">
        <v>1463</v>
      </c>
      <c r="D10" s="119" t="s">
        <v>42</v>
      </c>
      <c r="E10" s="107" t="s">
        <v>845</v>
      </c>
      <c r="F10" s="107">
        <v>12</v>
      </c>
      <c r="G10" s="108" t="s">
        <v>1464</v>
      </c>
      <c r="H10" s="109" t="s">
        <v>1465</v>
      </c>
      <c r="I10" s="110">
        <v>3</v>
      </c>
      <c r="J10" s="111" t="s">
        <v>1466</v>
      </c>
      <c r="K10" s="119" t="s">
        <v>42</v>
      </c>
      <c r="L10" s="113" t="s">
        <v>1354</v>
      </c>
      <c r="M10" s="112">
        <v>1000</v>
      </c>
      <c r="N10" s="114" t="s">
        <v>1464</v>
      </c>
      <c r="O10" s="114" t="s">
        <v>1465</v>
      </c>
      <c r="P10" s="112"/>
      <c r="Q10" s="112"/>
      <c r="R10" s="114"/>
      <c r="S10" s="134"/>
      <c r="T10" s="71"/>
      <c r="Z10" s="116" t="s">
        <v>865</v>
      </c>
      <c r="AA10" s="116" t="s">
        <v>866</v>
      </c>
      <c r="AB10" s="116" t="s">
        <v>867</v>
      </c>
      <c r="AC10" s="116" t="s">
        <v>868</v>
      </c>
    </row>
    <row r="11" spans="1:29" s="73" customFormat="1" ht="13.5">
      <c r="B11" s="104">
        <v>4</v>
      </c>
      <c r="C11" s="147" t="s">
        <v>1068</v>
      </c>
      <c r="D11" s="119" t="s">
        <v>42</v>
      </c>
      <c r="E11" s="107" t="s">
        <v>845</v>
      </c>
      <c r="F11" s="107">
        <v>18</v>
      </c>
      <c r="G11" s="108" t="s">
        <v>1467</v>
      </c>
      <c r="H11" s="109" t="s">
        <v>1468</v>
      </c>
      <c r="I11" s="110">
        <v>4</v>
      </c>
      <c r="J11" s="147" t="s">
        <v>1271</v>
      </c>
      <c r="K11" s="119" t="s">
        <v>42</v>
      </c>
      <c r="L11" s="113" t="s">
        <v>1354</v>
      </c>
      <c r="M11" s="112">
        <v>1000</v>
      </c>
      <c r="N11" s="108" t="s">
        <v>1467</v>
      </c>
      <c r="O11" s="108" t="s">
        <v>1468</v>
      </c>
      <c r="P11" s="119"/>
      <c r="Q11" s="119"/>
      <c r="R11" s="108"/>
      <c r="S11" s="134"/>
      <c r="Z11" s="116" t="s">
        <v>873</v>
      </c>
      <c r="AA11" s="116" t="s">
        <v>858</v>
      </c>
      <c r="AB11" s="116" t="s">
        <v>874</v>
      </c>
      <c r="AC11" s="116" t="s">
        <v>875</v>
      </c>
    </row>
    <row r="12" spans="1:29" s="73" customFormat="1" ht="27">
      <c r="B12" s="104">
        <v>5</v>
      </c>
      <c r="C12" s="105" t="s">
        <v>1469</v>
      </c>
      <c r="D12" s="119"/>
      <c r="E12" s="107" t="s">
        <v>845</v>
      </c>
      <c r="F12" s="107">
        <v>6</v>
      </c>
      <c r="G12" s="108" t="s">
        <v>1470</v>
      </c>
      <c r="H12" s="109" t="s">
        <v>1471</v>
      </c>
      <c r="I12" s="110">
        <v>5</v>
      </c>
      <c r="J12" s="118" t="s">
        <v>1472</v>
      </c>
      <c r="K12" s="119"/>
      <c r="L12" s="113" t="s">
        <v>1354</v>
      </c>
      <c r="M12" s="112">
        <v>1000</v>
      </c>
      <c r="N12" s="108" t="s">
        <v>1470</v>
      </c>
      <c r="O12" s="108" t="s">
        <v>1471</v>
      </c>
      <c r="P12" s="119"/>
      <c r="Q12" s="119"/>
      <c r="R12" s="108"/>
      <c r="S12" s="134"/>
      <c r="Z12" s="116" t="s">
        <v>880</v>
      </c>
      <c r="AA12" s="116" t="s">
        <v>881</v>
      </c>
      <c r="AB12" s="116" t="s">
        <v>882</v>
      </c>
      <c r="AC12" s="116" t="s">
        <v>883</v>
      </c>
    </row>
    <row r="13" spans="1:29" s="73" customFormat="1" ht="13.5">
      <c r="B13" s="104">
        <v>6</v>
      </c>
      <c r="C13" s="105" t="s">
        <v>1473</v>
      </c>
      <c r="D13" s="119"/>
      <c r="E13" s="107" t="s">
        <v>845</v>
      </c>
      <c r="F13" s="107">
        <v>1</v>
      </c>
      <c r="G13" s="108" t="s">
        <v>1474</v>
      </c>
      <c r="H13" s="109" t="s">
        <v>1475</v>
      </c>
      <c r="I13" s="110">
        <v>6</v>
      </c>
      <c r="J13" s="118" t="s">
        <v>1475</v>
      </c>
      <c r="K13" s="119"/>
      <c r="L13" s="113" t="s">
        <v>1354</v>
      </c>
      <c r="M13" s="112">
        <v>1000</v>
      </c>
      <c r="N13" s="108" t="s">
        <v>1474</v>
      </c>
      <c r="O13" s="108" t="s">
        <v>1475</v>
      </c>
      <c r="P13" s="119"/>
      <c r="Q13" s="112"/>
      <c r="R13" s="114"/>
      <c r="S13" s="134"/>
      <c r="Z13" s="116" t="s">
        <v>888</v>
      </c>
      <c r="AA13" s="116" t="s">
        <v>889</v>
      </c>
      <c r="AB13" s="116" t="s">
        <v>890</v>
      </c>
      <c r="AC13" s="116" t="s">
        <v>891</v>
      </c>
    </row>
    <row r="14" spans="1:29" s="73" customFormat="1" ht="13.5">
      <c r="B14" s="104">
        <v>7</v>
      </c>
      <c r="C14" s="105" t="s">
        <v>1291</v>
      </c>
      <c r="D14" s="119"/>
      <c r="E14" s="107" t="s">
        <v>845</v>
      </c>
      <c r="F14" s="107">
        <v>4</v>
      </c>
      <c r="G14" s="108" t="s">
        <v>1476</v>
      </c>
      <c r="H14" s="109" t="s">
        <v>1477</v>
      </c>
      <c r="I14" s="110">
        <v>7</v>
      </c>
      <c r="J14" s="118" t="s">
        <v>1144</v>
      </c>
      <c r="K14" s="106"/>
      <c r="L14" s="113" t="s">
        <v>1354</v>
      </c>
      <c r="M14" s="112">
        <v>1000</v>
      </c>
      <c r="N14" s="108" t="s">
        <v>1476</v>
      </c>
      <c r="O14" s="108" t="s">
        <v>1477</v>
      </c>
      <c r="P14" s="119"/>
      <c r="Q14" s="112"/>
      <c r="R14" s="114"/>
      <c r="S14" s="134"/>
      <c r="Z14" s="116" t="s">
        <v>896</v>
      </c>
      <c r="AA14" s="116" t="s">
        <v>849</v>
      </c>
      <c r="AB14" s="116" t="s">
        <v>897</v>
      </c>
      <c r="AC14" s="116" t="s">
        <v>898</v>
      </c>
    </row>
    <row r="15" spans="1:29" s="73" customFormat="1" ht="27">
      <c r="B15" s="104">
        <v>8</v>
      </c>
      <c r="C15" s="105" t="s">
        <v>1478</v>
      </c>
      <c r="D15" s="119"/>
      <c r="E15" s="107" t="s">
        <v>845</v>
      </c>
      <c r="F15" s="107">
        <v>1</v>
      </c>
      <c r="G15" s="108" t="s">
        <v>1479</v>
      </c>
      <c r="H15" s="109" t="s">
        <v>1480</v>
      </c>
      <c r="I15" s="110">
        <v>8</v>
      </c>
      <c r="J15" s="118" t="s">
        <v>1481</v>
      </c>
      <c r="K15" s="106"/>
      <c r="L15" s="113" t="s">
        <v>1354</v>
      </c>
      <c r="M15" s="112">
        <v>1000</v>
      </c>
      <c r="N15" s="108" t="s">
        <v>1479</v>
      </c>
      <c r="O15" s="108" t="s">
        <v>1480</v>
      </c>
      <c r="P15" s="119"/>
      <c r="Q15" s="112"/>
      <c r="R15" s="114"/>
      <c r="S15" s="134"/>
      <c r="Z15" s="116" t="s">
        <v>903</v>
      </c>
      <c r="AA15" s="116" t="s">
        <v>858</v>
      </c>
      <c r="AB15" s="116" t="s">
        <v>904</v>
      </c>
      <c r="AC15" s="116" t="s">
        <v>860</v>
      </c>
    </row>
    <row r="16" spans="1:29" s="73" customFormat="1" ht="27">
      <c r="B16" s="104">
        <v>9</v>
      </c>
      <c r="C16" s="105" t="s">
        <v>1350</v>
      </c>
      <c r="D16" s="119"/>
      <c r="E16" s="107" t="s">
        <v>845</v>
      </c>
      <c r="F16" s="107">
        <v>1</v>
      </c>
      <c r="G16" s="108" t="s">
        <v>1482</v>
      </c>
      <c r="H16" s="109" t="s">
        <v>1483</v>
      </c>
      <c r="I16" s="110">
        <v>9</v>
      </c>
      <c r="J16" s="118" t="s">
        <v>1353</v>
      </c>
      <c r="K16" s="106"/>
      <c r="L16" s="113" t="s">
        <v>1354</v>
      </c>
      <c r="M16" s="112">
        <v>1000</v>
      </c>
      <c r="N16" s="108" t="s">
        <v>1482</v>
      </c>
      <c r="O16" s="108" t="s">
        <v>1484</v>
      </c>
      <c r="P16" s="119"/>
      <c r="Q16" s="112"/>
      <c r="R16" s="114"/>
      <c r="S16" s="134"/>
      <c r="Z16" s="116" t="s">
        <v>909</v>
      </c>
      <c r="AA16" s="116" t="s">
        <v>858</v>
      </c>
      <c r="AB16" s="116" t="s">
        <v>910</v>
      </c>
      <c r="AC16" s="116" t="s">
        <v>911</v>
      </c>
    </row>
    <row r="17" spans="2:29" s="73" customFormat="1" ht="13.5">
      <c r="B17" s="104">
        <v>10</v>
      </c>
      <c r="C17" s="105"/>
      <c r="D17" s="119"/>
      <c r="E17" s="107"/>
      <c r="F17" s="107"/>
      <c r="G17" s="108"/>
      <c r="H17" s="109"/>
      <c r="I17" s="110">
        <v>10</v>
      </c>
      <c r="J17" s="117"/>
      <c r="K17" s="120"/>
      <c r="L17" s="113"/>
      <c r="M17" s="112"/>
      <c r="N17" s="108"/>
      <c r="O17" s="108"/>
      <c r="P17" s="112"/>
      <c r="Q17" s="112"/>
      <c r="R17" s="114"/>
      <c r="S17" s="134"/>
      <c r="Z17" s="116" t="s">
        <v>920</v>
      </c>
      <c r="AA17" s="116" t="s">
        <v>849</v>
      </c>
      <c r="AB17" s="116" t="s">
        <v>921</v>
      </c>
      <c r="AC17" s="116" t="s">
        <v>922</v>
      </c>
    </row>
    <row r="18" spans="2:29" s="73" customFormat="1" ht="13.5">
      <c r="B18" s="104">
        <v>11</v>
      </c>
      <c r="C18" s="105"/>
      <c r="D18" s="119"/>
      <c r="E18" s="107"/>
      <c r="F18" s="107"/>
      <c r="G18" s="108"/>
      <c r="H18" s="109"/>
      <c r="I18" s="110">
        <v>11</v>
      </c>
      <c r="J18" s="117"/>
      <c r="K18" s="112"/>
      <c r="L18" s="113"/>
      <c r="M18" s="112"/>
      <c r="N18" s="114"/>
      <c r="O18" s="114"/>
      <c r="P18" s="112"/>
      <c r="Q18" s="112"/>
      <c r="R18" s="114"/>
      <c r="S18" s="134"/>
      <c r="Z18" s="116" t="s">
        <v>931</v>
      </c>
      <c r="AA18" s="116" t="s">
        <v>932</v>
      </c>
      <c r="AB18" s="116" t="s">
        <v>933</v>
      </c>
      <c r="AC18" s="116" t="s">
        <v>934</v>
      </c>
    </row>
    <row r="19" spans="2:29" s="73" customFormat="1" ht="13.5">
      <c r="B19" s="104">
        <v>12</v>
      </c>
      <c r="C19" s="121"/>
      <c r="D19" s="119"/>
      <c r="E19" s="107"/>
      <c r="F19" s="107"/>
      <c r="G19" s="108"/>
      <c r="H19" s="109"/>
      <c r="I19" s="110">
        <v>12</v>
      </c>
      <c r="J19" s="117"/>
      <c r="K19" s="120"/>
      <c r="L19" s="113"/>
      <c r="M19" s="112"/>
      <c r="N19" s="114"/>
      <c r="O19" s="114"/>
      <c r="P19" s="112"/>
      <c r="Q19" s="112"/>
      <c r="R19" s="114"/>
      <c r="S19" s="134"/>
      <c r="Z19" s="116" t="s">
        <v>941</v>
      </c>
      <c r="AA19" s="116" t="s">
        <v>942</v>
      </c>
      <c r="AB19" s="116" t="s">
        <v>943</v>
      </c>
      <c r="AC19" s="116" t="s">
        <v>944</v>
      </c>
    </row>
    <row r="20" spans="2:29" s="73" customFormat="1" ht="13.5">
      <c r="B20" s="104">
        <v>13</v>
      </c>
      <c r="C20" s="121"/>
      <c r="D20" s="119"/>
      <c r="E20" s="107"/>
      <c r="F20" s="107"/>
      <c r="G20" s="108"/>
      <c r="H20" s="109"/>
      <c r="I20" s="110">
        <v>13</v>
      </c>
      <c r="J20" s="117"/>
      <c r="K20" s="120"/>
      <c r="L20" s="113"/>
      <c r="M20" s="112"/>
      <c r="N20" s="114"/>
      <c r="O20" s="114"/>
      <c r="P20" s="112"/>
      <c r="Q20" s="112"/>
      <c r="R20" s="114"/>
      <c r="S20" s="134"/>
      <c r="Z20" s="116" t="s">
        <v>952</v>
      </c>
      <c r="AA20" s="116" t="s">
        <v>942</v>
      </c>
      <c r="AB20" s="116" t="s">
        <v>953</v>
      </c>
      <c r="AC20" s="116" t="s">
        <v>954</v>
      </c>
    </row>
    <row r="21" spans="2:29" s="73" customFormat="1" ht="13.5">
      <c r="B21" s="104">
        <v>14</v>
      </c>
      <c r="C21" s="121"/>
      <c r="D21" s="119"/>
      <c r="E21" s="107"/>
      <c r="F21" s="107"/>
      <c r="G21" s="108"/>
      <c r="H21" s="109"/>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c r="D22" s="119"/>
      <c r="E22" s="107"/>
      <c r="F22" s="107"/>
      <c r="G22" s="108"/>
      <c r="H22" s="109"/>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BF0191A1-AA1D-4C0C-A1BF-8872A36D994B}"/>
  </hyperlinks>
  <pageMargins left="0.7" right="0.7" top="0.75" bottom="0.75" header="0.3" footer="0.3"/>
  <customProperties>
    <customPr name="_pios_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FD0D3-4E7C-47A1-A288-9FBF61EDDF24}">
  <dimension ref="A1:AC96"/>
  <sheetViews>
    <sheetView showGridLines="0" workbookViewId="0"/>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4.625" style="69" bestFit="1"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1485</v>
      </c>
      <c r="C2" s="993"/>
      <c r="D2" s="993"/>
      <c r="E2" s="993"/>
      <c r="F2" s="993"/>
      <c r="G2" s="993"/>
      <c r="H2" s="993"/>
      <c r="I2" s="994"/>
      <c r="J2" s="70" t="s">
        <v>816</v>
      </c>
      <c r="K2" s="998" t="s">
        <v>128</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1067</v>
      </c>
      <c r="T5" s="73"/>
      <c r="Z5" s="76" t="s">
        <v>827</v>
      </c>
      <c r="AA5" s="76"/>
      <c r="AB5" s="76"/>
      <c r="AC5" s="77"/>
    </row>
    <row r="6" spans="1:29" ht="32.1" customHeight="1">
      <c r="B6" s="78" t="s">
        <v>828</v>
      </c>
      <c r="C6" s="987"/>
      <c r="D6" s="984"/>
      <c r="E6" s="984"/>
      <c r="F6" s="984"/>
      <c r="G6" s="984"/>
      <c r="H6" s="986"/>
      <c r="I6" s="102" t="s">
        <v>829</v>
      </c>
      <c r="J6" s="988" t="s">
        <v>830</v>
      </c>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105" t="s">
        <v>1486</v>
      </c>
      <c r="D8" s="119" t="s">
        <v>42</v>
      </c>
      <c r="E8" s="107" t="s">
        <v>845</v>
      </c>
      <c r="F8" s="107">
        <v>5</v>
      </c>
      <c r="G8" s="108" t="s">
        <v>1487</v>
      </c>
      <c r="H8" s="109" t="s">
        <v>1393</v>
      </c>
      <c r="I8" s="110">
        <v>1</v>
      </c>
      <c r="J8" s="117"/>
      <c r="K8" s="112"/>
      <c r="L8" s="113"/>
      <c r="M8" s="112"/>
      <c r="N8" s="114"/>
      <c r="O8" s="114"/>
      <c r="P8" s="112"/>
      <c r="Q8" s="112"/>
      <c r="R8" s="114"/>
      <c r="S8" s="134"/>
      <c r="Z8" s="116" t="s">
        <v>848</v>
      </c>
      <c r="AA8" s="116" t="s">
        <v>849</v>
      </c>
      <c r="AB8" s="116" t="s">
        <v>850</v>
      </c>
      <c r="AC8" s="116" t="s">
        <v>851</v>
      </c>
    </row>
    <row r="9" spans="1:29" s="73" customFormat="1" ht="13.5">
      <c r="B9" s="104">
        <v>2</v>
      </c>
      <c r="C9" s="105" t="s">
        <v>861</v>
      </c>
      <c r="D9" s="119" t="s">
        <v>42</v>
      </c>
      <c r="E9" s="107" t="s">
        <v>845</v>
      </c>
      <c r="F9" s="107">
        <v>4</v>
      </c>
      <c r="G9" s="108" t="s">
        <v>862</v>
      </c>
      <c r="H9" s="109" t="s">
        <v>863</v>
      </c>
      <c r="I9" s="110">
        <v>2</v>
      </c>
      <c r="J9" s="117" t="s">
        <v>864</v>
      </c>
      <c r="K9" s="119" t="s">
        <v>42</v>
      </c>
      <c r="L9" s="113" t="s">
        <v>1488</v>
      </c>
      <c r="M9" s="112">
        <v>1000</v>
      </c>
      <c r="N9" s="114" t="s">
        <v>862</v>
      </c>
      <c r="O9" s="114" t="s">
        <v>863</v>
      </c>
      <c r="P9" s="112"/>
      <c r="Q9" s="112"/>
      <c r="R9" s="114"/>
      <c r="S9" s="134"/>
      <c r="T9" s="71"/>
      <c r="Z9" s="116" t="s">
        <v>857</v>
      </c>
      <c r="AA9" s="116" t="s">
        <v>858</v>
      </c>
      <c r="AB9" s="116" t="s">
        <v>859</v>
      </c>
      <c r="AC9" s="116" t="s">
        <v>860</v>
      </c>
    </row>
    <row r="10" spans="1:29" s="73" customFormat="1" ht="13.5">
      <c r="B10" s="104">
        <v>3</v>
      </c>
      <c r="C10" s="105" t="s">
        <v>1068</v>
      </c>
      <c r="D10" s="119" t="s">
        <v>42</v>
      </c>
      <c r="E10" s="107" t="s">
        <v>845</v>
      </c>
      <c r="F10" s="107">
        <v>18</v>
      </c>
      <c r="G10" s="108" t="s">
        <v>1406</v>
      </c>
      <c r="H10" s="109" t="s">
        <v>1407</v>
      </c>
      <c r="I10" s="110">
        <v>3</v>
      </c>
      <c r="J10" s="117" t="s">
        <v>1271</v>
      </c>
      <c r="K10" s="119" t="s">
        <v>42</v>
      </c>
      <c r="L10" s="113" t="s">
        <v>1354</v>
      </c>
      <c r="M10" s="112">
        <v>1000</v>
      </c>
      <c r="N10" s="114" t="s">
        <v>1406</v>
      </c>
      <c r="O10" s="114" t="s">
        <v>1407</v>
      </c>
      <c r="P10" s="112"/>
      <c r="Q10" s="112"/>
      <c r="R10" s="114"/>
      <c r="S10" s="134"/>
      <c r="T10" s="71"/>
      <c r="Z10" s="116" t="s">
        <v>865</v>
      </c>
      <c r="AA10" s="116" t="s">
        <v>866</v>
      </c>
      <c r="AB10" s="116" t="s">
        <v>867</v>
      </c>
      <c r="AC10" s="116" t="s">
        <v>868</v>
      </c>
    </row>
    <row r="11" spans="1:29" s="73" customFormat="1" ht="13.5">
      <c r="B11" s="104">
        <v>4</v>
      </c>
      <c r="C11" s="105" t="s">
        <v>876</v>
      </c>
      <c r="D11" s="119" t="s">
        <v>42</v>
      </c>
      <c r="E11" s="107" t="s">
        <v>845</v>
      </c>
      <c r="F11" s="107">
        <v>3</v>
      </c>
      <c r="G11" s="108" t="s">
        <v>1489</v>
      </c>
      <c r="H11" s="109" t="s">
        <v>1490</v>
      </c>
      <c r="I11" s="110">
        <v>4</v>
      </c>
      <c r="J11" s="118" t="s">
        <v>879</v>
      </c>
      <c r="K11" s="119" t="s">
        <v>42</v>
      </c>
      <c r="L11" s="113" t="s">
        <v>1354</v>
      </c>
      <c r="M11" s="112">
        <v>1000</v>
      </c>
      <c r="N11" s="108" t="s">
        <v>1489</v>
      </c>
      <c r="O11" s="108" t="s">
        <v>1490</v>
      </c>
      <c r="P11" s="119"/>
      <c r="Q11" s="119"/>
      <c r="R11" s="108"/>
      <c r="S11" s="134"/>
      <c r="Z11" s="116" t="s">
        <v>873</v>
      </c>
      <c r="AA11" s="116" t="s">
        <v>858</v>
      </c>
      <c r="AB11" s="116" t="s">
        <v>874</v>
      </c>
      <c r="AC11" s="116" t="s">
        <v>875</v>
      </c>
    </row>
    <row r="12" spans="1:29" s="73" customFormat="1" ht="13.5">
      <c r="B12" s="104">
        <v>5</v>
      </c>
      <c r="C12" s="105" t="s">
        <v>1491</v>
      </c>
      <c r="D12" s="119" t="s">
        <v>42</v>
      </c>
      <c r="E12" s="107" t="s">
        <v>845</v>
      </c>
      <c r="F12" s="107">
        <v>20</v>
      </c>
      <c r="G12" s="108" t="s">
        <v>1492</v>
      </c>
      <c r="H12" s="109" t="s">
        <v>1493</v>
      </c>
      <c r="I12" s="110">
        <v>5</v>
      </c>
      <c r="J12" s="118" t="s">
        <v>1494</v>
      </c>
      <c r="K12" s="119" t="s">
        <v>42</v>
      </c>
      <c r="L12" s="113" t="s">
        <v>1354</v>
      </c>
      <c r="M12" s="112">
        <v>1000</v>
      </c>
      <c r="N12" s="108" t="s">
        <v>1492</v>
      </c>
      <c r="O12" s="108" t="s">
        <v>1493</v>
      </c>
      <c r="P12" s="119"/>
      <c r="Q12" s="119"/>
      <c r="R12" s="108"/>
      <c r="S12" s="134"/>
      <c r="Z12" s="116" t="s">
        <v>880</v>
      </c>
      <c r="AA12" s="116" t="s">
        <v>881</v>
      </c>
      <c r="AB12" s="116" t="s">
        <v>882</v>
      </c>
      <c r="AC12" s="116" t="s">
        <v>883</v>
      </c>
    </row>
    <row r="13" spans="1:29" s="73" customFormat="1" ht="13.5">
      <c r="B13" s="104">
        <v>6</v>
      </c>
      <c r="C13" s="105" t="s">
        <v>1495</v>
      </c>
      <c r="D13" s="119"/>
      <c r="E13" s="107" t="s">
        <v>913</v>
      </c>
      <c r="F13" s="107">
        <v>8</v>
      </c>
      <c r="G13" s="108" t="s">
        <v>1496</v>
      </c>
      <c r="H13" s="109" t="s">
        <v>1497</v>
      </c>
      <c r="I13" s="110">
        <v>6</v>
      </c>
      <c r="J13" s="118" t="s">
        <v>1498</v>
      </c>
      <c r="K13" s="119" t="s">
        <v>42</v>
      </c>
      <c r="L13" s="113" t="s">
        <v>1354</v>
      </c>
      <c r="M13" s="112">
        <v>1000</v>
      </c>
      <c r="N13" s="108" t="s">
        <v>1496</v>
      </c>
      <c r="O13" s="108" t="s">
        <v>1497</v>
      </c>
      <c r="P13" s="119"/>
      <c r="Q13" s="112"/>
      <c r="R13" s="114"/>
      <c r="S13" s="134"/>
      <c r="Z13" s="116" t="s">
        <v>888</v>
      </c>
      <c r="AA13" s="116" t="s">
        <v>889</v>
      </c>
      <c r="AB13" s="116" t="s">
        <v>890</v>
      </c>
      <c r="AC13" s="116" t="s">
        <v>891</v>
      </c>
    </row>
    <row r="14" spans="1:29" s="73" customFormat="1" ht="13.5">
      <c r="B14" s="104">
        <v>7</v>
      </c>
      <c r="C14" s="105" t="s">
        <v>1499</v>
      </c>
      <c r="D14" s="119"/>
      <c r="E14" s="107" t="s">
        <v>913</v>
      </c>
      <c r="F14" s="107">
        <v>8</v>
      </c>
      <c r="G14" s="108" t="s">
        <v>1500</v>
      </c>
      <c r="H14" s="109" t="s">
        <v>1501</v>
      </c>
      <c r="I14" s="110">
        <v>7</v>
      </c>
      <c r="J14" s="118" t="s">
        <v>1502</v>
      </c>
      <c r="K14" s="106"/>
      <c r="L14" s="113" t="s">
        <v>1354</v>
      </c>
      <c r="M14" s="112">
        <v>1000</v>
      </c>
      <c r="N14" s="108" t="s">
        <v>1500</v>
      </c>
      <c r="O14" s="108" t="s">
        <v>1501</v>
      </c>
      <c r="P14" s="119"/>
      <c r="Q14" s="112"/>
      <c r="R14" s="114"/>
      <c r="S14" s="134"/>
      <c r="Z14" s="116" t="s">
        <v>896</v>
      </c>
      <c r="AA14" s="116" t="s">
        <v>849</v>
      </c>
      <c r="AB14" s="116" t="s">
        <v>897</v>
      </c>
      <c r="AC14" s="116" t="s">
        <v>898</v>
      </c>
    </row>
    <row r="15" spans="1:29" s="73" customFormat="1" ht="13.5">
      <c r="B15" s="104">
        <v>8</v>
      </c>
      <c r="C15" s="105" t="s">
        <v>1503</v>
      </c>
      <c r="D15" s="119"/>
      <c r="E15" s="107" t="s">
        <v>913</v>
      </c>
      <c r="F15" s="107">
        <v>8</v>
      </c>
      <c r="G15" s="108" t="s">
        <v>1504</v>
      </c>
      <c r="H15" s="109" t="s">
        <v>1505</v>
      </c>
      <c r="I15" s="110">
        <v>8</v>
      </c>
      <c r="J15" s="118" t="s">
        <v>1506</v>
      </c>
      <c r="K15" s="106"/>
      <c r="L15" s="113" t="s">
        <v>1354</v>
      </c>
      <c r="M15" s="112">
        <v>1000</v>
      </c>
      <c r="N15" s="108" t="s">
        <v>1504</v>
      </c>
      <c r="O15" s="108" t="s">
        <v>1505</v>
      </c>
      <c r="P15" s="119"/>
      <c r="Q15" s="112"/>
      <c r="R15" s="114"/>
      <c r="S15" s="134"/>
      <c r="Z15" s="116" t="s">
        <v>903</v>
      </c>
      <c r="AA15" s="116" t="s">
        <v>858</v>
      </c>
      <c r="AB15" s="116" t="s">
        <v>904</v>
      </c>
      <c r="AC15" s="116" t="s">
        <v>860</v>
      </c>
    </row>
    <row r="16" spans="1:29" s="73" customFormat="1" ht="13.5">
      <c r="B16" s="104">
        <v>9</v>
      </c>
      <c r="C16" s="105" t="s">
        <v>1507</v>
      </c>
      <c r="D16" s="119"/>
      <c r="E16" s="107" t="s">
        <v>913</v>
      </c>
      <c r="F16" s="107">
        <v>8</v>
      </c>
      <c r="G16" s="108" t="s">
        <v>1508</v>
      </c>
      <c r="H16" s="109" t="s">
        <v>1509</v>
      </c>
      <c r="I16" s="110">
        <v>9</v>
      </c>
      <c r="J16" s="118" t="s">
        <v>1510</v>
      </c>
      <c r="K16" s="106"/>
      <c r="L16" s="113" t="s">
        <v>1354</v>
      </c>
      <c r="M16" s="112">
        <v>1000</v>
      </c>
      <c r="N16" s="108" t="s">
        <v>1508</v>
      </c>
      <c r="O16" s="108" t="s">
        <v>1509</v>
      </c>
      <c r="P16" s="119"/>
      <c r="Q16" s="112"/>
      <c r="R16" s="114"/>
      <c r="S16" s="134"/>
      <c r="Z16" s="116" t="s">
        <v>909</v>
      </c>
      <c r="AA16" s="116" t="s">
        <v>858</v>
      </c>
      <c r="AB16" s="116" t="s">
        <v>910</v>
      </c>
      <c r="AC16" s="116" t="s">
        <v>911</v>
      </c>
    </row>
    <row r="17" spans="2:29" s="73" customFormat="1" ht="13.5">
      <c r="B17" s="104">
        <v>10</v>
      </c>
      <c r="C17" s="105" t="s">
        <v>1511</v>
      </c>
      <c r="D17" s="119"/>
      <c r="E17" s="107" t="s">
        <v>845</v>
      </c>
      <c r="F17" s="107">
        <v>1</v>
      </c>
      <c r="G17" s="108" t="s">
        <v>1512</v>
      </c>
      <c r="H17" s="109" t="s">
        <v>1513</v>
      </c>
      <c r="I17" s="110">
        <v>10</v>
      </c>
      <c r="J17" s="117" t="s">
        <v>1514</v>
      </c>
      <c r="K17" s="120"/>
      <c r="L17" s="113" t="s">
        <v>1354</v>
      </c>
      <c r="M17" s="112">
        <v>1000</v>
      </c>
      <c r="N17" s="108" t="s">
        <v>1512</v>
      </c>
      <c r="O17" s="108" t="s">
        <v>1513</v>
      </c>
      <c r="P17" s="112"/>
      <c r="Q17" s="112"/>
      <c r="R17" s="114"/>
      <c r="S17" s="134"/>
      <c r="Z17" s="116" t="s">
        <v>920</v>
      </c>
      <c r="AA17" s="116" t="s">
        <v>849</v>
      </c>
      <c r="AB17" s="116" t="s">
        <v>921</v>
      </c>
      <c r="AC17" s="116" t="s">
        <v>922</v>
      </c>
    </row>
    <row r="18" spans="2:29" s="73" customFormat="1" ht="13.5">
      <c r="B18" s="104">
        <v>11</v>
      </c>
      <c r="C18" s="105"/>
      <c r="D18" s="119"/>
      <c r="E18" s="107"/>
      <c r="F18" s="107"/>
      <c r="G18" s="108"/>
      <c r="H18" s="109"/>
      <c r="I18" s="110">
        <v>11</v>
      </c>
      <c r="J18" s="117"/>
      <c r="K18" s="112"/>
      <c r="L18" s="113"/>
      <c r="M18" s="112"/>
      <c r="N18" s="114"/>
      <c r="O18" s="114"/>
      <c r="P18" s="112"/>
      <c r="Q18" s="112"/>
      <c r="R18" s="114"/>
      <c r="S18" s="134"/>
      <c r="Z18" s="116" t="s">
        <v>931</v>
      </c>
      <c r="AA18" s="116" t="s">
        <v>932</v>
      </c>
      <c r="AB18" s="116" t="s">
        <v>933</v>
      </c>
      <c r="AC18" s="116" t="s">
        <v>934</v>
      </c>
    </row>
    <row r="19" spans="2:29" s="73" customFormat="1" ht="13.5">
      <c r="B19" s="104">
        <v>12</v>
      </c>
      <c r="C19" s="121"/>
      <c r="D19" s="119"/>
      <c r="E19" s="107"/>
      <c r="F19" s="107"/>
      <c r="G19" s="108"/>
      <c r="H19" s="109"/>
      <c r="I19" s="110">
        <v>12</v>
      </c>
      <c r="J19" s="117"/>
      <c r="K19" s="120"/>
      <c r="L19" s="113"/>
      <c r="M19" s="112"/>
      <c r="N19" s="114"/>
      <c r="O19" s="114"/>
      <c r="P19" s="112"/>
      <c r="Q19" s="112"/>
      <c r="R19" s="114"/>
      <c r="S19" s="134"/>
      <c r="Z19" s="116" t="s">
        <v>941</v>
      </c>
      <c r="AA19" s="116" t="s">
        <v>942</v>
      </c>
      <c r="AB19" s="116" t="s">
        <v>943</v>
      </c>
      <c r="AC19" s="116" t="s">
        <v>944</v>
      </c>
    </row>
    <row r="20" spans="2:29" s="73" customFormat="1" ht="13.5">
      <c r="B20" s="104">
        <v>13</v>
      </c>
      <c r="C20" s="121"/>
      <c r="D20" s="119"/>
      <c r="E20" s="107"/>
      <c r="F20" s="107"/>
      <c r="G20" s="108"/>
      <c r="H20" s="109"/>
      <c r="I20" s="110">
        <v>13</v>
      </c>
      <c r="J20" s="117"/>
      <c r="K20" s="120"/>
      <c r="L20" s="113"/>
      <c r="M20" s="112"/>
      <c r="N20" s="114"/>
      <c r="O20" s="114"/>
      <c r="P20" s="112"/>
      <c r="Q20" s="112"/>
      <c r="R20" s="114"/>
      <c r="S20" s="134"/>
      <c r="Z20" s="116" t="s">
        <v>952</v>
      </c>
      <c r="AA20" s="116" t="s">
        <v>942</v>
      </c>
      <c r="AB20" s="116" t="s">
        <v>953</v>
      </c>
      <c r="AC20" s="116" t="s">
        <v>954</v>
      </c>
    </row>
    <row r="21" spans="2:29" s="73" customFormat="1" ht="13.5">
      <c r="B21" s="104">
        <v>14</v>
      </c>
      <c r="C21" s="121"/>
      <c r="D21" s="119"/>
      <c r="E21" s="107"/>
      <c r="F21" s="107"/>
      <c r="G21" s="108"/>
      <c r="H21" s="109"/>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c r="D22" s="119"/>
      <c r="E22" s="107"/>
      <c r="F22" s="107"/>
      <c r="G22" s="108"/>
      <c r="H22" s="109"/>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1D690B4A-6CD0-474F-94E5-EF251B3F2A90}"/>
  </hyperlinks>
  <pageMargins left="0.7" right="0.7" top="0.75" bottom="0.75" header="0.3" footer="0.3"/>
  <customProperties>
    <customPr name="_pios_i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5BAC-E2CD-4BD9-B686-08ABB8D55D3D}">
  <dimension ref="A1:AC96"/>
  <sheetViews>
    <sheetView showGridLines="0" workbookViewId="0">
      <selection activeCell="G13" sqref="G13"/>
    </sheetView>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1515</v>
      </c>
      <c r="C2" s="993"/>
      <c r="D2" s="993"/>
      <c r="E2" s="993"/>
      <c r="F2" s="993"/>
      <c r="G2" s="993"/>
      <c r="H2" s="993"/>
      <c r="I2" s="994"/>
      <c r="J2" s="70" t="s">
        <v>816</v>
      </c>
      <c r="K2" s="998" t="s">
        <v>1516</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c r="D6" s="984"/>
      <c r="E6" s="984"/>
      <c r="F6" s="984"/>
      <c r="G6" s="984"/>
      <c r="H6" s="986"/>
      <c r="I6" s="102" t="s">
        <v>829</v>
      </c>
      <c r="J6" s="988" t="s">
        <v>830</v>
      </c>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105" t="s">
        <v>1517</v>
      </c>
      <c r="D8" s="119"/>
      <c r="E8" s="107" t="s">
        <v>845</v>
      </c>
      <c r="F8" s="107">
        <v>35</v>
      </c>
      <c r="G8" s="108" t="s">
        <v>1518</v>
      </c>
      <c r="H8" s="109" t="s">
        <v>1519</v>
      </c>
      <c r="I8" s="110">
        <v>1</v>
      </c>
      <c r="J8" s="117" t="s">
        <v>1520</v>
      </c>
      <c r="K8" s="112"/>
      <c r="L8" s="113" t="s">
        <v>1354</v>
      </c>
      <c r="M8" s="112">
        <v>1000</v>
      </c>
      <c r="N8" s="114" t="s">
        <v>1518</v>
      </c>
      <c r="O8" s="114" t="s">
        <v>1519</v>
      </c>
      <c r="P8" s="112"/>
      <c r="Q8" s="112"/>
      <c r="R8" s="114"/>
      <c r="S8" s="134"/>
      <c r="Z8" s="116" t="s">
        <v>848</v>
      </c>
      <c r="AA8" s="116" t="s">
        <v>849</v>
      </c>
      <c r="AB8" s="116" t="s">
        <v>850</v>
      </c>
      <c r="AC8" s="116" t="s">
        <v>851</v>
      </c>
    </row>
    <row r="9" spans="1:29" s="73" customFormat="1" ht="13.5">
      <c r="B9" s="104">
        <v>2</v>
      </c>
      <c r="C9" s="105" t="s">
        <v>1521</v>
      </c>
      <c r="D9" s="119"/>
      <c r="E9" s="107" t="s">
        <v>845</v>
      </c>
      <c r="F9" s="107">
        <v>6</v>
      </c>
      <c r="G9" s="108" t="s">
        <v>1522</v>
      </c>
      <c r="H9" s="109" t="s">
        <v>1523</v>
      </c>
      <c r="I9" s="110">
        <v>2</v>
      </c>
      <c r="J9" s="117" t="s">
        <v>1524</v>
      </c>
      <c r="K9" s="119"/>
      <c r="L9" s="113" t="s">
        <v>1354</v>
      </c>
      <c r="M9" s="112">
        <v>1000</v>
      </c>
      <c r="N9" s="114" t="s">
        <v>1522</v>
      </c>
      <c r="O9" s="114" t="s">
        <v>1523</v>
      </c>
      <c r="P9" s="112"/>
      <c r="Q9" s="112"/>
      <c r="R9" s="114"/>
      <c r="S9" s="134"/>
      <c r="T9" s="71"/>
      <c r="Z9" s="116" t="s">
        <v>857</v>
      </c>
      <c r="AA9" s="116" t="s">
        <v>858</v>
      </c>
      <c r="AB9" s="116" t="s">
        <v>859</v>
      </c>
      <c r="AC9" s="116" t="s">
        <v>860</v>
      </c>
    </row>
    <row r="10" spans="1:29" s="73" customFormat="1" ht="13.5">
      <c r="B10" s="104">
        <v>3</v>
      </c>
      <c r="C10" s="105" t="s">
        <v>852</v>
      </c>
      <c r="D10" s="119"/>
      <c r="E10" s="107" t="s">
        <v>845</v>
      </c>
      <c r="F10" s="107">
        <v>4</v>
      </c>
      <c r="G10" s="108" t="s">
        <v>853</v>
      </c>
      <c r="H10" s="109" t="s">
        <v>854</v>
      </c>
      <c r="I10" s="110">
        <v>3</v>
      </c>
      <c r="J10" s="117" t="s">
        <v>855</v>
      </c>
      <c r="K10" s="119"/>
      <c r="L10" s="113" t="s">
        <v>1354</v>
      </c>
      <c r="M10" s="112">
        <v>1000</v>
      </c>
      <c r="N10" s="114" t="s">
        <v>853</v>
      </c>
      <c r="O10" s="114" t="s">
        <v>854</v>
      </c>
      <c r="P10" s="112"/>
      <c r="Q10" s="112"/>
      <c r="R10" s="114"/>
      <c r="S10" s="134"/>
      <c r="T10" s="71"/>
      <c r="Z10" s="116" t="s">
        <v>865</v>
      </c>
      <c r="AA10" s="116" t="s">
        <v>866</v>
      </c>
      <c r="AB10" s="116" t="s">
        <v>867</v>
      </c>
      <c r="AC10" s="116" t="s">
        <v>868</v>
      </c>
    </row>
    <row r="11" spans="1:29" s="73" customFormat="1" ht="13.5">
      <c r="B11" s="104">
        <v>4</v>
      </c>
      <c r="C11" s="105" t="s">
        <v>861</v>
      </c>
      <c r="D11" s="119"/>
      <c r="E11" s="107" t="s">
        <v>845</v>
      </c>
      <c r="F11" s="107">
        <v>4</v>
      </c>
      <c r="G11" s="108" t="s">
        <v>862</v>
      </c>
      <c r="H11" s="109" t="s">
        <v>863</v>
      </c>
      <c r="I11" s="110">
        <v>4</v>
      </c>
      <c r="J11" s="118" t="s">
        <v>864</v>
      </c>
      <c r="K11" s="119"/>
      <c r="L11" s="113" t="s">
        <v>1354</v>
      </c>
      <c r="M11" s="112">
        <v>1000</v>
      </c>
      <c r="N11" s="108" t="s">
        <v>862</v>
      </c>
      <c r="O11" s="108" t="s">
        <v>863</v>
      </c>
      <c r="P11" s="119"/>
      <c r="Q11" s="119"/>
      <c r="R11" s="108"/>
      <c r="S11" s="134"/>
      <c r="Z11" s="116" t="s">
        <v>873</v>
      </c>
      <c r="AA11" s="116" t="s">
        <v>858</v>
      </c>
      <c r="AB11" s="116" t="s">
        <v>874</v>
      </c>
      <c r="AC11" s="116" t="s">
        <v>875</v>
      </c>
    </row>
    <row r="12" spans="1:29" s="73" customFormat="1" ht="13.5">
      <c r="B12" s="104">
        <v>5</v>
      </c>
      <c r="C12" s="105" t="s">
        <v>1525</v>
      </c>
      <c r="D12" s="119"/>
      <c r="E12" s="107" t="s">
        <v>1526</v>
      </c>
      <c r="F12" s="107">
        <v>8</v>
      </c>
      <c r="G12" s="108" t="s">
        <v>1527</v>
      </c>
      <c r="H12" s="109" t="s">
        <v>1528</v>
      </c>
      <c r="I12" s="110">
        <v>5</v>
      </c>
      <c r="J12" s="118" t="s">
        <v>1529</v>
      </c>
      <c r="K12" s="119"/>
      <c r="L12" s="113" t="s">
        <v>1354</v>
      </c>
      <c r="M12" s="112">
        <v>1000</v>
      </c>
      <c r="N12" s="108" t="s">
        <v>1527</v>
      </c>
      <c r="O12" s="108" t="s">
        <v>1528</v>
      </c>
      <c r="P12" s="119"/>
      <c r="Q12" s="119"/>
      <c r="R12" s="108"/>
      <c r="S12" s="134"/>
      <c r="Z12" s="116" t="s">
        <v>880</v>
      </c>
      <c r="AA12" s="116" t="s">
        <v>881</v>
      </c>
      <c r="AB12" s="116" t="s">
        <v>882</v>
      </c>
      <c r="AC12" s="116" t="s">
        <v>883</v>
      </c>
    </row>
    <row r="13" spans="1:29" s="73" customFormat="1" ht="13.5">
      <c r="B13" s="104">
        <v>6</v>
      </c>
      <c r="C13" s="105" t="s">
        <v>1068</v>
      </c>
      <c r="D13" s="119"/>
      <c r="E13" s="107" t="s">
        <v>845</v>
      </c>
      <c r="F13" s="107">
        <v>18</v>
      </c>
      <c r="G13" s="108" t="s">
        <v>1069</v>
      </c>
      <c r="H13" s="109" t="s">
        <v>1070</v>
      </c>
      <c r="I13" s="110">
        <v>6</v>
      </c>
      <c r="J13" s="118" t="s">
        <v>1271</v>
      </c>
      <c r="K13" s="119"/>
      <c r="L13" s="113" t="s">
        <v>1354</v>
      </c>
      <c r="M13" s="112">
        <v>1000</v>
      </c>
      <c r="N13" s="108" t="s">
        <v>1069</v>
      </c>
      <c r="O13" s="108" t="s">
        <v>1070</v>
      </c>
      <c r="P13" s="119"/>
      <c r="Q13" s="112"/>
      <c r="R13" s="114"/>
      <c r="S13" s="134"/>
      <c r="Z13" s="116" t="s">
        <v>888</v>
      </c>
      <c r="AA13" s="116" t="s">
        <v>889</v>
      </c>
      <c r="AB13" s="116" t="s">
        <v>890</v>
      </c>
      <c r="AC13" s="116" t="s">
        <v>891</v>
      </c>
    </row>
    <row r="14" spans="1:29" s="73" customFormat="1" ht="13.5">
      <c r="B14" s="104">
        <v>7</v>
      </c>
      <c r="C14" s="147" t="s">
        <v>912</v>
      </c>
      <c r="D14" s="119"/>
      <c r="E14" s="107" t="s">
        <v>1526</v>
      </c>
      <c r="F14" s="107">
        <v>8</v>
      </c>
      <c r="G14" s="108" t="s">
        <v>1530</v>
      </c>
      <c r="H14" s="109" t="s">
        <v>1531</v>
      </c>
      <c r="I14" s="110">
        <v>7</v>
      </c>
      <c r="J14" s="118" t="s">
        <v>1532</v>
      </c>
      <c r="K14" s="106"/>
      <c r="L14" s="113" t="s">
        <v>1354</v>
      </c>
      <c r="M14" s="112">
        <v>1000</v>
      </c>
      <c r="N14" s="108" t="s">
        <v>1530</v>
      </c>
      <c r="O14" s="108" t="s">
        <v>1531</v>
      </c>
      <c r="P14" s="119"/>
      <c r="Q14" s="112"/>
      <c r="R14" s="114"/>
      <c r="S14" s="134"/>
      <c r="Z14" s="116" t="s">
        <v>896</v>
      </c>
      <c r="AA14" s="116" t="s">
        <v>849</v>
      </c>
      <c r="AB14" s="116" t="s">
        <v>897</v>
      </c>
      <c r="AC14" s="116" t="s">
        <v>898</v>
      </c>
    </row>
    <row r="15" spans="1:29" s="73" customFormat="1" ht="13.5">
      <c r="B15" s="104">
        <v>8</v>
      </c>
      <c r="C15" s="105" t="s">
        <v>1533</v>
      </c>
      <c r="D15" s="119"/>
      <c r="E15" s="107" t="s">
        <v>845</v>
      </c>
      <c r="F15" s="107">
        <v>1</v>
      </c>
      <c r="G15" s="108" t="s">
        <v>1534</v>
      </c>
      <c r="H15" s="109" t="s">
        <v>1535</v>
      </c>
      <c r="I15" s="110">
        <v>8</v>
      </c>
      <c r="J15" s="118" t="s">
        <v>1536</v>
      </c>
      <c r="K15" s="106"/>
      <c r="L15" s="113" t="s">
        <v>1354</v>
      </c>
      <c r="M15" s="112">
        <v>1000</v>
      </c>
      <c r="N15" s="108" t="s">
        <v>1534</v>
      </c>
      <c r="O15" s="108" t="s">
        <v>1535</v>
      </c>
      <c r="P15" s="119"/>
      <c r="Q15" s="112"/>
      <c r="R15" s="114"/>
      <c r="S15" s="134"/>
      <c r="Z15" s="116" t="s">
        <v>903</v>
      </c>
      <c r="AA15" s="116" t="s">
        <v>858</v>
      </c>
      <c r="AB15" s="116" t="s">
        <v>904</v>
      </c>
      <c r="AC15" s="116" t="s">
        <v>860</v>
      </c>
    </row>
    <row r="16" spans="1:29" s="73" customFormat="1" ht="13.5">
      <c r="B16" s="104">
        <v>9</v>
      </c>
      <c r="C16" s="105"/>
      <c r="D16" s="119"/>
      <c r="E16" s="107"/>
      <c r="F16" s="107"/>
      <c r="G16" s="108"/>
      <c r="H16" s="109"/>
      <c r="I16" s="110">
        <v>9</v>
      </c>
      <c r="J16" s="118"/>
      <c r="K16" s="106"/>
      <c r="L16" s="113"/>
      <c r="M16" s="112"/>
      <c r="N16" s="108"/>
      <c r="O16" s="108"/>
      <c r="P16" s="119"/>
      <c r="Q16" s="112"/>
      <c r="R16" s="114"/>
      <c r="S16" s="134"/>
      <c r="Z16" s="116" t="s">
        <v>909</v>
      </c>
      <c r="AA16" s="116" t="s">
        <v>858</v>
      </c>
      <c r="AB16" s="116" t="s">
        <v>910</v>
      </c>
      <c r="AC16" s="116" t="s">
        <v>911</v>
      </c>
    </row>
    <row r="17" spans="2:29" s="73" customFormat="1" ht="13.5">
      <c r="B17" s="104">
        <v>10</v>
      </c>
      <c r="C17" s="105"/>
      <c r="D17" s="119"/>
      <c r="E17" s="107"/>
      <c r="F17" s="107"/>
      <c r="G17" s="108"/>
      <c r="H17" s="109"/>
      <c r="I17" s="110">
        <v>10</v>
      </c>
      <c r="J17" s="117"/>
      <c r="K17" s="120"/>
      <c r="L17" s="113"/>
      <c r="M17" s="112"/>
      <c r="N17" s="108"/>
      <c r="O17" s="108"/>
      <c r="P17" s="112"/>
      <c r="Q17" s="112"/>
      <c r="R17" s="114"/>
      <c r="S17" s="134"/>
      <c r="Z17" s="116" t="s">
        <v>920</v>
      </c>
      <c r="AA17" s="116" t="s">
        <v>849</v>
      </c>
      <c r="AB17" s="116" t="s">
        <v>921</v>
      </c>
      <c r="AC17" s="116" t="s">
        <v>922</v>
      </c>
    </row>
    <row r="18" spans="2:29" s="73" customFormat="1" ht="13.5">
      <c r="B18" s="104">
        <v>11</v>
      </c>
      <c r="C18" s="105"/>
      <c r="D18" s="119"/>
      <c r="E18" s="107"/>
      <c r="F18" s="107"/>
      <c r="G18" s="108"/>
      <c r="H18" s="109"/>
      <c r="I18" s="110">
        <v>11</v>
      </c>
      <c r="J18" s="117"/>
      <c r="K18" s="112"/>
      <c r="L18" s="113"/>
      <c r="M18" s="112"/>
      <c r="N18" s="114"/>
      <c r="O18" s="114"/>
      <c r="P18" s="112"/>
      <c r="Q18" s="112"/>
      <c r="R18" s="114"/>
      <c r="S18" s="134"/>
      <c r="Z18" s="116" t="s">
        <v>931</v>
      </c>
      <c r="AA18" s="116" t="s">
        <v>932</v>
      </c>
      <c r="AB18" s="116" t="s">
        <v>933</v>
      </c>
      <c r="AC18" s="116" t="s">
        <v>934</v>
      </c>
    </row>
    <row r="19" spans="2:29" s="73" customFormat="1" ht="13.5">
      <c r="B19" s="104">
        <v>12</v>
      </c>
      <c r="C19" s="121"/>
      <c r="D19" s="119"/>
      <c r="E19" s="107"/>
      <c r="F19" s="107"/>
      <c r="G19" s="108"/>
      <c r="H19" s="109"/>
      <c r="I19" s="110">
        <v>12</v>
      </c>
      <c r="J19" s="117"/>
      <c r="K19" s="120"/>
      <c r="L19" s="113"/>
      <c r="M19" s="112"/>
      <c r="N19" s="114"/>
      <c r="O19" s="114"/>
      <c r="P19" s="112"/>
      <c r="Q19" s="112"/>
      <c r="R19" s="114"/>
      <c r="S19" s="134"/>
      <c r="Z19" s="116" t="s">
        <v>941</v>
      </c>
      <c r="AA19" s="116" t="s">
        <v>942</v>
      </c>
      <c r="AB19" s="116" t="s">
        <v>943</v>
      </c>
      <c r="AC19" s="116" t="s">
        <v>944</v>
      </c>
    </row>
    <row r="20" spans="2:29" s="73" customFormat="1" ht="13.5">
      <c r="B20" s="104">
        <v>13</v>
      </c>
      <c r="C20" s="121"/>
      <c r="D20" s="119"/>
      <c r="E20" s="107"/>
      <c r="F20" s="107"/>
      <c r="G20" s="108"/>
      <c r="H20" s="109"/>
      <c r="I20" s="110">
        <v>13</v>
      </c>
      <c r="J20" s="117"/>
      <c r="K20" s="120"/>
      <c r="L20" s="113"/>
      <c r="M20" s="112"/>
      <c r="N20" s="114"/>
      <c r="O20" s="114"/>
      <c r="P20" s="112"/>
      <c r="Q20" s="112"/>
      <c r="R20" s="114"/>
      <c r="S20" s="134"/>
      <c r="Z20" s="116" t="s">
        <v>952</v>
      </c>
      <c r="AA20" s="116" t="s">
        <v>942</v>
      </c>
      <c r="AB20" s="116" t="s">
        <v>953</v>
      </c>
      <c r="AC20" s="116" t="s">
        <v>954</v>
      </c>
    </row>
    <row r="21" spans="2:29" s="73" customFormat="1" ht="13.5">
      <c r="B21" s="104">
        <v>14</v>
      </c>
      <c r="C21" s="121"/>
      <c r="D21" s="119"/>
      <c r="E21" s="107"/>
      <c r="F21" s="107"/>
      <c r="G21" s="108"/>
      <c r="H21" s="109"/>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c r="D22" s="119"/>
      <c r="E22" s="107"/>
      <c r="F22" s="107"/>
      <c r="G22" s="108"/>
      <c r="H22" s="109"/>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3AE8B589-0568-48FD-8DBB-50E00D54F495}"/>
  </hyperlinks>
  <pageMargins left="0.7" right="0.7" top="0.75" bottom="0.75" header="0.3" footer="0.3"/>
  <customProperties>
    <customPr name="_pios_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37A47-623B-4390-9993-E25D7714810D}">
  <dimension ref="A1:AC96"/>
  <sheetViews>
    <sheetView showGridLines="0" zoomScale="85" zoomScaleNormal="85" workbookViewId="0">
      <selection activeCell="L29" sqref="L29"/>
    </sheetView>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1537</v>
      </c>
      <c r="C2" s="993"/>
      <c r="D2" s="993"/>
      <c r="E2" s="993"/>
      <c r="F2" s="993"/>
      <c r="G2" s="993"/>
      <c r="H2" s="993"/>
      <c r="I2" s="994"/>
      <c r="J2" s="70" t="s">
        <v>816</v>
      </c>
      <c r="K2" s="998" t="s">
        <v>145</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c r="D6" s="984"/>
      <c r="E6" s="984"/>
      <c r="F6" s="984"/>
      <c r="G6" s="984"/>
      <c r="H6" s="986"/>
      <c r="I6" s="102" t="s">
        <v>829</v>
      </c>
      <c r="J6" s="988" t="s">
        <v>830</v>
      </c>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105" t="s">
        <v>1538</v>
      </c>
      <c r="D8" s="119"/>
      <c r="E8" s="107"/>
      <c r="F8" s="107"/>
      <c r="G8" s="108"/>
      <c r="H8" s="109"/>
      <c r="I8" s="110">
        <v>1</v>
      </c>
      <c r="J8" s="117" t="s">
        <v>864</v>
      </c>
      <c r="K8" s="112" t="s">
        <v>42</v>
      </c>
      <c r="L8" s="113" t="s">
        <v>1354</v>
      </c>
      <c r="M8" s="112">
        <v>1000</v>
      </c>
      <c r="N8" s="114" t="s">
        <v>862</v>
      </c>
      <c r="O8" s="114" t="s">
        <v>863</v>
      </c>
      <c r="P8" s="112"/>
      <c r="Q8" s="112"/>
      <c r="R8" s="114"/>
      <c r="S8" s="134"/>
      <c r="Z8" s="116" t="s">
        <v>848</v>
      </c>
      <c r="AA8" s="116" t="s">
        <v>849</v>
      </c>
      <c r="AB8" s="116" t="s">
        <v>850</v>
      </c>
      <c r="AC8" s="116" t="s">
        <v>851</v>
      </c>
    </row>
    <row r="9" spans="1:29" s="73" customFormat="1" ht="13.5">
      <c r="B9" s="104">
        <v>2</v>
      </c>
      <c r="C9" s="105" t="s">
        <v>1539</v>
      </c>
      <c r="D9" s="119"/>
      <c r="E9" s="107"/>
      <c r="F9" s="107"/>
      <c r="G9" s="108"/>
      <c r="H9" s="109"/>
      <c r="I9" s="110">
        <v>2</v>
      </c>
      <c r="J9" s="117" t="s">
        <v>1540</v>
      </c>
      <c r="K9" s="119" t="s">
        <v>42</v>
      </c>
      <c r="L9" s="113" t="s">
        <v>1354</v>
      </c>
      <c r="M9" s="112">
        <v>1000</v>
      </c>
      <c r="N9" s="114" t="s">
        <v>1541</v>
      </c>
      <c r="O9" s="114" t="s">
        <v>1542</v>
      </c>
      <c r="P9" s="112"/>
      <c r="Q9" s="112"/>
      <c r="R9" s="114"/>
      <c r="S9" s="134"/>
      <c r="T9" s="71"/>
      <c r="Z9" s="116" t="s">
        <v>857</v>
      </c>
      <c r="AA9" s="116" t="s">
        <v>858</v>
      </c>
      <c r="AB9" s="116" t="s">
        <v>859</v>
      </c>
      <c r="AC9" s="116" t="s">
        <v>860</v>
      </c>
    </row>
    <row r="10" spans="1:29" s="73" customFormat="1" ht="27">
      <c r="B10" s="104">
        <v>3</v>
      </c>
      <c r="C10" s="105" t="s">
        <v>1543</v>
      </c>
      <c r="D10" s="119"/>
      <c r="E10" s="107"/>
      <c r="F10" s="107"/>
      <c r="G10" s="108"/>
      <c r="H10" s="109"/>
      <c r="I10" s="110">
        <v>3</v>
      </c>
      <c r="J10" s="117" t="s">
        <v>1544</v>
      </c>
      <c r="K10" s="119" t="s">
        <v>42</v>
      </c>
      <c r="L10" s="113" t="s">
        <v>1354</v>
      </c>
      <c r="M10" s="112">
        <v>1000</v>
      </c>
      <c r="N10" s="114" t="s">
        <v>1545</v>
      </c>
      <c r="O10" s="114" t="s">
        <v>1546</v>
      </c>
      <c r="P10" s="112"/>
      <c r="Q10" s="112"/>
      <c r="R10" s="114"/>
      <c r="S10" s="134"/>
      <c r="T10" s="71"/>
      <c r="Z10" s="116" t="s">
        <v>865</v>
      </c>
      <c r="AA10" s="116" t="s">
        <v>866</v>
      </c>
      <c r="AB10" s="116" t="s">
        <v>867</v>
      </c>
      <c r="AC10" s="116" t="s">
        <v>868</v>
      </c>
    </row>
    <row r="11" spans="1:29" s="73" customFormat="1" ht="13.5">
      <c r="B11" s="104">
        <v>4</v>
      </c>
      <c r="C11" s="105" t="s">
        <v>1547</v>
      </c>
      <c r="D11" s="119"/>
      <c r="E11" s="107"/>
      <c r="F11" s="107"/>
      <c r="G11" s="108"/>
      <c r="H11" s="109"/>
      <c r="I11" s="110">
        <v>4</v>
      </c>
      <c r="J11" s="118" t="s">
        <v>1271</v>
      </c>
      <c r="K11" s="119"/>
      <c r="L11" s="113" t="s">
        <v>1354</v>
      </c>
      <c r="M11" s="112">
        <v>1000</v>
      </c>
      <c r="N11" s="108" t="s">
        <v>1548</v>
      </c>
      <c r="O11" s="108" t="s">
        <v>1070</v>
      </c>
      <c r="P11" s="119"/>
      <c r="Q11" s="119"/>
      <c r="R11" s="108"/>
      <c r="S11" s="134"/>
      <c r="Z11" s="116" t="s">
        <v>873</v>
      </c>
      <c r="AA11" s="116" t="s">
        <v>858</v>
      </c>
      <c r="AB11" s="116" t="s">
        <v>874</v>
      </c>
      <c r="AC11" s="116" t="s">
        <v>875</v>
      </c>
    </row>
    <row r="12" spans="1:29" s="73" customFormat="1" ht="13.5">
      <c r="B12" s="104">
        <v>5</v>
      </c>
      <c r="C12" s="105"/>
      <c r="D12" s="119"/>
      <c r="E12" s="107"/>
      <c r="F12" s="107"/>
      <c r="G12" s="108"/>
      <c r="H12" s="109"/>
      <c r="I12" s="110">
        <v>5</v>
      </c>
      <c r="J12" s="118"/>
      <c r="K12" s="119"/>
      <c r="L12" s="113"/>
      <c r="M12" s="112"/>
      <c r="N12" s="108"/>
      <c r="O12" s="108"/>
      <c r="P12" s="119"/>
      <c r="Q12" s="119"/>
      <c r="R12" s="108"/>
      <c r="S12" s="134"/>
      <c r="Z12" s="116" t="s">
        <v>880</v>
      </c>
      <c r="AA12" s="116" t="s">
        <v>881</v>
      </c>
      <c r="AB12" s="116" t="s">
        <v>882</v>
      </c>
      <c r="AC12" s="116" t="s">
        <v>883</v>
      </c>
    </row>
    <row r="13" spans="1:29" s="73" customFormat="1" ht="13.5">
      <c r="B13" s="104">
        <v>6</v>
      </c>
      <c r="C13" s="105"/>
      <c r="D13" s="119"/>
      <c r="E13" s="107"/>
      <c r="F13" s="107"/>
      <c r="G13" s="108"/>
      <c r="H13" s="109"/>
      <c r="I13" s="110">
        <v>6</v>
      </c>
      <c r="J13" s="118"/>
      <c r="K13" s="119"/>
      <c r="L13" s="113"/>
      <c r="M13" s="112"/>
      <c r="N13" s="108"/>
      <c r="O13" s="108"/>
      <c r="P13" s="119"/>
      <c r="Q13" s="112"/>
      <c r="R13" s="114"/>
      <c r="S13" s="134"/>
      <c r="Z13" s="116" t="s">
        <v>888</v>
      </c>
      <c r="AA13" s="116" t="s">
        <v>889</v>
      </c>
      <c r="AB13" s="116" t="s">
        <v>890</v>
      </c>
      <c r="AC13" s="116" t="s">
        <v>891</v>
      </c>
    </row>
    <row r="14" spans="1:29" s="73" customFormat="1" ht="13.5">
      <c r="B14" s="104">
        <v>7</v>
      </c>
      <c r="C14" s="105"/>
      <c r="D14" s="119"/>
      <c r="E14" s="107"/>
      <c r="F14" s="107"/>
      <c r="G14" s="108"/>
      <c r="H14" s="109"/>
      <c r="I14" s="110">
        <v>7</v>
      </c>
      <c r="J14" s="118"/>
      <c r="K14" s="106"/>
      <c r="L14" s="113"/>
      <c r="M14" s="112"/>
      <c r="N14" s="108"/>
      <c r="O14" s="108"/>
      <c r="P14" s="119"/>
      <c r="Q14" s="112"/>
      <c r="R14" s="114"/>
      <c r="S14" s="134"/>
      <c r="Z14" s="116" t="s">
        <v>896</v>
      </c>
      <c r="AA14" s="116" t="s">
        <v>849</v>
      </c>
      <c r="AB14" s="116" t="s">
        <v>897</v>
      </c>
      <c r="AC14" s="116" t="s">
        <v>898</v>
      </c>
    </row>
    <row r="15" spans="1:29" s="73" customFormat="1" ht="13.5">
      <c r="B15" s="104">
        <v>8</v>
      </c>
      <c r="C15" s="105"/>
      <c r="D15" s="119"/>
      <c r="E15" s="107"/>
      <c r="F15" s="107"/>
      <c r="G15" s="108"/>
      <c r="H15" s="109"/>
      <c r="I15" s="110">
        <v>8</v>
      </c>
      <c r="J15" s="118"/>
      <c r="K15" s="106"/>
      <c r="L15" s="113"/>
      <c r="M15" s="112"/>
      <c r="N15" s="108"/>
      <c r="O15" s="108"/>
      <c r="P15" s="119"/>
      <c r="Q15" s="112"/>
      <c r="R15" s="114"/>
      <c r="S15" s="134"/>
      <c r="Z15" s="116" t="s">
        <v>903</v>
      </c>
      <c r="AA15" s="116" t="s">
        <v>858</v>
      </c>
      <c r="AB15" s="116" t="s">
        <v>904</v>
      </c>
      <c r="AC15" s="116" t="s">
        <v>860</v>
      </c>
    </row>
    <row r="16" spans="1:29" s="73" customFormat="1" ht="13.5">
      <c r="B16" s="104">
        <v>9</v>
      </c>
      <c r="C16" s="105"/>
      <c r="D16" s="119"/>
      <c r="E16" s="107"/>
      <c r="F16" s="107"/>
      <c r="G16" s="108"/>
      <c r="H16" s="109"/>
      <c r="I16" s="110">
        <v>9</v>
      </c>
      <c r="J16" s="118"/>
      <c r="K16" s="106"/>
      <c r="L16" s="113"/>
      <c r="M16" s="112"/>
      <c r="N16" s="108"/>
      <c r="O16" s="108"/>
      <c r="P16" s="119"/>
      <c r="Q16" s="112"/>
      <c r="R16" s="114"/>
      <c r="S16" s="134"/>
      <c r="Z16" s="116" t="s">
        <v>909</v>
      </c>
      <c r="AA16" s="116" t="s">
        <v>858</v>
      </c>
      <c r="AB16" s="116" t="s">
        <v>910</v>
      </c>
      <c r="AC16" s="116" t="s">
        <v>911</v>
      </c>
    </row>
    <row r="17" spans="2:29" s="73" customFormat="1" ht="13.5">
      <c r="B17" s="104">
        <v>10</v>
      </c>
      <c r="C17" s="105"/>
      <c r="D17" s="119"/>
      <c r="E17" s="107"/>
      <c r="F17" s="107"/>
      <c r="G17" s="108"/>
      <c r="H17" s="109"/>
      <c r="I17" s="110">
        <v>10</v>
      </c>
      <c r="J17" s="117"/>
      <c r="K17" s="120"/>
      <c r="L17" s="113"/>
      <c r="M17" s="112"/>
      <c r="N17" s="108"/>
      <c r="O17" s="108"/>
      <c r="P17" s="112"/>
      <c r="Q17" s="112"/>
      <c r="R17" s="114"/>
      <c r="S17" s="134"/>
      <c r="Z17" s="116" t="s">
        <v>920</v>
      </c>
      <c r="AA17" s="116" t="s">
        <v>849</v>
      </c>
      <c r="AB17" s="116" t="s">
        <v>921</v>
      </c>
      <c r="AC17" s="116" t="s">
        <v>922</v>
      </c>
    </row>
    <row r="18" spans="2:29" s="73" customFormat="1" ht="13.5">
      <c r="B18" s="104">
        <v>11</v>
      </c>
      <c r="C18" s="105"/>
      <c r="D18" s="119"/>
      <c r="E18" s="107"/>
      <c r="F18" s="107"/>
      <c r="G18" s="108"/>
      <c r="H18" s="109"/>
      <c r="I18" s="110">
        <v>11</v>
      </c>
      <c r="J18" s="117"/>
      <c r="K18" s="112"/>
      <c r="L18" s="113"/>
      <c r="M18" s="112"/>
      <c r="N18" s="114"/>
      <c r="O18" s="114"/>
      <c r="P18" s="112"/>
      <c r="Q18" s="112"/>
      <c r="R18" s="114"/>
      <c r="S18" s="134"/>
      <c r="Z18" s="116" t="s">
        <v>931</v>
      </c>
      <c r="AA18" s="116" t="s">
        <v>932</v>
      </c>
      <c r="AB18" s="116" t="s">
        <v>933</v>
      </c>
      <c r="AC18" s="116" t="s">
        <v>934</v>
      </c>
    </row>
    <row r="19" spans="2:29" s="73" customFormat="1" ht="13.5">
      <c r="B19" s="104">
        <v>12</v>
      </c>
      <c r="C19" s="121"/>
      <c r="D19" s="119"/>
      <c r="E19" s="107"/>
      <c r="F19" s="107"/>
      <c r="G19" s="108"/>
      <c r="H19" s="109"/>
      <c r="I19" s="110">
        <v>12</v>
      </c>
      <c r="J19" s="117"/>
      <c r="K19" s="120"/>
      <c r="L19" s="113"/>
      <c r="M19" s="112"/>
      <c r="N19" s="114"/>
      <c r="O19" s="114"/>
      <c r="P19" s="112"/>
      <c r="Q19" s="112"/>
      <c r="R19" s="114"/>
      <c r="S19" s="134"/>
      <c r="Z19" s="116" t="s">
        <v>941</v>
      </c>
      <c r="AA19" s="116" t="s">
        <v>942</v>
      </c>
      <c r="AB19" s="116" t="s">
        <v>943</v>
      </c>
      <c r="AC19" s="116" t="s">
        <v>944</v>
      </c>
    </row>
    <row r="20" spans="2:29" s="73" customFormat="1" ht="13.5">
      <c r="B20" s="104">
        <v>13</v>
      </c>
      <c r="C20" s="121"/>
      <c r="D20" s="119"/>
      <c r="E20" s="107"/>
      <c r="F20" s="107"/>
      <c r="G20" s="108"/>
      <c r="H20" s="109"/>
      <c r="I20" s="110">
        <v>13</v>
      </c>
      <c r="J20" s="117"/>
      <c r="K20" s="120"/>
      <c r="L20" s="113"/>
      <c r="M20" s="112"/>
      <c r="N20" s="114"/>
      <c r="O20" s="114"/>
      <c r="P20" s="112"/>
      <c r="Q20" s="112"/>
      <c r="R20" s="114"/>
      <c r="S20" s="134"/>
      <c r="Z20" s="116" t="s">
        <v>952</v>
      </c>
      <c r="AA20" s="116" t="s">
        <v>942</v>
      </c>
      <c r="AB20" s="116" t="s">
        <v>953</v>
      </c>
      <c r="AC20" s="116" t="s">
        <v>954</v>
      </c>
    </row>
    <row r="21" spans="2:29" s="73" customFormat="1" ht="13.5">
      <c r="B21" s="104">
        <v>14</v>
      </c>
      <c r="C21" s="121"/>
      <c r="D21" s="119"/>
      <c r="E21" s="107"/>
      <c r="F21" s="107"/>
      <c r="G21" s="108"/>
      <c r="H21" s="109"/>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c r="D22" s="119"/>
      <c r="E22" s="107"/>
      <c r="F22" s="107"/>
      <c r="G22" s="108"/>
      <c r="H22" s="109"/>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B321F0C2-48D7-4D23-A097-132B8F4E4712}"/>
  </hyperlinks>
  <pageMargins left="0.7" right="0.7" top="0.75" bottom="0.75" header="0.3" footer="0.3"/>
  <customProperties>
    <customPr name="_pios_id" r:id="rId1"/>
  </customPropertie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C7C82-4666-453A-8460-EA7E072C336A}">
  <dimension ref="A1:AC96"/>
  <sheetViews>
    <sheetView showGridLines="0" workbookViewId="0"/>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1549</v>
      </c>
      <c r="C2" s="993"/>
      <c r="D2" s="993"/>
      <c r="E2" s="993"/>
      <c r="F2" s="993"/>
      <c r="G2" s="993"/>
      <c r="H2" s="993"/>
      <c r="I2" s="994"/>
      <c r="J2" s="70" t="s">
        <v>816</v>
      </c>
      <c r="K2" s="998" t="s">
        <v>103</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c r="D6" s="984"/>
      <c r="E6" s="984"/>
      <c r="F6" s="984"/>
      <c r="G6" s="984"/>
      <c r="H6" s="986"/>
      <c r="I6" s="102" t="s">
        <v>829</v>
      </c>
      <c r="J6" s="988" t="s">
        <v>830</v>
      </c>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105" t="s">
        <v>1454</v>
      </c>
      <c r="D8" s="119" t="s">
        <v>42</v>
      </c>
      <c r="E8" s="107" t="s">
        <v>845</v>
      </c>
      <c r="F8" s="107">
        <v>8</v>
      </c>
      <c r="G8" s="108" t="s">
        <v>1455</v>
      </c>
      <c r="H8" s="109" t="s">
        <v>1456</v>
      </c>
      <c r="I8" s="110">
        <v>1</v>
      </c>
      <c r="J8" s="117" t="s">
        <v>1550</v>
      </c>
      <c r="K8" s="112" t="s">
        <v>42</v>
      </c>
      <c r="L8" s="113" t="s">
        <v>1354</v>
      </c>
      <c r="M8" s="112">
        <v>1000</v>
      </c>
      <c r="N8" s="114" t="s">
        <v>1456</v>
      </c>
      <c r="O8" s="114" t="s">
        <v>1456</v>
      </c>
      <c r="P8" s="112"/>
      <c r="Q8" s="112"/>
      <c r="R8" s="114"/>
      <c r="S8" s="134"/>
      <c r="Z8" s="116" t="s">
        <v>848</v>
      </c>
      <c r="AA8" s="116" t="s">
        <v>849</v>
      </c>
      <c r="AB8" s="116" t="s">
        <v>850</v>
      </c>
      <c r="AC8" s="116" t="s">
        <v>851</v>
      </c>
    </row>
    <row r="9" spans="1:29" s="73" customFormat="1" ht="13.5">
      <c r="B9" s="104">
        <v>2</v>
      </c>
      <c r="C9" s="105" t="s">
        <v>1459</v>
      </c>
      <c r="D9" s="119" t="s">
        <v>42</v>
      </c>
      <c r="E9" s="107" t="s">
        <v>845</v>
      </c>
      <c r="F9" s="107">
        <v>8</v>
      </c>
      <c r="G9" s="108" t="s">
        <v>1460</v>
      </c>
      <c r="H9" s="109" t="s">
        <v>1461</v>
      </c>
      <c r="I9" s="110">
        <v>2</v>
      </c>
      <c r="J9" s="117" t="s">
        <v>1551</v>
      </c>
      <c r="K9" s="119" t="s">
        <v>42</v>
      </c>
      <c r="L9" s="113" t="s">
        <v>1354</v>
      </c>
      <c r="M9" s="112">
        <v>1000</v>
      </c>
      <c r="N9" s="114" t="s">
        <v>1461</v>
      </c>
      <c r="O9" s="114" t="s">
        <v>1461</v>
      </c>
      <c r="P9" s="112"/>
      <c r="Q9" s="112"/>
      <c r="R9" s="114"/>
      <c r="S9" s="134"/>
      <c r="T9" s="71"/>
      <c r="Z9" s="116" t="s">
        <v>857</v>
      </c>
      <c r="AA9" s="116" t="s">
        <v>858</v>
      </c>
      <c r="AB9" s="116" t="s">
        <v>859</v>
      </c>
      <c r="AC9" s="116" t="s">
        <v>860</v>
      </c>
    </row>
    <row r="10" spans="1:29" s="73" customFormat="1" ht="13.5">
      <c r="B10" s="104">
        <v>3</v>
      </c>
      <c r="C10" s="105" t="s">
        <v>1068</v>
      </c>
      <c r="D10" s="119" t="s">
        <v>42</v>
      </c>
      <c r="E10" s="107" t="s">
        <v>845</v>
      </c>
      <c r="F10" s="107">
        <v>18</v>
      </c>
      <c r="G10" s="108" t="s">
        <v>1467</v>
      </c>
      <c r="H10" s="109" t="s">
        <v>1468</v>
      </c>
      <c r="I10" s="110">
        <v>3</v>
      </c>
      <c r="J10" s="117" t="s">
        <v>1271</v>
      </c>
      <c r="K10" s="119" t="s">
        <v>42</v>
      </c>
      <c r="L10" s="113" t="s">
        <v>1354</v>
      </c>
      <c r="M10" s="112">
        <v>1000</v>
      </c>
      <c r="N10" s="114" t="s">
        <v>1548</v>
      </c>
      <c r="O10" s="114" t="s">
        <v>1468</v>
      </c>
      <c r="P10" s="112"/>
      <c r="Q10" s="112"/>
      <c r="R10" s="114"/>
      <c r="S10" s="134"/>
      <c r="T10" s="71"/>
      <c r="Z10" s="116" t="s">
        <v>865</v>
      </c>
      <c r="AA10" s="116" t="s">
        <v>866</v>
      </c>
      <c r="AB10" s="116" t="s">
        <v>867</v>
      </c>
      <c r="AC10" s="116" t="s">
        <v>868</v>
      </c>
    </row>
    <row r="11" spans="1:29" s="73" customFormat="1" ht="13.5">
      <c r="B11" s="104">
        <v>4</v>
      </c>
      <c r="C11" s="105" t="s">
        <v>1291</v>
      </c>
      <c r="D11" s="119" t="s">
        <v>42</v>
      </c>
      <c r="E11" s="107" t="s">
        <v>845</v>
      </c>
      <c r="F11" s="107">
        <v>4</v>
      </c>
      <c r="G11" s="108" t="s">
        <v>1476</v>
      </c>
      <c r="H11" s="109" t="s">
        <v>1477</v>
      </c>
      <c r="I11" s="110">
        <v>4</v>
      </c>
      <c r="J11" s="118" t="s">
        <v>1144</v>
      </c>
      <c r="K11" s="119" t="s">
        <v>42</v>
      </c>
      <c r="L11" s="113" t="s">
        <v>1354</v>
      </c>
      <c r="M11" s="112">
        <v>1000</v>
      </c>
      <c r="N11" s="108" t="s">
        <v>1552</v>
      </c>
      <c r="O11" s="108" t="s">
        <v>1477</v>
      </c>
      <c r="P11" s="119"/>
      <c r="Q11" s="119"/>
      <c r="R11" s="108"/>
      <c r="S11" s="134"/>
      <c r="Z11" s="116" t="s">
        <v>873</v>
      </c>
      <c r="AA11" s="116" t="s">
        <v>858</v>
      </c>
      <c r="AB11" s="116" t="s">
        <v>874</v>
      </c>
      <c r="AC11" s="116" t="s">
        <v>875</v>
      </c>
    </row>
    <row r="12" spans="1:29" s="73" customFormat="1" ht="13.5">
      <c r="B12" s="104">
        <v>5</v>
      </c>
      <c r="C12" s="105" t="s">
        <v>1469</v>
      </c>
      <c r="D12" s="119"/>
      <c r="E12" s="107" t="s">
        <v>845</v>
      </c>
      <c r="F12" s="107">
        <v>6</v>
      </c>
      <c r="G12" s="108" t="s">
        <v>1470</v>
      </c>
      <c r="H12" s="109" t="s">
        <v>1553</v>
      </c>
      <c r="I12" s="110">
        <v>5</v>
      </c>
      <c r="J12" s="118" t="s">
        <v>1554</v>
      </c>
      <c r="K12" s="119"/>
      <c r="L12" s="113" t="s">
        <v>1354</v>
      </c>
      <c r="M12" s="112">
        <v>1000</v>
      </c>
      <c r="N12" s="108" t="s">
        <v>1555</v>
      </c>
      <c r="O12" s="108" t="s">
        <v>1553</v>
      </c>
      <c r="P12" s="119"/>
      <c r="Q12" s="119"/>
      <c r="R12" s="108"/>
      <c r="S12" s="134"/>
      <c r="Z12" s="116" t="s">
        <v>880</v>
      </c>
      <c r="AA12" s="116" t="s">
        <v>881</v>
      </c>
      <c r="AB12" s="116" t="s">
        <v>882</v>
      </c>
      <c r="AC12" s="116" t="s">
        <v>883</v>
      </c>
    </row>
    <row r="13" spans="1:29" s="73" customFormat="1" ht="13.5">
      <c r="B13" s="104">
        <v>6</v>
      </c>
      <c r="C13" s="105" t="s">
        <v>1473</v>
      </c>
      <c r="D13" s="119"/>
      <c r="E13" s="107" t="s">
        <v>845</v>
      </c>
      <c r="F13" s="107">
        <v>1</v>
      </c>
      <c r="G13" s="108" t="s">
        <v>1474</v>
      </c>
      <c r="H13" s="109" t="s">
        <v>1556</v>
      </c>
      <c r="I13" s="110">
        <v>6</v>
      </c>
      <c r="J13" s="118" t="s">
        <v>1557</v>
      </c>
      <c r="K13" s="119"/>
      <c r="L13" s="113" t="s">
        <v>1354</v>
      </c>
      <c r="M13" s="112">
        <v>1000</v>
      </c>
      <c r="N13" s="108" t="s">
        <v>1558</v>
      </c>
      <c r="O13" s="108" t="s">
        <v>1556</v>
      </c>
      <c r="P13" s="119"/>
      <c r="Q13" s="112"/>
      <c r="R13" s="114"/>
      <c r="S13" s="134"/>
      <c r="Z13" s="116" t="s">
        <v>888</v>
      </c>
      <c r="AA13" s="116" t="s">
        <v>889</v>
      </c>
      <c r="AB13" s="116" t="s">
        <v>890</v>
      </c>
      <c r="AC13" s="116" t="s">
        <v>891</v>
      </c>
    </row>
    <row r="14" spans="1:29" s="73" customFormat="1" ht="13.5">
      <c r="B14" s="104">
        <v>7</v>
      </c>
      <c r="C14" s="105" t="s">
        <v>1559</v>
      </c>
      <c r="D14" s="119"/>
      <c r="E14" s="107" t="s">
        <v>845</v>
      </c>
      <c r="F14" s="107">
        <v>6</v>
      </c>
      <c r="G14" s="108" t="s">
        <v>1560</v>
      </c>
      <c r="H14" s="109" t="s">
        <v>1561</v>
      </c>
      <c r="I14" s="110">
        <v>7</v>
      </c>
      <c r="J14" s="118" t="s">
        <v>1562</v>
      </c>
      <c r="K14" s="106"/>
      <c r="L14" s="113" t="s">
        <v>1354</v>
      </c>
      <c r="M14" s="112">
        <v>1000</v>
      </c>
      <c r="N14" s="108" t="s">
        <v>1563</v>
      </c>
      <c r="O14" s="108" t="s">
        <v>1561</v>
      </c>
      <c r="P14" s="119"/>
      <c r="Q14" s="112"/>
      <c r="R14" s="114"/>
      <c r="S14" s="134"/>
      <c r="Z14" s="116" t="s">
        <v>896</v>
      </c>
      <c r="AA14" s="116" t="s">
        <v>849</v>
      </c>
      <c r="AB14" s="116" t="s">
        <v>897</v>
      </c>
      <c r="AC14" s="116" t="s">
        <v>898</v>
      </c>
    </row>
    <row r="15" spans="1:29" s="73" customFormat="1" ht="13.5">
      <c r="B15" s="104">
        <v>8</v>
      </c>
      <c r="C15" s="105" t="s">
        <v>1564</v>
      </c>
      <c r="D15" s="119"/>
      <c r="E15" s="107" t="s">
        <v>1306</v>
      </c>
      <c r="F15" s="107">
        <v>13</v>
      </c>
      <c r="G15" s="108" t="s">
        <v>1565</v>
      </c>
      <c r="H15" s="109" t="s">
        <v>1566</v>
      </c>
      <c r="I15" s="110">
        <v>8</v>
      </c>
      <c r="J15" s="118" t="s">
        <v>1567</v>
      </c>
      <c r="K15" s="106"/>
      <c r="L15" s="113" t="s">
        <v>1354</v>
      </c>
      <c r="M15" s="112">
        <v>1000</v>
      </c>
      <c r="N15" s="108" t="s">
        <v>1568</v>
      </c>
      <c r="O15" s="108" t="s">
        <v>1566</v>
      </c>
      <c r="P15" s="119"/>
      <c r="Q15" s="112"/>
      <c r="R15" s="114"/>
      <c r="S15" s="134"/>
      <c r="Z15" s="116" t="s">
        <v>903</v>
      </c>
      <c r="AA15" s="116" t="s">
        <v>858</v>
      </c>
      <c r="AB15" s="116" t="s">
        <v>904</v>
      </c>
      <c r="AC15" s="116" t="s">
        <v>860</v>
      </c>
    </row>
    <row r="16" spans="1:29" s="73" customFormat="1" ht="40.5">
      <c r="B16" s="104">
        <v>9</v>
      </c>
      <c r="C16" s="105" t="s">
        <v>1569</v>
      </c>
      <c r="D16" s="119"/>
      <c r="E16" s="107" t="s">
        <v>845</v>
      </c>
      <c r="F16" s="107">
        <v>1</v>
      </c>
      <c r="G16" s="108" t="s">
        <v>1570</v>
      </c>
      <c r="H16" s="109" t="s">
        <v>1571</v>
      </c>
      <c r="I16" s="110">
        <v>9</v>
      </c>
      <c r="J16" s="118" t="s">
        <v>1572</v>
      </c>
      <c r="K16" s="106"/>
      <c r="L16" s="113" t="s">
        <v>1354</v>
      </c>
      <c r="M16" s="112">
        <v>1000</v>
      </c>
      <c r="N16" s="108" t="s">
        <v>1573</v>
      </c>
      <c r="O16" s="108" t="s">
        <v>1571</v>
      </c>
      <c r="P16" s="119"/>
      <c r="Q16" s="112"/>
      <c r="R16" s="114"/>
      <c r="S16" s="134"/>
      <c r="Z16" s="116" t="s">
        <v>909</v>
      </c>
      <c r="AA16" s="116" t="s">
        <v>858</v>
      </c>
      <c r="AB16" s="116" t="s">
        <v>910</v>
      </c>
      <c r="AC16" s="116" t="s">
        <v>911</v>
      </c>
    </row>
    <row r="17" spans="2:29" s="73" customFormat="1" ht="13.5">
      <c r="B17" s="104">
        <v>10</v>
      </c>
      <c r="C17" s="105" t="s">
        <v>1574</v>
      </c>
      <c r="D17" s="119"/>
      <c r="E17" s="107" t="s">
        <v>845</v>
      </c>
      <c r="F17" s="107">
        <v>8</v>
      </c>
      <c r="G17" s="108" t="s">
        <v>1575</v>
      </c>
      <c r="H17" s="109" t="s">
        <v>1576</v>
      </c>
      <c r="I17" s="110">
        <v>10</v>
      </c>
      <c r="J17" s="117" t="s">
        <v>1577</v>
      </c>
      <c r="K17" s="120"/>
      <c r="L17" s="113" t="s">
        <v>1354</v>
      </c>
      <c r="M17" s="112">
        <v>1000</v>
      </c>
      <c r="N17" s="108" t="s">
        <v>1575</v>
      </c>
      <c r="O17" s="108" t="s">
        <v>1576</v>
      </c>
      <c r="P17" s="112"/>
      <c r="Q17" s="112"/>
      <c r="R17" s="114"/>
      <c r="S17" s="134"/>
      <c r="Z17" s="116" t="s">
        <v>920</v>
      </c>
      <c r="AA17" s="116" t="s">
        <v>849</v>
      </c>
      <c r="AB17" s="116" t="s">
        <v>921</v>
      </c>
      <c r="AC17" s="116" t="s">
        <v>922</v>
      </c>
    </row>
    <row r="18" spans="2:29" s="73" customFormat="1" ht="13.5">
      <c r="B18" s="104">
        <v>11</v>
      </c>
      <c r="C18" s="105"/>
      <c r="D18" s="119"/>
      <c r="E18" s="107"/>
      <c r="F18" s="107"/>
      <c r="G18" s="108"/>
      <c r="H18" s="109"/>
      <c r="I18" s="110">
        <v>11</v>
      </c>
      <c r="J18" s="117"/>
      <c r="K18" s="112"/>
      <c r="L18" s="113"/>
      <c r="M18" s="112"/>
      <c r="N18" s="114"/>
      <c r="O18" s="114"/>
      <c r="P18" s="112"/>
      <c r="Q18" s="112"/>
      <c r="R18" s="114"/>
      <c r="S18" s="134"/>
      <c r="Z18" s="116" t="s">
        <v>931</v>
      </c>
      <c r="AA18" s="116" t="s">
        <v>932</v>
      </c>
      <c r="AB18" s="116" t="s">
        <v>933</v>
      </c>
      <c r="AC18" s="116" t="s">
        <v>934</v>
      </c>
    </row>
    <row r="19" spans="2:29" s="73" customFormat="1" ht="13.5">
      <c r="B19" s="104">
        <v>12</v>
      </c>
      <c r="C19" s="121"/>
      <c r="D19" s="119"/>
      <c r="E19" s="107"/>
      <c r="F19" s="107"/>
      <c r="G19" s="108"/>
      <c r="H19" s="109"/>
      <c r="I19" s="110">
        <v>12</v>
      </c>
      <c r="J19" s="117"/>
      <c r="K19" s="120"/>
      <c r="L19" s="113"/>
      <c r="M19" s="112"/>
      <c r="N19" s="114"/>
      <c r="O19" s="114"/>
      <c r="P19" s="112"/>
      <c r="Q19" s="112"/>
      <c r="R19" s="114"/>
      <c r="S19" s="134"/>
      <c r="Z19" s="116" t="s">
        <v>941</v>
      </c>
      <c r="AA19" s="116" t="s">
        <v>942</v>
      </c>
      <c r="AB19" s="116" t="s">
        <v>943</v>
      </c>
      <c r="AC19" s="116" t="s">
        <v>944</v>
      </c>
    </row>
    <row r="20" spans="2:29" s="73" customFormat="1" ht="13.5">
      <c r="B20" s="104">
        <v>13</v>
      </c>
      <c r="C20" s="121"/>
      <c r="D20" s="119"/>
      <c r="E20" s="107"/>
      <c r="F20" s="107"/>
      <c r="G20" s="108"/>
      <c r="H20" s="109"/>
      <c r="I20" s="110">
        <v>13</v>
      </c>
      <c r="J20" s="117"/>
      <c r="K20" s="120"/>
      <c r="L20" s="113"/>
      <c r="M20" s="112"/>
      <c r="N20" s="114"/>
      <c r="O20" s="114"/>
      <c r="P20" s="112"/>
      <c r="Q20" s="112"/>
      <c r="R20" s="114"/>
      <c r="S20" s="134"/>
      <c r="Z20" s="116" t="s">
        <v>952</v>
      </c>
      <c r="AA20" s="116" t="s">
        <v>942</v>
      </c>
      <c r="AB20" s="116" t="s">
        <v>953</v>
      </c>
      <c r="AC20" s="116" t="s">
        <v>954</v>
      </c>
    </row>
    <row r="21" spans="2:29" s="73" customFormat="1" ht="13.5">
      <c r="B21" s="104">
        <v>14</v>
      </c>
      <c r="C21" s="121"/>
      <c r="D21" s="119"/>
      <c r="E21" s="107"/>
      <c r="F21" s="107"/>
      <c r="G21" s="108"/>
      <c r="H21" s="109"/>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c r="D22" s="119"/>
      <c r="E22" s="107"/>
      <c r="F22" s="107"/>
      <c r="G22" s="108"/>
      <c r="H22" s="109"/>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EE740B57-350D-4363-8E5A-6A9CAAAD3461}"/>
  </hyperlinks>
  <pageMargins left="0.7" right="0.7" top="0.75" bottom="0.75" header="0.3" footer="0.3"/>
  <customProperties>
    <customPr name="_pios_id" r:id="rId1"/>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84E5-C666-4F94-BEBF-5351E1AE6252}">
  <dimension ref="A1:AC96"/>
  <sheetViews>
    <sheetView showGridLines="0" workbookViewId="0">
      <selection activeCell="C6" sqref="C6:H6"/>
    </sheetView>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1578</v>
      </c>
      <c r="C2" s="993"/>
      <c r="D2" s="993"/>
      <c r="E2" s="993"/>
      <c r="F2" s="993"/>
      <c r="G2" s="993"/>
      <c r="H2" s="993"/>
      <c r="I2" s="994"/>
      <c r="J2" s="70" t="s">
        <v>816</v>
      </c>
      <c r="K2" s="998" t="s">
        <v>128</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t="s">
        <v>1579</v>
      </c>
      <c r="D6" s="984"/>
      <c r="E6" s="984"/>
      <c r="F6" s="984"/>
      <c r="G6" s="984"/>
      <c r="H6" s="986"/>
      <c r="I6" s="102" t="s">
        <v>829</v>
      </c>
      <c r="J6" s="988" t="s">
        <v>830</v>
      </c>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105" t="s">
        <v>1068</v>
      </c>
      <c r="D8" s="119" t="s">
        <v>42</v>
      </c>
      <c r="E8" s="107" t="s">
        <v>845</v>
      </c>
      <c r="F8" s="107">
        <v>18</v>
      </c>
      <c r="G8" s="108" t="s">
        <v>1069</v>
      </c>
      <c r="H8" s="109" t="s">
        <v>1070</v>
      </c>
      <c r="I8" s="110">
        <v>1</v>
      </c>
      <c r="J8" s="117" t="s">
        <v>1271</v>
      </c>
      <c r="K8" s="112" t="s">
        <v>42</v>
      </c>
      <c r="L8" s="113" t="s">
        <v>1272</v>
      </c>
      <c r="M8" s="112">
        <v>1000</v>
      </c>
      <c r="N8" s="114" t="s">
        <v>1069</v>
      </c>
      <c r="O8" s="114" t="s">
        <v>1070</v>
      </c>
      <c r="P8" s="112"/>
      <c r="Q8" s="112"/>
      <c r="R8" s="114"/>
      <c r="S8" s="134"/>
      <c r="Z8" s="116" t="s">
        <v>848</v>
      </c>
      <c r="AA8" s="116" t="s">
        <v>849</v>
      </c>
      <c r="AB8" s="116" t="s">
        <v>850</v>
      </c>
      <c r="AC8" s="116" t="s">
        <v>851</v>
      </c>
    </row>
    <row r="9" spans="1:29" s="73" customFormat="1" ht="13.5">
      <c r="B9" s="104">
        <v>2</v>
      </c>
      <c r="C9" s="105" t="s">
        <v>1580</v>
      </c>
      <c r="D9" s="119" t="s">
        <v>42</v>
      </c>
      <c r="E9" s="107" t="s">
        <v>1581</v>
      </c>
      <c r="F9" s="107">
        <v>3</v>
      </c>
      <c r="G9" s="108" t="s">
        <v>1582</v>
      </c>
      <c r="H9" s="109" t="s">
        <v>1583</v>
      </c>
      <c r="I9" s="110">
        <v>2</v>
      </c>
      <c r="J9" s="117" t="s">
        <v>1584</v>
      </c>
      <c r="K9" s="119" t="s">
        <v>42</v>
      </c>
      <c r="L9" s="113" t="s">
        <v>1272</v>
      </c>
      <c r="M9" s="112">
        <v>1000</v>
      </c>
      <c r="N9" s="114" t="s">
        <v>1582</v>
      </c>
      <c r="O9" s="114" t="s">
        <v>1583</v>
      </c>
      <c r="P9" s="112"/>
      <c r="Q9" s="112"/>
      <c r="R9" s="114"/>
      <c r="S9" s="134"/>
      <c r="T9" s="71"/>
      <c r="Z9" s="116" t="s">
        <v>857</v>
      </c>
      <c r="AA9" s="116" t="s">
        <v>858</v>
      </c>
      <c r="AB9" s="116" t="s">
        <v>859</v>
      </c>
      <c r="AC9" s="116" t="s">
        <v>860</v>
      </c>
    </row>
    <row r="10" spans="1:29" s="73" customFormat="1" ht="27">
      <c r="B10" s="104">
        <v>3</v>
      </c>
      <c r="C10" s="105" t="s">
        <v>1585</v>
      </c>
      <c r="D10" s="119"/>
      <c r="E10" s="107" t="s">
        <v>1586</v>
      </c>
      <c r="F10" s="107">
        <v>5</v>
      </c>
      <c r="G10" s="108" t="s">
        <v>1587</v>
      </c>
      <c r="H10" s="109" t="s">
        <v>1588</v>
      </c>
      <c r="I10" s="110">
        <v>3</v>
      </c>
      <c r="J10" s="117" t="s">
        <v>1589</v>
      </c>
      <c r="K10" s="119"/>
      <c r="L10" s="113" t="s">
        <v>1272</v>
      </c>
      <c r="M10" s="112">
        <v>1000</v>
      </c>
      <c r="N10" s="114" t="s">
        <v>1587</v>
      </c>
      <c r="O10" s="114" t="s">
        <v>1588</v>
      </c>
      <c r="P10" s="112"/>
      <c r="Q10" s="112"/>
      <c r="R10" s="114"/>
      <c r="S10" s="134"/>
      <c r="T10" s="71"/>
      <c r="Z10" s="116" t="s">
        <v>865</v>
      </c>
      <c r="AA10" s="116" t="s">
        <v>866</v>
      </c>
      <c r="AB10" s="116" t="s">
        <v>867</v>
      </c>
      <c r="AC10" s="116" t="s">
        <v>868</v>
      </c>
    </row>
    <row r="11" spans="1:29" s="73" customFormat="1" ht="27">
      <c r="B11" s="104">
        <v>4</v>
      </c>
      <c r="C11" s="105" t="s">
        <v>1590</v>
      </c>
      <c r="D11" s="119"/>
      <c r="E11" s="107" t="s">
        <v>1586</v>
      </c>
      <c r="F11" s="107">
        <v>5</v>
      </c>
      <c r="G11" s="108" t="s">
        <v>1591</v>
      </c>
      <c r="H11" s="109" t="s">
        <v>1592</v>
      </c>
      <c r="I11" s="110">
        <v>4</v>
      </c>
      <c r="J11" s="118" t="s">
        <v>1592</v>
      </c>
      <c r="K11" s="119"/>
      <c r="L11" s="113" t="s">
        <v>1272</v>
      </c>
      <c r="M11" s="112">
        <v>1000</v>
      </c>
      <c r="N11" s="108" t="s">
        <v>1591</v>
      </c>
      <c r="O11" s="108" t="s">
        <v>1592</v>
      </c>
      <c r="P11" s="119"/>
      <c r="Q11" s="119"/>
      <c r="R11" s="108"/>
      <c r="S11" s="134"/>
      <c r="Z11" s="116" t="s">
        <v>873</v>
      </c>
      <c r="AA11" s="116" t="s">
        <v>858</v>
      </c>
      <c r="AB11" s="116" t="s">
        <v>874</v>
      </c>
      <c r="AC11" s="116" t="s">
        <v>875</v>
      </c>
    </row>
    <row r="12" spans="1:29" s="73" customFormat="1" ht="13.5">
      <c r="B12" s="104">
        <v>5</v>
      </c>
      <c r="C12" s="105"/>
      <c r="D12" s="119"/>
      <c r="E12" s="107"/>
      <c r="F12" s="107"/>
      <c r="G12" s="108"/>
      <c r="H12" s="109"/>
      <c r="I12" s="110">
        <v>5</v>
      </c>
      <c r="J12" s="118"/>
      <c r="K12" s="119"/>
      <c r="L12" s="113"/>
      <c r="M12" s="112"/>
      <c r="N12" s="108"/>
      <c r="O12" s="108"/>
      <c r="P12" s="119"/>
      <c r="Q12" s="119"/>
      <c r="R12" s="108"/>
      <c r="S12" s="134"/>
      <c r="Z12" s="116" t="s">
        <v>880</v>
      </c>
      <c r="AA12" s="116" t="s">
        <v>881</v>
      </c>
      <c r="AB12" s="116" t="s">
        <v>882</v>
      </c>
      <c r="AC12" s="116" t="s">
        <v>883</v>
      </c>
    </row>
    <row r="13" spans="1:29" s="73" customFormat="1" ht="13.5">
      <c r="B13" s="104">
        <v>6</v>
      </c>
      <c r="C13" s="105"/>
      <c r="D13" s="119"/>
      <c r="E13" s="107"/>
      <c r="F13" s="107"/>
      <c r="G13" s="108"/>
      <c r="H13" s="109"/>
      <c r="I13" s="110">
        <v>6</v>
      </c>
      <c r="J13" s="118"/>
      <c r="K13" s="119"/>
      <c r="L13" s="113"/>
      <c r="M13" s="112"/>
      <c r="N13" s="108"/>
      <c r="O13" s="108"/>
      <c r="P13" s="119"/>
      <c r="Q13" s="112"/>
      <c r="R13" s="114"/>
      <c r="S13" s="134"/>
      <c r="Z13" s="116" t="s">
        <v>888</v>
      </c>
      <c r="AA13" s="116" t="s">
        <v>889</v>
      </c>
      <c r="AB13" s="116" t="s">
        <v>890</v>
      </c>
      <c r="AC13" s="116" t="s">
        <v>891</v>
      </c>
    </row>
    <row r="14" spans="1:29" s="73" customFormat="1" ht="13.5">
      <c r="B14" s="104">
        <v>7</v>
      </c>
      <c r="C14" s="105"/>
      <c r="D14" s="119"/>
      <c r="E14" s="107"/>
      <c r="F14" s="107"/>
      <c r="G14" s="108"/>
      <c r="H14" s="109"/>
      <c r="I14" s="110">
        <v>7</v>
      </c>
      <c r="J14" s="118"/>
      <c r="K14" s="106"/>
      <c r="L14" s="113"/>
      <c r="M14" s="112"/>
      <c r="N14" s="108"/>
      <c r="O14" s="108"/>
      <c r="P14" s="119"/>
      <c r="Q14" s="112"/>
      <c r="R14" s="114"/>
      <c r="S14" s="134"/>
      <c r="Z14" s="116" t="s">
        <v>896</v>
      </c>
      <c r="AA14" s="116" t="s">
        <v>849</v>
      </c>
      <c r="AB14" s="116" t="s">
        <v>897</v>
      </c>
      <c r="AC14" s="116" t="s">
        <v>898</v>
      </c>
    </row>
    <row r="15" spans="1:29" s="73" customFormat="1" ht="13.5">
      <c r="B15" s="104">
        <v>8</v>
      </c>
      <c r="C15" s="105"/>
      <c r="D15" s="119"/>
      <c r="E15" s="107"/>
      <c r="F15" s="107"/>
      <c r="G15" s="108"/>
      <c r="H15" s="109"/>
      <c r="I15" s="110">
        <v>8</v>
      </c>
      <c r="J15" s="118"/>
      <c r="K15" s="106"/>
      <c r="L15" s="113"/>
      <c r="M15" s="112"/>
      <c r="N15" s="108"/>
      <c r="O15" s="108"/>
      <c r="P15" s="119"/>
      <c r="Q15" s="112"/>
      <c r="R15" s="114"/>
      <c r="S15" s="134"/>
      <c r="Z15" s="116" t="s">
        <v>903</v>
      </c>
      <c r="AA15" s="116" t="s">
        <v>858</v>
      </c>
      <c r="AB15" s="116" t="s">
        <v>904</v>
      </c>
      <c r="AC15" s="116" t="s">
        <v>860</v>
      </c>
    </row>
    <row r="16" spans="1:29" s="73" customFormat="1" ht="13.5">
      <c r="B16" s="104">
        <v>9</v>
      </c>
      <c r="C16" s="105"/>
      <c r="D16" s="119"/>
      <c r="E16" s="107"/>
      <c r="F16" s="107"/>
      <c r="G16" s="108"/>
      <c r="H16" s="109"/>
      <c r="I16" s="110">
        <v>9</v>
      </c>
      <c r="J16" s="118"/>
      <c r="K16" s="106"/>
      <c r="L16" s="113"/>
      <c r="M16" s="112"/>
      <c r="N16" s="108"/>
      <c r="O16" s="108"/>
      <c r="P16" s="119"/>
      <c r="Q16" s="112"/>
      <c r="R16" s="114"/>
      <c r="S16" s="134"/>
      <c r="Z16" s="116" t="s">
        <v>909</v>
      </c>
      <c r="AA16" s="116" t="s">
        <v>858</v>
      </c>
      <c r="AB16" s="116" t="s">
        <v>910</v>
      </c>
      <c r="AC16" s="116" t="s">
        <v>911</v>
      </c>
    </row>
    <row r="17" spans="2:29" s="73" customFormat="1" ht="13.5">
      <c r="B17" s="104">
        <v>10</v>
      </c>
      <c r="C17" s="105"/>
      <c r="D17" s="119"/>
      <c r="E17" s="107"/>
      <c r="F17" s="107"/>
      <c r="G17" s="108"/>
      <c r="H17" s="109"/>
      <c r="I17" s="110">
        <v>10</v>
      </c>
      <c r="J17" s="117"/>
      <c r="K17" s="120"/>
      <c r="L17" s="113"/>
      <c r="M17" s="112"/>
      <c r="N17" s="108"/>
      <c r="O17" s="108"/>
      <c r="P17" s="112"/>
      <c r="Q17" s="112"/>
      <c r="R17" s="114"/>
      <c r="S17" s="134"/>
      <c r="Z17" s="116" t="s">
        <v>920</v>
      </c>
      <c r="AA17" s="116" t="s">
        <v>849</v>
      </c>
      <c r="AB17" s="116" t="s">
        <v>921</v>
      </c>
      <c r="AC17" s="116" t="s">
        <v>922</v>
      </c>
    </row>
    <row r="18" spans="2:29" s="73" customFormat="1" ht="13.5">
      <c r="B18" s="104">
        <v>11</v>
      </c>
      <c r="C18" s="105"/>
      <c r="D18" s="119"/>
      <c r="E18" s="107"/>
      <c r="F18" s="107"/>
      <c r="G18" s="108"/>
      <c r="H18" s="109"/>
      <c r="I18" s="110">
        <v>11</v>
      </c>
      <c r="J18" s="117"/>
      <c r="K18" s="112"/>
      <c r="L18" s="113"/>
      <c r="M18" s="112"/>
      <c r="N18" s="114"/>
      <c r="O18" s="114"/>
      <c r="P18" s="112"/>
      <c r="Q18" s="112"/>
      <c r="R18" s="114"/>
      <c r="S18" s="134"/>
      <c r="Z18" s="116" t="s">
        <v>931</v>
      </c>
      <c r="AA18" s="116" t="s">
        <v>932</v>
      </c>
      <c r="AB18" s="116" t="s">
        <v>933</v>
      </c>
      <c r="AC18" s="116" t="s">
        <v>934</v>
      </c>
    </row>
    <row r="19" spans="2:29" s="73" customFormat="1" ht="13.5">
      <c r="B19" s="104">
        <v>12</v>
      </c>
      <c r="C19" s="121"/>
      <c r="D19" s="119"/>
      <c r="E19" s="107"/>
      <c r="F19" s="107"/>
      <c r="G19" s="108"/>
      <c r="H19" s="109"/>
      <c r="I19" s="110">
        <v>12</v>
      </c>
      <c r="J19" s="117"/>
      <c r="K19" s="120"/>
      <c r="L19" s="113"/>
      <c r="M19" s="112"/>
      <c r="N19" s="114"/>
      <c r="O19" s="114"/>
      <c r="P19" s="112"/>
      <c r="Q19" s="112"/>
      <c r="R19" s="114"/>
      <c r="S19" s="134"/>
      <c r="Z19" s="116" t="s">
        <v>941</v>
      </c>
      <c r="AA19" s="116" t="s">
        <v>942</v>
      </c>
      <c r="AB19" s="116" t="s">
        <v>943</v>
      </c>
      <c r="AC19" s="116" t="s">
        <v>944</v>
      </c>
    </row>
    <row r="20" spans="2:29" s="73" customFormat="1" ht="13.5">
      <c r="B20" s="104">
        <v>13</v>
      </c>
      <c r="C20" s="121"/>
      <c r="D20" s="119"/>
      <c r="E20" s="107"/>
      <c r="F20" s="107"/>
      <c r="G20" s="108"/>
      <c r="H20" s="109"/>
      <c r="I20" s="110">
        <v>13</v>
      </c>
      <c r="J20" s="117"/>
      <c r="K20" s="120"/>
      <c r="L20" s="113"/>
      <c r="M20" s="112"/>
      <c r="N20" s="114"/>
      <c r="O20" s="114"/>
      <c r="P20" s="112"/>
      <c r="Q20" s="112"/>
      <c r="R20" s="114"/>
      <c r="S20" s="134"/>
      <c r="Z20" s="116" t="s">
        <v>952</v>
      </c>
      <c r="AA20" s="116" t="s">
        <v>942</v>
      </c>
      <c r="AB20" s="116" t="s">
        <v>953</v>
      </c>
      <c r="AC20" s="116" t="s">
        <v>954</v>
      </c>
    </row>
    <row r="21" spans="2:29" s="73" customFormat="1" ht="13.5">
      <c r="B21" s="104">
        <v>14</v>
      </c>
      <c r="C21" s="121"/>
      <c r="D21" s="119"/>
      <c r="E21" s="107"/>
      <c r="F21" s="107"/>
      <c r="G21" s="108"/>
      <c r="H21" s="109"/>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c r="D22" s="119"/>
      <c r="E22" s="107"/>
      <c r="F22" s="107"/>
      <c r="G22" s="108"/>
      <c r="H22" s="109"/>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3924FC02-D231-4407-968F-49978ECB0169}"/>
  </hyperlinks>
  <pageMargins left="0.7" right="0.7" top="0.75" bottom="0.75" header="0.3" footer="0.3"/>
  <customProperties>
    <customPr name="_pios_id" r:id="rId1"/>
  </customPropertie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03EB3-526A-4CBA-847F-7843A4B978B0}">
  <dimension ref="A1:AC96"/>
  <sheetViews>
    <sheetView showGridLines="0" topLeftCell="H1" workbookViewId="0">
      <selection activeCell="N12" sqref="N12"/>
    </sheetView>
  </sheetViews>
  <sheetFormatPr defaultColWidth="12.625" defaultRowHeight="16.5"/>
  <cols>
    <col min="1" max="1" width="2.125" style="69" customWidth="1"/>
    <col min="2" max="2" width="5.125" style="69" customWidth="1"/>
    <col min="3" max="3" width="13.125" style="69" customWidth="1"/>
    <col min="4" max="4" width="3.875" style="69" customWidth="1"/>
    <col min="5" max="5" width="10.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1593</v>
      </c>
      <c r="C2" s="993"/>
      <c r="D2" s="993"/>
      <c r="E2" s="993"/>
      <c r="F2" s="993"/>
      <c r="G2" s="993"/>
      <c r="H2" s="993"/>
      <c r="I2" s="994"/>
      <c r="J2" s="70" t="s">
        <v>816</v>
      </c>
      <c r="K2" s="998" t="s">
        <v>145</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c r="D6" s="984"/>
      <c r="E6" s="984"/>
      <c r="F6" s="984"/>
      <c r="G6" s="984"/>
      <c r="H6" s="986"/>
      <c r="I6" s="102" t="s">
        <v>829</v>
      </c>
      <c r="J6" s="988" t="s">
        <v>830</v>
      </c>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147" t="s">
        <v>852</v>
      </c>
      <c r="D8" s="119" t="s">
        <v>42</v>
      </c>
      <c r="E8" s="107"/>
      <c r="F8" s="107">
        <v>4</v>
      </c>
      <c r="G8" s="108"/>
      <c r="H8" s="109"/>
      <c r="I8" s="110">
        <v>1</v>
      </c>
      <c r="J8" s="111" t="s">
        <v>855</v>
      </c>
      <c r="K8" s="112"/>
      <c r="L8" s="113" t="s">
        <v>1354</v>
      </c>
      <c r="M8" s="112">
        <v>1000</v>
      </c>
      <c r="N8" s="114" t="s">
        <v>853</v>
      </c>
      <c r="O8" s="114" t="s">
        <v>854</v>
      </c>
      <c r="P8" s="112"/>
      <c r="Q8" s="112"/>
      <c r="R8" s="114"/>
      <c r="S8" s="134"/>
      <c r="Z8" s="116" t="s">
        <v>848</v>
      </c>
      <c r="AA8" s="116" t="s">
        <v>849</v>
      </c>
      <c r="AB8" s="116" t="s">
        <v>850</v>
      </c>
      <c r="AC8" s="116" t="s">
        <v>851</v>
      </c>
    </row>
    <row r="9" spans="1:29" s="73" customFormat="1" ht="13.5">
      <c r="B9" s="104">
        <v>2</v>
      </c>
      <c r="C9" s="147" t="s">
        <v>1594</v>
      </c>
      <c r="D9" s="119" t="s">
        <v>42</v>
      </c>
      <c r="E9" s="107"/>
      <c r="F9" s="107">
        <v>8</v>
      </c>
      <c r="G9" s="108"/>
      <c r="H9" s="109"/>
      <c r="I9" s="110">
        <v>2</v>
      </c>
      <c r="J9" s="111" t="s">
        <v>1595</v>
      </c>
      <c r="K9" s="119"/>
      <c r="L9" s="113" t="s">
        <v>1354</v>
      </c>
      <c r="M9" s="112">
        <v>1000</v>
      </c>
      <c r="N9" s="114" t="s">
        <v>1596</v>
      </c>
      <c r="O9" s="114" t="s">
        <v>1595</v>
      </c>
      <c r="P9" s="112"/>
      <c r="Q9" s="112"/>
      <c r="R9" s="114"/>
      <c r="S9" s="134"/>
      <c r="T9" s="71"/>
      <c r="Z9" s="116" t="s">
        <v>857</v>
      </c>
      <c r="AA9" s="116" t="s">
        <v>858</v>
      </c>
      <c r="AB9" s="116" t="s">
        <v>859</v>
      </c>
      <c r="AC9" s="116" t="s">
        <v>860</v>
      </c>
    </row>
    <row r="10" spans="1:29" s="73" customFormat="1" ht="13.5">
      <c r="B10" s="104">
        <v>3</v>
      </c>
      <c r="C10" s="147" t="s">
        <v>1068</v>
      </c>
      <c r="D10" s="119" t="s">
        <v>42</v>
      </c>
      <c r="E10" s="107"/>
      <c r="F10" s="107">
        <v>18</v>
      </c>
      <c r="G10" s="108"/>
      <c r="H10" s="109"/>
      <c r="I10" s="110">
        <v>3</v>
      </c>
      <c r="J10" s="111" t="s">
        <v>1271</v>
      </c>
      <c r="K10" s="119"/>
      <c r="L10" s="113" t="s">
        <v>1354</v>
      </c>
      <c r="M10" s="112">
        <v>1000</v>
      </c>
      <c r="N10" s="114" t="s">
        <v>1597</v>
      </c>
      <c r="O10" s="114" t="s">
        <v>1598</v>
      </c>
      <c r="P10" s="112"/>
      <c r="Q10" s="112"/>
      <c r="R10" s="114"/>
      <c r="S10" s="134"/>
      <c r="T10" s="71"/>
      <c r="Z10" s="116" t="s">
        <v>865</v>
      </c>
      <c r="AA10" s="116" t="s">
        <v>866</v>
      </c>
      <c r="AB10" s="116" t="s">
        <v>867</v>
      </c>
      <c r="AC10" s="116" t="s">
        <v>868</v>
      </c>
    </row>
    <row r="11" spans="1:29" s="73" customFormat="1" ht="13.5">
      <c r="B11" s="104">
        <v>4</v>
      </c>
      <c r="C11" s="147" t="s">
        <v>1273</v>
      </c>
      <c r="D11" s="119" t="s">
        <v>42</v>
      </c>
      <c r="E11" s="107"/>
      <c r="F11" s="107">
        <v>4</v>
      </c>
      <c r="G11" s="108"/>
      <c r="H11" s="109"/>
      <c r="I11" s="110">
        <v>4</v>
      </c>
      <c r="J11" s="147" t="s">
        <v>1144</v>
      </c>
      <c r="K11" s="119"/>
      <c r="L11" s="113" t="s">
        <v>1354</v>
      </c>
      <c r="M11" s="112">
        <v>1000</v>
      </c>
      <c r="N11" s="108" t="s">
        <v>1274</v>
      </c>
      <c r="O11" s="108" t="s">
        <v>1599</v>
      </c>
      <c r="P11" s="119"/>
      <c r="Q11" s="119"/>
      <c r="R11" s="108"/>
      <c r="S11" s="134"/>
      <c r="Z11" s="116" t="s">
        <v>873</v>
      </c>
      <c r="AA11" s="116" t="s">
        <v>858</v>
      </c>
      <c r="AB11" s="116" t="s">
        <v>874</v>
      </c>
      <c r="AC11" s="116" t="s">
        <v>875</v>
      </c>
    </row>
    <row r="12" spans="1:29" s="73" customFormat="1" ht="13.5">
      <c r="B12" s="104">
        <v>5</v>
      </c>
      <c r="C12" s="147" t="s">
        <v>1600</v>
      </c>
      <c r="D12" s="119" t="s">
        <v>42</v>
      </c>
      <c r="E12" s="107"/>
      <c r="F12" s="107">
        <v>4</v>
      </c>
      <c r="G12" s="108"/>
      <c r="H12" s="109"/>
      <c r="I12" s="110">
        <v>5</v>
      </c>
      <c r="J12" s="147" t="s">
        <v>1601</v>
      </c>
      <c r="K12" s="119"/>
      <c r="L12" s="113" t="s">
        <v>1354</v>
      </c>
      <c r="M12" s="112">
        <v>1000</v>
      </c>
      <c r="N12" s="108" t="s">
        <v>1602</v>
      </c>
      <c r="O12" s="108" t="s">
        <v>1603</v>
      </c>
      <c r="P12" s="119"/>
      <c r="Q12" s="119"/>
      <c r="R12" s="108"/>
      <c r="S12" s="134"/>
      <c r="Z12" s="116" t="s">
        <v>880</v>
      </c>
      <c r="AA12" s="116" t="s">
        <v>881</v>
      </c>
      <c r="AB12" s="116" t="s">
        <v>882</v>
      </c>
      <c r="AC12" s="116" t="s">
        <v>883</v>
      </c>
    </row>
    <row r="13" spans="1:29" s="73" customFormat="1" ht="13.5">
      <c r="B13" s="104">
        <v>6</v>
      </c>
      <c r="C13" s="105" t="s">
        <v>1098</v>
      </c>
      <c r="D13" s="119"/>
      <c r="E13" s="107"/>
      <c r="F13" s="107"/>
      <c r="G13" s="108"/>
      <c r="H13" s="109"/>
      <c r="I13" s="110">
        <v>6</v>
      </c>
      <c r="J13" s="118" t="s">
        <v>1101</v>
      </c>
      <c r="K13" s="119"/>
      <c r="L13" s="113" t="s">
        <v>1354</v>
      </c>
      <c r="M13" s="112">
        <v>1000</v>
      </c>
      <c r="N13" s="108" t="s">
        <v>1604</v>
      </c>
      <c r="O13" s="108" t="s">
        <v>1605</v>
      </c>
      <c r="P13" s="119"/>
      <c r="Q13" s="112"/>
      <c r="R13" s="114"/>
      <c r="S13" s="134"/>
      <c r="Z13" s="116" t="s">
        <v>888</v>
      </c>
      <c r="AA13" s="116" t="s">
        <v>889</v>
      </c>
      <c r="AB13" s="116" t="s">
        <v>890</v>
      </c>
      <c r="AC13" s="116" t="s">
        <v>891</v>
      </c>
    </row>
    <row r="14" spans="1:29" s="73" customFormat="1" ht="13.5">
      <c r="B14" s="104">
        <v>7</v>
      </c>
      <c r="C14" s="105" t="s">
        <v>1606</v>
      </c>
      <c r="D14" s="119"/>
      <c r="E14" s="107"/>
      <c r="F14" s="107"/>
      <c r="G14" s="108"/>
      <c r="H14" s="109"/>
      <c r="I14" s="110">
        <v>7</v>
      </c>
      <c r="J14" s="118" t="s">
        <v>1607</v>
      </c>
      <c r="K14" s="106"/>
      <c r="L14" s="113" t="s">
        <v>1354</v>
      </c>
      <c r="M14" s="112">
        <v>1000</v>
      </c>
      <c r="N14" s="108" t="s">
        <v>1608</v>
      </c>
      <c r="O14" s="108" t="s">
        <v>1609</v>
      </c>
      <c r="P14" s="119"/>
      <c r="Q14" s="112"/>
      <c r="R14" s="114"/>
      <c r="S14" s="134"/>
      <c r="Z14" s="116" t="s">
        <v>896</v>
      </c>
      <c r="AA14" s="116" t="s">
        <v>849</v>
      </c>
      <c r="AB14" s="116" t="s">
        <v>897</v>
      </c>
      <c r="AC14" s="116" t="s">
        <v>898</v>
      </c>
    </row>
    <row r="15" spans="1:29" s="73" customFormat="1" ht="13.5">
      <c r="B15" s="104">
        <v>8</v>
      </c>
      <c r="C15" s="105" t="s">
        <v>1610</v>
      </c>
      <c r="D15" s="119"/>
      <c r="E15" s="107"/>
      <c r="F15" s="107"/>
      <c r="G15" s="108"/>
      <c r="H15" s="109"/>
      <c r="I15" s="110">
        <v>8</v>
      </c>
      <c r="J15" s="118" t="s">
        <v>1611</v>
      </c>
      <c r="K15" s="106"/>
      <c r="L15" s="113" t="s">
        <v>1354</v>
      </c>
      <c r="M15" s="112">
        <v>1000</v>
      </c>
      <c r="N15" s="108" t="s">
        <v>1612</v>
      </c>
      <c r="O15" s="108" t="s">
        <v>1613</v>
      </c>
      <c r="P15" s="119"/>
      <c r="Q15" s="112"/>
      <c r="R15" s="114"/>
      <c r="S15" s="134"/>
      <c r="Z15" s="116" t="s">
        <v>903</v>
      </c>
      <c r="AA15" s="116" t="s">
        <v>858</v>
      </c>
      <c r="AB15" s="116" t="s">
        <v>904</v>
      </c>
      <c r="AC15" s="116" t="s">
        <v>860</v>
      </c>
    </row>
    <row r="16" spans="1:29" s="73" customFormat="1" ht="13.5">
      <c r="B16" s="104">
        <v>9</v>
      </c>
      <c r="C16" s="105" t="s">
        <v>1614</v>
      </c>
      <c r="D16" s="119"/>
      <c r="E16" s="107"/>
      <c r="F16" s="107"/>
      <c r="G16" s="108"/>
      <c r="H16" s="109"/>
      <c r="I16" s="110">
        <v>9</v>
      </c>
      <c r="J16" s="118" t="s">
        <v>1615</v>
      </c>
      <c r="K16" s="106"/>
      <c r="L16" s="113" t="s">
        <v>1354</v>
      </c>
      <c r="M16" s="112">
        <v>1000</v>
      </c>
      <c r="N16" s="108" t="s">
        <v>1616</v>
      </c>
      <c r="O16" s="108" t="s">
        <v>1617</v>
      </c>
      <c r="P16" s="119"/>
      <c r="Q16" s="112"/>
      <c r="R16" s="114"/>
      <c r="S16" s="134"/>
      <c r="Z16" s="116" t="s">
        <v>909</v>
      </c>
      <c r="AA16" s="116" t="s">
        <v>858</v>
      </c>
      <c r="AB16" s="116" t="s">
        <v>910</v>
      </c>
      <c r="AC16" s="116" t="s">
        <v>911</v>
      </c>
    </row>
    <row r="17" spans="2:29" s="73" customFormat="1" ht="13.5">
      <c r="B17" s="104">
        <v>10</v>
      </c>
      <c r="C17" s="105" t="s">
        <v>1618</v>
      </c>
      <c r="D17" s="119"/>
      <c r="E17" s="107"/>
      <c r="F17" s="107"/>
      <c r="G17" s="108"/>
      <c r="H17" s="109"/>
      <c r="I17" s="110">
        <v>10</v>
      </c>
      <c r="J17" s="117" t="s">
        <v>1619</v>
      </c>
      <c r="K17" s="120"/>
      <c r="L17" s="113" t="s">
        <v>1354</v>
      </c>
      <c r="M17" s="112">
        <v>1000</v>
      </c>
      <c r="N17" s="108" t="s">
        <v>1620</v>
      </c>
      <c r="O17" s="108" t="s">
        <v>1621</v>
      </c>
      <c r="P17" s="112"/>
      <c r="Q17" s="112"/>
      <c r="R17" s="114"/>
      <c r="S17" s="134"/>
      <c r="Z17" s="116" t="s">
        <v>920</v>
      </c>
      <c r="AA17" s="116" t="s">
        <v>849</v>
      </c>
      <c r="AB17" s="116" t="s">
        <v>921</v>
      </c>
      <c r="AC17" s="116" t="s">
        <v>922</v>
      </c>
    </row>
    <row r="18" spans="2:29" s="73" customFormat="1" ht="27">
      <c r="B18" s="104">
        <v>11</v>
      </c>
      <c r="C18" s="105" t="s">
        <v>1622</v>
      </c>
      <c r="D18" s="119"/>
      <c r="E18" s="107"/>
      <c r="F18" s="107"/>
      <c r="G18" s="108"/>
      <c r="H18" s="109"/>
      <c r="I18" s="110">
        <v>11</v>
      </c>
      <c r="J18" s="117" t="s">
        <v>1623</v>
      </c>
      <c r="K18" s="112"/>
      <c r="L18" s="113" t="s">
        <v>1354</v>
      </c>
      <c r="M18" s="112">
        <v>1000</v>
      </c>
      <c r="N18" s="114" t="s">
        <v>1624</v>
      </c>
      <c r="O18" s="114" t="s">
        <v>1625</v>
      </c>
      <c r="P18" s="112"/>
      <c r="Q18" s="112"/>
      <c r="R18" s="114"/>
      <c r="S18" s="134"/>
      <c r="Z18" s="116" t="s">
        <v>931</v>
      </c>
      <c r="AA18" s="116" t="s">
        <v>932</v>
      </c>
      <c r="AB18" s="116" t="s">
        <v>933</v>
      </c>
      <c r="AC18" s="116" t="s">
        <v>934</v>
      </c>
    </row>
    <row r="19" spans="2:29" s="73" customFormat="1" ht="13.5">
      <c r="B19" s="104">
        <v>12</v>
      </c>
      <c r="C19" s="121" t="s">
        <v>1626</v>
      </c>
      <c r="D19" s="119"/>
      <c r="E19" s="107"/>
      <c r="F19" s="107"/>
      <c r="G19" s="108"/>
      <c r="H19" s="109"/>
      <c r="I19" s="110">
        <v>12</v>
      </c>
      <c r="J19" s="117" t="s">
        <v>1627</v>
      </c>
      <c r="K19" s="120"/>
      <c r="L19" s="113" t="s">
        <v>1354</v>
      </c>
      <c r="M19" s="112">
        <v>1000</v>
      </c>
      <c r="N19" s="114" t="s">
        <v>1628</v>
      </c>
      <c r="O19" s="114" t="s">
        <v>1629</v>
      </c>
      <c r="P19" s="112"/>
      <c r="Q19" s="112"/>
      <c r="R19" s="114"/>
      <c r="S19" s="134"/>
      <c r="Z19" s="116" t="s">
        <v>941</v>
      </c>
      <c r="AA19" s="116" t="s">
        <v>942</v>
      </c>
      <c r="AB19" s="116" t="s">
        <v>943</v>
      </c>
      <c r="AC19" s="116" t="s">
        <v>944</v>
      </c>
    </row>
    <row r="20" spans="2:29" s="73" customFormat="1" ht="13.5">
      <c r="B20" s="104">
        <v>13</v>
      </c>
      <c r="C20" s="121" t="s">
        <v>1630</v>
      </c>
      <c r="D20" s="119"/>
      <c r="E20" s="107"/>
      <c r="F20" s="107"/>
      <c r="G20" s="108"/>
      <c r="H20" s="109"/>
      <c r="I20" s="110">
        <v>13</v>
      </c>
      <c r="J20" s="117" t="s">
        <v>1631</v>
      </c>
      <c r="K20" s="120"/>
      <c r="L20" s="113" t="s">
        <v>1354</v>
      </c>
      <c r="M20" s="112">
        <v>1000</v>
      </c>
      <c r="N20" s="114" t="s">
        <v>1632</v>
      </c>
      <c r="O20" s="114" t="s">
        <v>1633</v>
      </c>
      <c r="P20" s="112"/>
      <c r="Q20" s="112"/>
      <c r="R20" s="114"/>
      <c r="S20" s="134"/>
      <c r="Z20" s="116" t="s">
        <v>952</v>
      </c>
      <c r="AA20" s="116" t="s">
        <v>942</v>
      </c>
      <c r="AB20" s="116" t="s">
        <v>953</v>
      </c>
      <c r="AC20" s="116" t="s">
        <v>954</v>
      </c>
    </row>
    <row r="21" spans="2:29" s="73" customFormat="1" ht="13.5">
      <c r="B21" s="104">
        <v>14</v>
      </c>
      <c r="C21" s="121" t="s">
        <v>1634</v>
      </c>
      <c r="D21" s="119"/>
      <c r="E21" s="107"/>
      <c r="F21" s="107"/>
      <c r="G21" s="108"/>
      <c r="H21" s="109"/>
      <c r="I21" s="110">
        <v>14</v>
      </c>
      <c r="J21" s="118" t="s">
        <v>1635</v>
      </c>
      <c r="K21" s="119"/>
      <c r="L21" s="113" t="s">
        <v>1354</v>
      </c>
      <c r="M21" s="112">
        <v>1000</v>
      </c>
      <c r="N21" s="108" t="s">
        <v>1636</v>
      </c>
      <c r="O21" s="108" t="s">
        <v>1637</v>
      </c>
      <c r="P21" s="119"/>
      <c r="Q21" s="119"/>
      <c r="R21" s="108"/>
      <c r="S21" s="134"/>
      <c r="Z21" s="116" t="s">
        <v>958</v>
      </c>
      <c r="AA21" s="116" t="s">
        <v>959</v>
      </c>
      <c r="AB21" s="116" t="s">
        <v>960</v>
      </c>
      <c r="AC21" s="116" t="s">
        <v>961</v>
      </c>
    </row>
    <row r="22" spans="2:29" s="73" customFormat="1" ht="13.5">
      <c r="B22" s="104">
        <v>15</v>
      </c>
      <c r="C22" s="121" t="s">
        <v>1638</v>
      </c>
      <c r="D22" s="119"/>
      <c r="E22" s="107"/>
      <c r="F22" s="107"/>
      <c r="G22" s="108"/>
      <c r="H22" s="109"/>
      <c r="I22" s="110">
        <v>15</v>
      </c>
      <c r="J22" s="118" t="s">
        <v>1639</v>
      </c>
      <c r="K22" s="119"/>
      <c r="L22" s="113" t="s">
        <v>1354</v>
      </c>
      <c r="M22" s="112">
        <v>1000</v>
      </c>
      <c r="N22" s="108" t="s">
        <v>1640</v>
      </c>
      <c r="O22" s="108" t="s">
        <v>1641</v>
      </c>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1D9C8DF8-2A42-4425-A255-2D7175F35EBA}"/>
  </hyperlinks>
  <pageMargins left="0.7" right="0.7" top="0.75" bottom="0.75" header="0.3" footer="0.3"/>
  <customProperties>
    <customPr name="_pios_id" r:id="rId1"/>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5E4FF-DAE9-4726-A197-264C6843B33C}">
  <dimension ref="A1:AC96"/>
  <sheetViews>
    <sheetView showGridLines="0" workbookViewId="0"/>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1642</v>
      </c>
      <c r="C2" s="993"/>
      <c r="D2" s="993"/>
      <c r="E2" s="993"/>
      <c r="F2" s="993"/>
      <c r="G2" s="993"/>
      <c r="H2" s="993"/>
      <c r="I2" s="994"/>
      <c r="J2" s="70" t="s">
        <v>816</v>
      </c>
      <c r="K2" s="998" t="s">
        <v>128</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t="s">
        <v>3712</v>
      </c>
      <c r="D6" s="984"/>
      <c r="E6" s="984"/>
      <c r="F6" s="984"/>
      <c r="G6" s="984"/>
      <c r="H6" s="986"/>
      <c r="I6" s="102" t="s">
        <v>829</v>
      </c>
      <c r="J6" s="988" t="s">
        <v>830</v>
      </c>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147" t="s">
        <v>1068</v>
      </c>
      <c r="D8" s="119" t="s">
        <v>42</v>
      </c>
      <c r="E8" s="107" t="s">
        <v>845</v>
      </c>
      <c r="F8" s="107">
        <v>18</v>
      </c>
      <c r="G8" s="108" t="s">
        <v>1069</v>
      </c>
      <c r="H8" s="109" t="s">
        <v>1070</v>
      </c>
      <c r="I8" s="110">
        <v>1</v>
      </c>
      <c r="J8" s="111" t="s">
        <v>1271</v>
      </c>
      <c r="K8" s="112" t="s">
        <v>42</v>
      </c>
      <c r="L8" s="113" t="s">
        <v>1354</v>
      </c>
      <c r="M8" s="112">
        <v>1000</v>
      </c>
      <c r="N8" s="114" t="s">
        <v>1069</v>
      </c>
      <c r="O8" s="114" t="s">
        <v>1070</v>
      </c>
      <c r="P8" s="112"/>
      <c r="Q8" s="112"/>
      <c r="R8" s="114"/>
      <c r="S8" s="134"/>
      <c r="Z8" s="116" t="s">
        <v>848</v>
      </c>
      <c r="AA8" s="116" t="s">
        <v>849</v>
      </c>
      <c r="AB8" s="116" t="s">
        <v>850</v>
      </c>
      <c r="AC8" s="116" t="s">
        <v>851</v>
      </c>
    </row>
    <row r="9" spans="1:29" s="73" customFormat="1" ht="13.5">
      <c r="B9" s="104">
        <v>2</v>
      </c>
      <c r="C9" s="147" t="s">
        <v>1273</v>
      </c>
      <c r="D9" s="119" t="s">
        <v>42</v>
      </c>
      <c r="E9" s="107" t="s">
        <v>845</v>
      </c>
      <c r="F9" s="107">
        <v>4</v>
      </c>
      <c r="G9" s="108" t="s">
        <v>1274</v>
      </c>
      <c r="H9" s="109" t="s">
        <v>1599</v>
      </c>
      <c r="I9" s="110">
        <v>2</v>
      </c>
      <c r="J9" s="111" t="s">
        <v>1144</v>
      </c>
      <c r="K9" s="119" t="s">
        <v>42</v>
      </c>
      <c r="L9" s="113" t="s">
        <v>1354</v>
      </c>
      <c r="M9" s="112">
        <v>1000</v>
      </c>
      <c r="N9" s="114" t="s">
        <v>1274</v>
      </c>
      <c r="O9" s="114" t="s">
        <v>1599</v>
      </c>
      <c r="P9" s="112"/>
      <c r="Q9" s="112"/>
      <c r="R9" s="114"/>
      <c r="S9" s="134"/>
      <c r="T9" s="71"/>
      <c r="Z9" s="116" t="s">
        <v>857</v>
      </c>
      <c r="AA9" s="116" t="s">
        <v>858</v>
      </c>
      <c r="AB9" s="116" t="s">
        <v>859</v>
      </c>
      <c r="AC9" s="116" t="s">
        <v>860</v>
      </c>
    </row>
    <row r="10" spans="1:29" s="73" customFormat="1" ht="13.5">
      <c r="B10" s="104">
        <v>3</v>
      </c>
      <c r="C10" s="105" t="s">
        <v>1643</v>
      </c>
      <c r="D10" s="119"/>
      <c r="E10" s="107" t="s">
        <v>1644</v>
      </c>
      <c r="F10" s="107">
        <v>11.2</v>
      </c>
      <c r="G10" s="108" t="s">
        <v>1645</v>
      </c>
      <c r="H10" s="109" t="s">
        <v>1646</v>
      </c>
      <c r="I10" s="110">
        <v>3</v>
      </c>
      <c r="J10" s="117" t="s">
        <v>1647</v>
      </c>
      <c r="K10" s="119"/>
      <c r="L10" s="113" t="s">
        <v>1354</v>
      </c>
      <c r="M10" s="112">
        <v>1000</v>
      </c>
      <c r="N10" s="114" t="s">
        <v>1645</v>
      </c>
      <c r="O10" s="114" t="s">
        <v>1646</v>
      </c>
      <c r="P10" s="112"/>
      <c r="Q10" s="112"/>
      <c r="R10" s="114"/>
      <c r="S10" s="134"/>
      <c r="T10" s="71"/>
      <c r="Z10" s="116" t="s">
        <v>865</v>
      </c>
      <c r="AA10" s="116" t="s">
        <v>866</v>
      </c>
      <c r="AB10" s="116" t="s">
        <v>867</v>
      </c>
      <c r="AC10" s="116" t="s">
        <v>868</v>
      </c>
    </row>
    <row r="11" spans="1:29" s="73" customFormat="1" ht="13.5">
      <c r="B11" s="104">
        <v>4</v>
      </c>
      <c r="C11" s="147" t="s">
        <v>1648</v>
      </c>
      <c r="D11" s="119" t="s">
        <v>42</v>
      </c>
      <c r="E11" s="107" t="s">
        <v>1649</v>
      </c>
      <c r="F11" s="107">
        <v>5</v>
      </c>
      <c r="G11" s="108" t="s">
        <v>1650</v>
      </c>
      <c r="H11" s="109" t="s">
        <v>1651</v>
      </c>
      <c r="I11" s="110">
        <v>4</v>
      </c>
      <c r="J11" s="147" t="s">
        <v>1652</v>
      </c>
      <c r="K11" s="119" t="s">
        <v>42</v>
      </c>
      <c r="L11" s="113" t="s">
        <v>1354</v>
      </c>
      <c r="M11" s="112">
        <v>1000</v>
      </c>
      <c r="N11" s="108" t="s">
        <v>1650</v>
      </c>
      <c r="O11" s="108" t="s">
        <v>1651</v>
      </c>
      <c r="P11" s="119"/>
      <c r="Q11" s="119"/>
      <c r="R11" s="108"/>
      <c r="S11" s="134"/>
      <c r="Z11" s="116" t="s">
        <v>873</v>
      </c>
      <c r="AA11" s="116" t="s">
        <v>858</v>
      </c>
      <c r="AB11" s="116" t="s">
        <v>874</v>
      </c>
      <c r="AC11" s="116" t="s">
        <v>875</v>
      </c>
    </row>
    <row r="12" spans="1:29" s="73" customFormat="1" ht="13.5">
      <c r="B12" s="104">
        <v>5</v>
      </c>
      <c r="C12" s="105" t="s">
        <v>1653</v>
      </c>
      <c r="D12" s="119"/>
      <c r="E12" s="107" t="s">
        <v>1586</v>
      </c>
      <c r="F12" s="107">
        <v>5</v>
      </c>
      <c r="G12" s="108" t="s">
        <v>1654</v>
      </c>
      <c r="H12" s="109" t="s">
        <v>1655</v>
      </c>
      <c r="I12" s="110">
        <v>5</v>
      </c>
      <c r="J12" s="118" t="s">
        <v>1656</v>
      </c>
      <c r="K12" s="119"/>
      <c r="L12" s="113" t="s">
        <v>1354</v>
      </c>
      <c r="M12" s="112">
        <v>1000</v>
      </c>
      <c r="N12" s="108" t="s">
        <v>1654</v>
      </c>
      <c r="O12" s="108" t="s">
        <v>1655</v>
      </c>
      <c r="P12" s="119"/>
      <c r="Q12" s="119"/>
      <c r="R12" s="108"/>
      <c r="S12" s="134"/>
      <c r="Z12" s="116" t="s">
        <v>880</v>
      </c>
      <c r="AA12" s="116" t="s">
        <v>881</v>
      </c>
      <c r="AB12" s="116" t="s">
        <v>882</v>
      </c>
      <c r="AC12" s="116" t="s">
        <v>883</v>
      </c>
    </row>
    <row r="13" spans="1:29" s="73" customFormat="1" ht="40.5">
      <c r="B13" s="104">
        <v>6</v>
      </c>
      <c r="C13" s="105" t="s">
        <v>1657</v>
      </c>
      <c r="D13" s="119"/>
      <c r="E13" s="107" t="s">
        <v>845</v>
      </c>
      <c r="F13" s="107">
        <v>1</v>
      </c>
      <c r="G13" s="108" t="s">
        <v>1658</v>
      </c>
      <c r="H13" s="109" t="s">
        <v>1659</v>
      </c>
      <c r="I13" s="110">
        <v>6</v>
      </c>
      <c r="J13" s="118" t="s">
        <v>1660</v>
      </c>
      <c r="K13" s="119"/>
      <c r="L13" s="113" t="s">
        <v>1354</v>
      </c>
      <c r="M13" s="112">
        <v>1000</v>
      </c>
      <c r="N13" s="108" t="s">
        <v>1658</v>
      </c>
      <c r="O13" s="108" t="s">
        <v>1659</v>
      </c>
      <c r="P13" s="119"/>
      <c r="Q13" s="112"/>
      <c r="R13" s="114"/>
      <c r="S13" s="134"/>
      <c r="Z13" s="116" t="s">
        <v>888</v>
      </c>
      <c r="AA13" s="116" t="s">
        <v>889</v>
      </c>
      <c r="AB13" s="116" t="s">
        <v>890</v>
      </c>
      <c r="AC13" s="116" t="s">
        <v>891</v>
      </c>
    </row>
    <row r="14" spans="1:29" s="73" customFormat="1" ht="13.5">
      <c r="B14" s="104">
        <v>7</v>
      </c>
      <c r="C14" s="105"/>
      <c r="D14" s="119"/>
      <c r="E14" s="107"/>
      <c r="F14" s="107"/>
      <c r="G14" s="108"/>
      <c r="H14" s="109"/>
      <c r="I14" s="110">
        <v>7</v>
      </c>
      <c r="J14" s="118"/>
      <c r="K14" s="106"/>
      <c r="L14" s="113"/>
      <c r="M14" s="112"/>
      <c r="N14" s="108"/>
      <c r="O14" s="108"/>
      <c r="P14" s="119"/>
      <c r="Q14" s="112"/>
      <c r="R14" s="114"/>
      <c r="S14" s="134"/>
      <c r="Z14" s="116" t="s">
        <v>896</v>
      </c>
      <c r="AA14" s="116" t="s">
        <v>849</v>
      </c>
      <c r="AB14" s="116" t="s">
        <v>897</v>
      </c>
      <c r="AC14" s="116" t="s">
        <v>898</v>
      </c>
    </row>
    <row r="15" spans="1:29" s="73" customFormat="1" ht="13.5">
      <c r="B15" s="104">
        <v>8</v>
      </c>
      <c r="C15" s="105"/>
      <c r="D15" s="119"/>
      <c r="E15" s="107"/>
      <c r="F15" s="107"/>
      <c r="G15" s="108"/>
      <c r="H15" s="109"/>
      <c r="I15" s="110">
        <v>8</v>
      </c>
      <c r="J15" s="118"/>
      <c r="K15" s="106"/>
      <c r="L15" s="113"/>
      <c r="M15" s="112"/>
      <c r="N15" s="108"/>
      <c r="O15" s="108"/>
      <c r="P15" s="119"/>
      <c r="Q15" s="112"/>
      <c r="R15" s="114"/>
      <c r="S15" s="134"/>
      <c r="Z15" s="116" t="s">
        <v>903</v>
      </c>
      <c r="AA15" s="116" t="s">
        <v>858</v>
      </c>
      <c r="AB15" s="116" t="s">
        <v>904</v>
      </c>
      <c r="AC15" s="116" t="s">
        <v>860</v>
      </c>
    </row>
    <row r="16" spans="1:29" s="73" customFormat="1" ht="13.5">
      <c r="B16" s="104">
        <v>9</v>
      </c>
      <c r="C16" s="105"/>
      <c r="D16" s="119"/>
      <c r="E16" s="107"/>
      <c r="F16" s="107"/>
      <c r="G16" s="108"/>
      <c r="H16" s="109"/>
      <c r="I16" s="110">
        <v>9</v>
      </c>
      <c r="J16" s="118"/>
      <c r="K16" s="106"/>
      <c r="L16" s="113"/>
      <c r="M16" s="112"/>
      <c r="N16" s="108"/>
      <c r="O16" s="108"/>
      <c r="P16" s="119"/>
      <c r="Q16" s="112"/>
      <c r="R16" s="114"/>
      <c r="S16" s="134"/>
      <c r="Z16" s="116" t="s">
        <v>909</v>
      </c>
      <c r="AA16" s="116" t="s">
        <v>858</v>
      </c>
      <c r="AB16" s="116" t="s">
        <v>910</v>
      </c>
      <c r="AC16" s="116" t="s">
        <v>911</v>
      </c>
    </row>
    <row r="17" spans="2:29" s="73" customFormat="1" ht="13.5">
      <c r="B17" s="104">
        <v>10</v>
      </c>
      <c r="C17" s="105"/>
      <c r="D17" s="119"/>
      <c r="E17" s="107"/>
      <c r="F17" s="107"/>
      <c r="G17" s="108"/>
      <c r="H17" s="109"/>
      <c r="I17" s="110">
        <v>10</v>
      </c>
      <c r="J17" s="117"/>
      <c r="K17" s="120"/>
      <c r="L17" s="113"/>
      <c r="M17" s="112"/>
      <c r="N17" s="108"/>
      <c r="O17" s="108"/>
      <c r="P17" s="112"/>
      <c r="Q17" s="112"/>
      <c r="R17" s="114"/>
      <c r="S17" s="134"/>
      <c r="Z17" s="116" t="s">
        <v>920</v>
      </c>
      <c r="AA17" s="116" t="s">
        <v>849</v>
      </c>
      <c r="AB17" s="116" t="s">
        <v>921</v>
      </c>
      <c r="AC17" s="116" t="s">
        <v>922</v>
      </c>
    </row>
    <row r="18" spans="2:29" s="73" customFormat="1" ht="13.5">
      <c r="B18" s="104">
        <v>11</v>
      </c>
      <c r="C18" s="105"/>
      <c r="D18" s="119"/>
      <c r="E18" s="107"/>
      <c r="F18" s="107"/>
      <c r="G18" s="108"/>
      <c r="H18" s="109"/>
      <c r="I18" s="110">
        <v>11</v>
      </c>
      <c r="J18" s="117"/>
      <c r="K18" s="112"/>
      <c r="L18" s="113"/>
      <c r="M18" s="112"/>
      <c r="N18" s="114"/>
      <c r="O18" s="114"/>
      <c r="P18" s="112"/>
      <c r="Q18" s="112"/>
      <c r="R18" s="114"/>
      <c r="S18" s="134"/>
      <c r="Z18" s="116" t="s">
        <v>931</v>
      </c>
      <c r="AA18" s="116" t="s">
        <v>932</v>
      </c>
      <c r="AB18" s="116" t="s">
        <v>933</v>
      </c>
      <c r="AC18" s="116" t="s">
        <v>934</v>
      </c>
    </row>
    <row r="19" spans="2:29" s="73" customFormat="1" ht="13.5">
      <c r="B19" s="104">
        <v>12</v>
      </c>
      <c r="C19" s="121"/>
      <c r="D19" s="119"/>
      <c r="E19" s="107"/>
      <c r="F19" s="107"/>
      <c r="G19" s="108"/>
      <c r="H19" s="109"/>
      <c r="I19" s="110">
        <v>12</v>
      </c>
      <c r="J19" s="117"/>
      <c r="K19" s="120"/>
      <c r="L19" s="113"/>
      <c r="M19" s="112"/>
      <c r="N19" s="114"/>
      <c r="O19" s="114"/>
      <c r="P19" s="112"/>
      <c r="Q19" s="112"/>
      <c r="R19" s="114"/>
      <c r="S19" s="134"/>
      <c r="Z19" s="116" t="s">
        <v>941</v>
      </c>
      <c r="AA19" s="116" t="s">
        <v>942</v>
      </c>
      <c r="AB19" s="116" t="s">
        <v>943</v>
      </c>
      <c r="AC19" s="116" t="s">
        <v>944</v>
      </c>
    </row>
    <row r="20" spans="2:29" s="73" customFormat="1" ht="13.5">
      <c r="B20" s="104">
        <v>13</v>
      </c>
      <c r="C20" s="121"/>
      <c r="D20" s="119"/>
      <c r="E20" s="107"/>
      <c r="F20" s="107"/>
      <c r="G20" s="108"/>
      <c r="H20" s="109"/>
      <c r="I20" s="110">
        <v>13</v>
      </c>
      <c r="J20" s="117"/>
      <c r="K20" s="120"/>
      <c r="L20" s="113"/>
      <c r="M20" s="112"/>
      <c r="N20" s="114"/>
      <c r="O20" s="114"/>
      <c r="P20" s="112"/>
      <c r="Q20" s="112"/>
      <c r="R20" s="114"/>
      <c r="S20" s="134"/>
      <c r="Z20" s="116" t="s">
        <v>952</v>
      </c>
      <c r="AA20" s="116" t="s">
        <v>942</v>
      </c>
      <c r="AB20" s="116" t="s">
        <v>953</v>
      </c>
      <c r="AC20" s="116" t="s">
        <v>954</v>
      </c>
    </row>
    <row r="21" spans="2:29" s="73" customFormat="1" ht="13.5">
      <c r="B21" s="104">
        <v>14</v>
      </c>
      <c r="C21" s="121"/>
      <c r="D21" s="119"/>
      <c r="E21" s="107"/>
      <c r="F21" s="107"/>
      <c r="G21" s="108"/>
      <c r="H21" s="109"/>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c r="D22" s="119"/>
      <c r="E22" s="107"/>
      <c r="F22" s="107"/>
      <c r="G22" s="108"/>
      <c r="H22" s="109"/>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7E1F8E12-592C-43B2-9A19-BA1A7FB5A97D}"/>
  </hyperlinks>
  <pageMargins left="0.7" right="0.7" top="0.75" bottom="0.75" header="0.3" footer="0.3"/>
  <customProperties>
    <customPr name="_pios_id" r:id="rId1"/>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E2911-F07D-420C-B992-E6DE8E83772A}">
  <sheetPr>
    <tabColor rgb="FFFFFF00"/>
  </sheetPr>
  <dimension ref="A1:U175"/>
  <sheetViews>
    <sheetView showGridLines="0" zoomScale="85" zoomScaleNormal="85" workbookViewId="0">
      <selection activeCell="J14" sqref="J14"/>
    </sheetView>
  </sheetViews>
  <sheetFormatPr defaultColWidth="12.625" defaultRowHeight="16.5"/>
  <cols>
    <col min="1" max="1" width="2.125" style="69" customWidth="1"/>
    <col min="2" max="2" width="5.125" style="69" customWidth="1"/>
    <col min="3" max="3" width="18.125" style="69" customWidth="1"/>
    <col min="4" max="4" width="3.875" style="69" customWidth="1"/>
    <col min="5" max="5" width="9.125" style="69" customWidth="1"/>
    <col min="6" max="6" width="6.5" style="69" customWidth="1"/>
    <col min="7" max="7" width="25.125" style="69" customWidth="1"/>
    <col min="8" max="8" width="27.625" style="69" customWidth="1"/>
    <col min="9" max="11" width="8.875" style="69" customWidth="1"/>
    <col min="12" max="12" width="14" style="69" customWidth="1"/>
    <col min="13" max="13" width="8.875" style="69" customWidth="1"/>
    <col min="14" max="19" width="12.25" style="4" customWidth="1"/>
    <col min="20" max="20" width="26.125" style="69" customWidth="1"/>
    <col min="21" max="16384" width="12.625" style="69"/>
  </cols>
  <sheetData>
    <row r="1" spans="1:20" ht="9.6" customHeight="1" thickBot="1">
      <c r="A1" s="67" t="s">
        <v>814</v>
      </c>
    </row>
    <row r="2" spans="1:20" ht="23.1" customHeight="1">
      <c r="B2" s="992" t="s">
        <v>1661</v>
      </c>
      <c r="C2" s="993"/>
      <c r="D2" s="993"/>
      <c r="E2" s="993"/>
      <c r="F2" s="993"/>
      <c r="G2" s="993"/>
      <c r="H2" s="993"/>
      <c r="I2" s="994"/>
      <c r="J2" s="70" t="s">
        <v>816</v>
      </c>
      <c r="K2" s="998" t="s">
        <v>128</v>
      </c>
      <c r="L2" s="999"/>
      <c r="M2" s="999"/>
      <c r="N2" s="1000"/>
      <c r="O2" s="539" t="s">
        <v>817</v>
      </c>
      <c r="P2" s="1022" t="s">
        <v>818</v>
      </c>
      <c r="Q2" s="1022"/>
      <c r="R2" s="1022"/>
      <c r="S2" s="1023"/>
      <c r="T2" s="71"/>
    </row>
    <row r="3" spans="1:20" ht="22.35" customHeight="1" thickBot="1">
      <c r="B3" s="995"/>
      <c r="C3" s="996"/>
      <c r="D3" s="996"/>
      <c r="E3" s="996"/>
      <c r="F3" s="996"/>
      <c r="G3" s="996"/>
      <c r="H3" s="996"/>
      <c r="I3" s="997"/>
      <c r="J3" s="72" t="s">
        <v>819</v>
      </c>
      <c r="K3" s="1003" t="s">
        <v>820</v>
      </c>
      <c r="L3" s="1004"/>
      <c r="M3" s="1004"/>
      <c r="N3" s="1005"/>
      <c r="O3" s="540" t="s">
        <v>821</v>
      </c>
      <c r="P3" s="1024">
        <v>0.1</v>
      </c>
      <c r="Q3" s="1024"/>
      <c r="R3" s="1024"/>
      <c r="S3" s="1025"/>
      <c r="T3" s="73"/>
    </row>
    <row r="4" spans="1:20" ht="26.1" customHeight="1" thickBot="1">
      <c r="B4" s="74" t="s">
        <v>822</v>
      </c>
      <c r="C4" s="73"/>
      <c r="D4" s="73"/>
      <c r="E4" s="73"/>
      <c r="F4" s="73"/>
      <c r="G4" s="73"/>
      <c r="H4" s="73"/>
      <c r="I4" s="73"/>
      <c r="J4" s="73"/>
      <c r="K4" s="73"/>
      <c r="L4" s="73"/>
      <c r="M4" s="73"/>
      <c r="N4" s="5"/>
      <c r="O4" s="5"/>
      <c r="Q4" s="5"/>
      <c r="R4" s="5"/>
      <c r="T4" s="73"/>
    </row>
    <row r="5" spans="1:20">
      <c r="B5" s="979" t="s">
        <v>823</v>
      </c>
      <c r="C5" s="980"/>
      <c r="D5" s="980"/>
      <c r="E5" s="980"/>
      <c r="F5" s="980"/>
      <c r="G5" s="980"/>
      <c r="H5" s="981"/>
      <c r="I5" s="982" t="s">
        <v>1662</v>
      </c>
      <c r="J5" s="980"/>
      <c r="K5" s="980"/>
      <c r="L5" s="980"/>
      <c r="M5" s="980"/>
      <c r="N5" s="980"/>
      <c r="O5" s="980"/>
      <c r="P5" s="980"/>
      <c r="Q5" s="980"/>
      <c r="R5" s="1018" t="s">
        <v>825</v>
      </c>
      <c r="S5" s="1020" t="s">
        <v>826</v>
      </c>
      <c r="T5" s="73"/>
    </row>
    <row r="6" spans="1:20" ht="32.1" customHeight="1">
      <c r="B6" s="78" t="s">
        <v>828</v>
      </c>
      <c r="C6" s="987" t="s">
        <v>212</v>
      </c>
      <c r="D6" s="984"/>
      <c r="E6" s="984"/>
      <c r="F6" s="984"/>
      <c r="G6" s="984"/>
      <c r="H6" s="986"/>
      <c r="I6" s="102" t="s">
        <v>829</v>
      </c>
      <c r="J6" s="988" t="s">
        <v>830</v>
      </c>
      <c r="K6" s="984"/>
      <c r="L6" s="984"/>
      <c r="M6" s="984"/>
      <c r="N6" s="984"/>
      <c r="O6" s="984"/>
      <c r="P6" s="984"/>
      <c r="Q6" s="984"/>
      <c r="R6" s="1019"/>
      <c r="S6" s="1021"/>
      <c r="T6" s="73"/>
    </row>
    <row r="7" spans="1:20" ht="24">
      <c r="B7" s="79" t="s">
        <v>831</v>
      </c>
      <c r="C7" s="80" t="s">
        <v>832</v>
      </c>
      <c r="D7" s="80" t="s">
        <v>833</v>
      </c>
      <c r="E7" s="80" t="s">
        <v>834</v>
      </c>
      <c r="F7" s="80" t="s">
        <v>835</v>
      </c>
      <c r="G7" s="80" t="s">
        <v>836</v>
      </c>
      <c r="H7" s="81" t="s">
        <v>837</v>
      </c>
      <c r="I7" s="103" t="s">
        <v>831</v>
      </c>
      <c r="J7" s="80" t="s">
        <v>832</v>
      </c>
      <c r="K7" s="80" t="s">
        <v>833</v>
      </c>
      <c r="L7" s="80" t="s">
        <v>834</v>
      </c>
      <c r="M7" s="80" t="s">
        <v>835</v>
      </c>
      <c r="N7" s="541" t="s">
        <v>836</v>
      </c>
      <c r="O7" s="541" t="s">
        <v>837</v>
      </c>
      <c r="P7" s="542" t="s">
        <v>838</v>
      </c>
      <c r="Q7" s="542" t="s">
        <v>839</v>
      </c>
      <c r="R7" s="1019"/>
      <c r="S7" s="1021"/>
      <c r="T7" s="73"/>
    </row>
    <row r="8" spans="1:20" s="73" customFormat="1" ht="13.5">
      <c r="B8" s="104">
        <v>1</v>
      </c>
      <c r="C8" s="105" t="s">
        <v>844</v>
      </c>
      <c r="D8" s="119"/>
      <c r="E8" s="107" t="s">
        <v>845</v>
      </c>
      <c r="F8" s="107">
        <v>5</v>
      </c>
      <c r="G8" s="108" t="s">
        <v>846</v>
      </c>
      <c r="H8" s="109" t="s">
        <v>847</v>
      </c>
      <c r="I8" s="110">
        <v>1</v>
      </c>
      <c r="J8" s="117"/>
      <c r="K8" s="112"/>
      <c r="L8" s="113"/>
      <c r="M8" s="112"/>
      <c r="N8" s="543"/>
      <c r="O8" s="543"/>
      <c r="P8" s="544"/>
      <c r="Q8" s="544"/>
      <c r="R8" s="543"/>
      <c r="S8" s="545"/>
    </row>
    <row r="9" spans="1:20" s="73" customFormat="1" ht="24">
      <c r="B9" s="104">
        <v>2</v>
      </c>
      <c r="C9" s="105" t="s">
        <v>1663</v>
      </c>
      <c r="D9" s="119"/>
      <c r="E9" s="107" t="s">
        <v>845</v>
      </c>
      <c r="F9" s="107">
        <v>4</v>
      </c>
      <c r="G9" s="108" t="s">
        <v>1664</v>
      </c>
      <c r="H9" s="109" t="s">
        <v>1665</v>
      </c>
      <c r="I9" s="110">
        <v>2</v>
      </c>
      <c r="J9" s="147" t="s">
        <v>1663</v>
      </c>
      <c r="K9" s="488"/>
      <c r="L9" s="489" t="s">
        <v>845</v>
      </c>
      <c r="M9" s="489">
        <v>4</v>
      </c>
      <c r="N9" s="546" t="s">
        <v>1664</v>
      </c>
      <c r="O9" s="547" t="s">
        <v>1665</v>
      </c>
      <c r="P9" s="544"/>
      <c r="Q9" s="544"/>
      <c r="R9" s="543"/>
      <c r="S9" s="545"/>
      <c r="T9" s="71"/>
    </row>
    <row r="10" spans="1:20" s="73" customFormat="1" ht="13.5">
      <c r="B10" s="104">
        <v>3</v>
      </c>
      <c r="C10" s="105" t="s">
        <v>852</v>
      </c>
      <c r="D10" s="119" t="s">
        <v>42</v>
      </c>
      <c r="E10" s="107" t="s">
        <v>845</v>
      </c>
      <c r="F10" s="107">
        <v>4</v>
      </c>
      <c r="G10" s="108" t="s">
        <v>853</v>
      </c>
      <c r="H10" s="109" t="s">
        <v>854</v>
      </c>
      <c r="I10" s="110">
        <v>3</v>
      </c>
      <c r="J10" s="117" t="s">
        <v>855</v>
      </c>
      <c r="K10" s="119" t="s">
        <v>42</v>
      </c>
      <c r="L10" s="113" t="s">
        <v>1354</v>
      </c>
      <c r="M10" s="112">
        <v>1000</v>
      </c>
      <c r="N10" s="543" t="s">
        <v>853</v>
      </c>
      <c r="O10" s="543" t="s">
        <v>854</v>
      </c>
      <c r="P10" s="544"/>
      <c r="Q10" s="544"/>
      <c r="R10" s="543"/>
      <c r="S10" s="545"/>
      <c r="T10" s="71"/>
    </row>
    <row r="11" spans="1:20" s="73" customFormat="1" ht="24">
      <c r="B11" s="104">
        <v>4</v>
      </c>
      <c r="C11" s="105" t="s">
        <v>861</v>
      </c>
      <c r="D11" s="119" t="s">
        <v>42</v>
      </c>
      <c r="E11" s="107" t="s">
        <v>845</v>
      </c>
      <c r="F11" s="107">
        <v>4</v>
      </c>
      <c r="G11" s="108" t="s">
        <v>1073</v>
      </c>
      <c r="H11" s="109" t="s">
        <v>863</v>
      </c>
      <c r="I11" s="110">
        <v>4</v>
      </c>
      <c r="J11" s="118" t="s">
        <v>864</v>
      </c>
      <c r="K11" s="119" t="s">
        <v>42</v>
      </c>
      <c r="L11" s="113" t="s">
        <v>1354</v>
      </c>
      <c r="M11" s="112">
        <v>1000</v>
      </c>
      <c r="N11" s="548" t="s">
        <v>862</v>
      </c>
      <c r="O11" s="548" t="s">
        <v>863</v>
      </c>
      <c r="P11" s="526"/>
      <c r="Q11" s="526"/>
      <c r="R11" s="548"/>
      <c r="S11" s="545"/>
    </row>
    <row r="12" spans="1:20" s="73" customFormat="1" ht="27">
      <c r="B12" s="104">
        <v>5</v>
      </c>
      <c r="C12" s="105" t="s">
        <v>1666</v>
      </c>
      <c r="D12" s="119"/>
      <c r="E12" s="107" t="s">
        <v>845</v>
      </c>
      <c r="F12" s="107">
        <v>2</v>
      </c>
      <c r="G12" s="108" t="s">
        <v>1667</v>
      </c>
      <c r="H12" s="109" t="s">
        <v>1668</v>
      </c>
      <c r="I12" s="110">
        <v>5</v>
      </c>
      <c r="J12" s="118" t="s">
        <v>1669</v>
      </c>
      <c r="K12" s="119"/>
      <c r="L12" s="113" t="s">
        <v>1354</v>
      </c>
      <c r="M12" s="112">
        <v>1000</v>
      </c>
      <c r="N12" s="548" t="s">
        <v>1667</v>
      </c>
      <c r="O12" s="548" t="s">
        <v>1668</v>
      </c>
      <c r="P12" s="526"/>
      <c r="Q12" s="526"/>
      <c r="R12" s="548"/>
      <c r="S12" s="545"/>
    </row>
    <row r="13" spans="1:20" s="73" customFormat="1" ht="27">
      <c r="B13" s="104">
        <v>6</v>
      </c>
      <c r="C13" s="105" t="s">
        <v>1670</v>
      </c>
      <c r="D13" s="119"/>
      <c r="E13" s="107" t="s">
        <v>845</v>
      </c>
      <c r="F13" s="107">
        <v>2</v>
      </c>
      <c r="G13" s="108" t="s">
        <v>1671</v>
      </c>
      <c r="H13" s="109" t="s">
        <v>1672</v>
      </c>
      <c r="I13" s="110">
        <v>6</v>
      </c>
      <c r="J13" s="118" t="s">
        <v>1673</v>
      </c>
      <c r="K13" s="119"/>
      <c r="L13" s="113" t="s">
        <v>1354</v>
      </c>
      <c r="M13" s="112">
        <v>1000</v>
      </c>
      <c r="N13" s="548" t="s">
        <v>1671</v>
      </c>
      <c r="O13" s="548" t="s">
        <v>1672</v>
      </c>
      <c r="P13" s="526"/>
      <c r="Q13" s="544"/>
      <c r="R13" s="543"/>
      <c r="S13" s="545"/>
    </row>
    <row r="14" spans="1:20" s="73" customFormat="1" ht="27">
      <c r="B14" s="104">
        <v>7</v>
      </c>
      <c r="C14" s="105" t="s">
        <v>1674</v>
      </c>
      <c r="D14" s="119" t="s">
        <v>42</v>
      </c>
      <c r="E14" s="107" t="s">
        <v>845</v>
      </c>
      <c r="F14" s="107">
        <v>10</v>
      </c>
      <c r="G14" s="108" t="s">
        <v>1675</v>
      </c>
      <c r="H14" s="109" t="s">
        <v>1676</v>
      </c>
      <c r="I14" s="110">
        <v>7</v>
      </c>
      <c r="J14" s="118" t="s">
        <v>1677</v>
      </c>
      <c r="K14" s="119" t="s">
        <v>42</v>
      </c>
      <c r="L14" s="113" t="s">
        <v>1354</v>
      </c>
      <c r="M14" s="112">
        <v>1000</v>
      </c>
      <c r="N14" s="548" t="s">
        <v>1678</v>
      </c>
      <c r="O14" s="548" t="s">
        <v>1679</v>
      </c>
      <c r="P14" s="526"/>
      <c r="Q14" s="544"/>
      <c r="R14" s="543"/>
      <c r="S14" s="545"/>
    </row>
    <row r="15" spans="1:20" s="73" customFormat="1" ht="13.5">
      <c r="B15" s="104">
        <v>8</v>
      </c>
      <c r="C15" s="105" t="s">
        <v>1680</v>
      </c>
      <c r="D15" s="119"/>
      <c r="E15" s="107" t="s">
        <v>845</v>
      </c>
      <c r="F15" s="107">
        <v>2</v>
      </c>
      <c r="G15" s="108" t="s">
        <v>1681</v>
      </c>
      <c r="H15" s="109" t="s">
        <v>1682</v>
      </c>
      <c r="I15" s="110">
        <v>8</v>
      </c>
      <c r="J15" s="118" t="s">
        <v>1683</v>
      </c>
      <c r="K15" s="119"/>
      <c r="L15" s="113" t="s">
        <v>1354</v>
      </c>
      <c r="M15" s="112">
        <v>1000</v>
      </c>
      <c r="N15" s="548" t="s">
        <v>1681</v>
      </c>
      <c r="O15" s="548" t="s">
        <v>1682</v>
      </c>
      <c r="P15" s="526"/>
      <c r="Q15" s="544"/>
      <c r="R15" s="543"/>
      <c r="S15" s="545"/>
    </row>
    <row r="16" spans="1:20" s="73" customFormat="1" ht="27">
      <c r="B16" s="104">
        <v>9</v>
      </c>
      <c r="C16" s="105" t="s">
        <v>1684</v>
      </c>
      <c r="D16" s="119"/>
      <c r="E16" s="107" t="s">
        <v>845</v>
      </c>
      <c r="F16" s="107">
        <v>40</v>
      </c>
      <c r="G16" s="108" t="s">
        <v>1685</v>
      </c>
      <c r="H16" s="109" t="s">
        <v>1686</v>
      </c>
      <c r="I16" s="110">
        <v>9</v>
      </c>
      <c r="J16" s="118" t="s">
        <v>1687</v>
      </c>
      <c r="K16" s="119"/>
      <c r="L16" s="113" t="s">
        <v>1354</v>
      </c>
      <c r="M16" s="112">
        <v>1000</v>
      </c>
      <c r="N16" s="548" t="s">
        <v>1685</v>
      </c>
      <c r="O16" s="548" t="s">
        <v>1686</v>
      </c>
      <c r="P16" s="526"/>
      <c r="Q16" s="544"/>
      <c r="R16" s="543"/>
      <c r="S16" s="545"/>
    </row>
    <row r="17" spans="2:19" s="73" customFormat="1" ht="27">
      <c r="B17" s="104">
        <v>10</v>
      </c>
      <c r="C17" s="105" t="s">
        <v>1688</v>
      </c>
      <c r="D17" s="119"/>
      <c r="E17" s="107" t="s">
        <v>845</v>
      </c>
      <c r="F17" s="107">
        <v>40</v>
      </c>
      <c r="G17" s="108" t="s">
        <v>1689</v>
      </c>
      <c r="H17" s="109" t="s">
        <v>1690</v>
      </c>
      <c r="I17" s="110">
        <v>10</v>
      </c>
      <c r="J17" s="117" t="s">
        <v>1691</v>
      </c>
      <c r="K17" s="112"/>
      <c r="L17" s="113" t="s">
        <v>1354</v>
      </c>
      <c r="M17" s="112">
        <v>1000</v>
      </c>
      <c r="N17" s="548" t="s">
        <v>1689</v>
      </c>
      <c r="O17" s="548" t="s">
        <v>1690</v>
      </c>
      <c r="P17" s="544"/>
      <c r="Q17" s="544"/>
      <c r="R17" s="543"/>
      <c r="S17" s="545"/>
    </row>
    <row r="18" spans="2:19" s="73" customFormat="1" ht="27">
      <c r="B18" s="104">
        <v>11</v>
      </c>
      <c r="C18" s="105" t="s">
        <v>1692</v>
      </c>
      <c r="D18" s="119"/>
      <c r="E18" s="107" t="s">
        <v>845</v>
      </c>
      <c r="F18" s="107">
        <v>40</v>
      </c>
      <c r="G18" s="108" t="s">
        <v>1693</v>
      </c>
      <c r="H18" s="109" t="s">
        <v>1694</v>
      </c>
      <c r="I18" s="110">
        <v>11</v>
      </c>
      <c r="J18" s="117" t="s">
        <v>1695</v>
      </c>
      <c r="K18" s="112"/>
      <c r="L18" s="113" t="s">
        <v>1354</v>
      </c>
      <c r="M18" s="112">
        <v>1000</v>
      </c>
      <c r="N18" s="543" t="s">
        <v>1693</v>
      </c>
      <c r="O18" s="543" t="s">
        <v>1694</v>
      </c>
      <c r="P18" s="544"/>
      <c r="Q18" s="544"/>
      <c r="R18" s="543"/>
      <c r="S18" s="545"/>
    </row>
    <row r="19" spans="2:19" s="73" customFormat="1" ht="27">
      <c r="B19" s="104">
        <v>12</v>
      </c>
      <c r="C19" s="121" t="s">
        <v>1696</v>
      </c>
      <c r="D19" s="119"/>
      <c r="E19" s="107" t="s">
        <v>845</v>
      </c>
      <c r="F19" s="107">
        <v>10</v>
      </c>
      <c r="G19" s="108" t="s">
        <v>1697</v>
      </c>
      <c r="H19" s="109" t="s">
        <v>1698</v>
      </c>
      <c r="I19" s="110">
        <v>12</v>
      </c>
      <c r="J19" s="117" t="s">
        <v>1699</v>
      </c>
      <c r="K19" s="112"/>
      <c r="L19" s="113" t="s">
        <v>1354</v>
      </c>
      <c r="M19" s="112">
        <v>1000</v>
      </c>
      <c r="N19" s="543" t="s">
        <v>1697</v>
      </c>
      <c r="O19" s="543" t="s">
        <v>1698</v>
      </c>
      <c r="P19" s="544"/>
      <c r="Q19" s="544"/>
      <c r="R19" s="543"/>
      <c r="S19" s="545"/>
    </row>
    <row r="20" spans="2:19" s="73" customFormat="1" ht="13.5">
      <c r="B20" s="104">
        <v>13</v>
      </c>
      <c r="C20" s="121" t="s">
        <v>1700</v>
      </c>
      <c r="D20" s="119"/>
      <c r="E20" s="107" t="s">
        <v>845</v>
      </c>
      <c r="F20" s="107">
        <v>3</v>
      </c>
      <c r="G20" s="108" t="s">
        <v>1489</v>
      </c>
      <c r="H20" s="109" t="s">
        <v>1490</v>
      </c>
      <c r="I20" s="110">
        <v>13</v>
      </c>
      <c r="J20" s="117" t="s">
        <v>879</v>
      </c>
      <c r="K20" s="112"/>
      <c r="L20" s="113" t="s">
        <v>1354</v>
      </c>
      <c r="M20" s="112">
        <v>1000</v>
      </c>
      <c r="N20" s="543" t="s">
        <v>1489</v>
      </c>
      <c r="O20" s="543" t="s">
        <v>1490</v>
      </c>
      <c r="P20" s="544"/>
      <c r="Q20" s="544"/>
      <c r="R20" s="543"/>
      <c r="S20" s="545"/>
    </row>
    <row r="21" spans="2:19" s="73" customFormat="1" ht="13.5">
      <c r="B21" s="104">
        <v>14</v>
      </c>
      <c r="C21" s="121" t="s">
        <v>1701</v>
      </c>
      <c r="D21" s="119"/>
      <c r="E21" s="107" t="s">
        <v>845</v>
      </c>
      <c r="F21" s="107">
        <v>10</v>
      </c>
      <c r="G21" s="108" t="s">
        <v>1702</v>
      </c>
      <c r="H21" s="109" t="s">
        <v>1703</v>
      </c>
      <c r="I21" s="110">
        <v>14</v>
      </c>
      <c r="J21" s="118"/>
      <c r="K21" s="119"/>
      <c r="L21" s="113"/>
      <c r="M21" s="112"/>
      <c r="N21" s="548"/>
      <c r="O21" s="548"/>
      <c r="P21" s="526"/>
      <c r="Q21" s="526"/>
      <c r="R21" s="548"/>
      <c r="S21" s="545"/>
    </row>
    <row r="22" spans="2:19" s="73" customFormat="1" ht="13.5">
      <c r="B22" s="104">
        <v>15</v>
      </c>
      <c r="C22" s="121" t="s">
        <v>1704</v>
      </c>
      <c r="D22" s="119"/>
      <c r="E22" s="107" t="s">
        <v>845</v>
      </c>
      <c r="F22" s="107">
        <v>3</v>
      </c>
      <c r="G22" s="108" t="s">
        <v>1705</v>
      </c>
      <c r="H22" s="109" t="s">
        <v>1706</v>
      </c>
      <c r="I22" s="110">
        <v>15</v>
      </c>
      <c r="J22" s="154" t="s">
        <v>916</v>
      </c>
      <c r="K22" s="155"/>
      <c r="L22" s="156" t="s">
        <v>917</v>
      </c>
      <c r="M22" s="157"/>
      <c r="N22" s="549" t="s">
        <v>918</v>
      </c>
      <c r="O22" s="549" t="s">
        <v>919</v>
      </c>
      <c r="P22" s="550"/>
      <c r="Q22" s="550"/>
      <c r="R22" s="551"/>
      <c r="S22" s="552"/>
    </row>
    <row r="23" spans="2:19" s="73" customFormat="1" ht="24">
      <c r="B23" s="104">
        <v>16</v>
      </c>
      <c r="C23" s="121" t="s">
        <v>1707</v>
      </c>
      <c r="D23" s="119"/>
      <c r="E23" s="107" t="s">
        <v>845</v>
      </c>
      <c r="F23" s="107">
        <v>40</v>
      </c>
      <c r="G23" s="108" t="s">
        <v>1708</v>
      </c>
      <c r="H23" s="109" t="s">
        <v>1709</v>
      </c>
      <c r="I23" s="110">
        <v>16</v>
      </c>
      <c r="J23" s="154" t="s">
        <v>927</v>
      </c>
      <c r="K23" s="157"/>
      <c r="L23" s="156" t="s">
        <v>928</v>
      </c>
      <c r="M23" s="157">
        <v>30</v>
      </c>
      <c r="N23" s="551" t="s">
        <v>929</v>
      </c>
      <c r="O23" s="551" t="s">
        <v>930</v>
      </c>
      <c r="P23" s="550"/>
      <c r="Q23" s="550"/>
      <c r="R23" s="551"/>
      <c r="S23" s="552"/>
    </row>
    <row r="24" spans="2:19" s="73" customFormat="1" ht="27">
      <c r="B24" s="344">
        <v>17</v>
      </c>
      <c r="C24" s="347" t="s">
        <v>1710</v>
      </c>
      <c r="D24" s="348"/>
      <c r="E24" s="348" t="s">
        <v>845</v>
      </c>
      <c r="F24" s="348">
        <v>60</v>
      </c>
      <c r="G24" s="349" t="s">
        <v>1711</v>
      </c>
      <c r="H24" s="350" t="s">
        <v>1712</v>
      </c>
      <c r="I24" s="110">
        <v>17</v>
      </c>
      <c r="J24" s="154" t="s">
        <v>938</v>
      </c>
      <c r="K24" s="157"/>
      <c r="L24" s="156" t="s">
        <v>917</v>
      </c>
      <c r="M24" s="157"/>
      <c r="N24" s="551" t="s">
        <v>939</v>
      </c>
      <c r="O24" s="551" t="s">
        <v>940</v>
      </c>
      <c r="P24" s="550"/>
      <c r="Q24" s="550"/>
      <c r="R24" s="551"/>
      <c r="S24" s="552"/>
    </row>
    <row r="25" spans="2:19" s="73" customFormat="1" ht="24">
      <c r="B25" s="344">
        <v>18</v>
      </c>
      <c r="C25" s="347" t="s">
        <v>1713</v>
      </c>
      <c r="D25" s="348"/>
      <c r="E25" s="348" t="s">
        <v>845</v>
      </c>
      <c r="F25" s="348">
        <v>40</v>
      </c>
      <c r="G25" s="349" t="s">
        <v>1714</v>
      </c>
      <c r="H25" s="350" t="s">
        <v>1715</v>
      </c>
      <c r="I25" s="110">
        <v>18</v>
      </c>
      <c r="J25" s="154" t="s">
        <v>948</v>
      </c>
      <c r="K25" s="157"/>
      <c r="L25" s="156" t="s">
        <v>949</v>
      </c>
      <c r="M25" s="157"/>
      <c r="N25" s="551" t="s">
        <v>950</v>
      </c>
      <c r="O25" s="551" t="s">
        <v>951</v>
      </c>
      <c r="P25" s="550"/>
      <c r="Q25" s="550"/>
      <c r="R25" s="551"/>
      <c r="S25" s="552"/>
    </row>
    <row r="26" spans="2:19" s="73" customFormat="1" ht="13.5">
      <c r="B26" s="344">
        <v>19</v>
      </c>
      <c r="C26" s="347" t="s">
        <v>1716</v>
      </c>
      <c r="D26" s="348"/>
      <c r="E26" s="348" t="s">
        <v>845</v>
      </c>
      <c r="F26" s="348">
        <v>40</v>
      </c>
      <c r="G26" s="349" t="s">
        <v>1717</v>
      </c>
      <c r="H26" s="350" t="s">
        <v>1718</v>
      </c>
      <c r="I26" s="110">
        <v>19</v>
      </c>
      <c r="J26" s="105"/>
      <c r="K26" s="119"/>
      <c r="L26" s="113"/>
      <c r="M26" s="112"/>
      <c r="N26" s="543"/>
      <c r="O26" s="543"/>
      <c r="P26" s="526"/>
      <c r="Q26" s="526"/>
      <c r="R26" s="548"/>
      <c r="S26" s="545"/>
    </row>
    <row r="27" spans="2:19" s="73" customFormat="1" ht="13.5">
      <c r="B27" s="344">
        <v>20</v>
      </c>
      <c r="C27" s="347" t="s">
        <v>1719</v>
      </c>
      <c r="D27" s="348"/>
      <c r="E27" s="348" t="s">
        <v>845</v>
      </c>
      <c r="F27" s="348">
        <v>40</v>
      </c>
      <c r="G27" s="349" t="s">
        <v>1720</v>
      </c>
      <c r="H27" s="350" t="s">
        <v>1721</v>
      </c>
      <c r="I27" s="110">
        <v>20</v>
      </c>
      <c r="J27" s="105"/>
      <c r="K27" s="119"/>
      <c r="L27" s="113"/>
      <c r="M27" s="112"/>
      <c r="N27" s="543"/>
      <c r="O27" s="543"/>
      <c r="P27" s="526"/>
      <c r="Q27" s="526"/>
      <c r="R27" s="548"/>
      <c r="S27" s="545"/>
    </row>
    <row r="28" spans="2:19" s="73" customFormat="1" ht="13.5">
      <c r="B28" s="344">
        <v>21</v>
      </c>
      <c r="C28" s="347" t="s">
        <v>1722</v>
      </c>
      <c r="D28" s="348"/>
      <c r="E28" s="348" t="s">
        <v>845</v>
      </c>
      <c r="F28" s="348">
        <v>30</v>
      </c>
      <c r="G28" s="349" t="s">
        <v>1723</v>
      </c>
      <c r="H28" s="350" t="s">
        <v>1724</v>
      </c>
      <c r="I28" s="110">
        <v>21</v>
      </c>
      <c r="J28" s="105"/>
      <c r="K28" s="119"/>
      <c r="L28" s="113"/>
      <c r="M28" s="112"/>
      <c r="N28" s="543"/>
      <c r="O28" s="543"/>
      <c r="P28" s="526"/>
      <c r="Q28" s="526"/>
      <c r="R28" s="548"/>
      <c r="S28" s="545"/>
    </row>
    <row r="29" spans="2:19" s="73" customFormat="1" ht="13.5">
      <c r="B29" s="344">
        <v>22</v>
      </c>
      <c r="C29" s="347" t="s">
        <v>1725</v>
      </c>
      <c r="D29" s="348"/>
      <c r="E29" s="348" t="s">
        <v>845</v>
      </c>
      <c r="F29" s="348">
        <v>30</v>
      </c>
      <c r="G29" s="349" t="s">
        <v>1726</v>
      </c>
      <c r="H29" s="350" t="s">
        <v>1727</v>
      </c>
      <c r="I29" s="110">
        <v>22</v>
      </c>
      <c r="J29" s="105"/>
      <c r="K29" s="119"/>
      <c r="L29" s="113"/>
      <c r="M29" s="112"/>
      <c r="N29" s="543"/>
      <c r="O29" s="543"/>
      <c r="P29" s="526"/>
      <c r="Q29" s="526"/>
      <c r="R29" s="548"/>
      <c r="S29" s="545"/>
    </row>
    <row r="30" spans="2:19" s="73" customFormat="1" ht="13.5">
      <c r="B30" s="344">
        <v>23</v>
      </c>
      <c r="C30" s="347" t="s">
        <v>1728</v>
      </c>
      <c r="D30" s="348"/>
      <c r="E30" s="348" t="s">
        <v>845</v>
      </c>
      <c r="F30" s="348">
        <v>241</v>
      </c>
      <c r="G30" s="349" t="s">
        <v>1729</v>
      </c>
      <c r="H30" s="350" t="s">
        <v>1730</v>
      </c>
      <c r="I30" s="110">
        <v>23</v>
      </c>
      <c r="J30" s="105"/>
      <c r="K30" s="119"/>
      <c r="L30" s="113"/>
      <c r="M30" s="112"/>
      <c r="N30" s="543"/>
      <c r="O30" s="543"/>
      <c r="P30" s="526"/>
      <c r="Q30" s="526"/>
      <c r="R30" s="548"/>
      <c r="S30" s="545"/>
    </row>
    <row r="31" spans="2:19" s="73" customFormat="1" ht="13.5">
      <c r="B31" s="104">
        <v>24</v>
      </c>
      <c r="C31" s="121" t="s">
        <v>1731</v>
      </c>
      <c r="D31" s="119"/>
      <c r="E31" s="107" t="s">
        <v>845</v>
      </c>
      <c r="F31" s="107">
        <v>10</v>
      </c>
      <c r="G31" s="108" t="s">
        <v>1732</v>
      </c>
      <c r="H31" s="109" t="s">
        <v>1733</v>
      </c>
      <c r="I31" s="110">
        <v>24</v>
      </c>
      <c r="J31" s="105"/>
      <c r="K31" s="119"/>
      <c r="L31" s="113"/>
      <c r="M31" s="112"/>
      <c r="N31" s="543"/>
      <c r="O31" s="543"/>
      <c r="P31" s="526"/>
      <c r="Q31" s="526"/>
      <c r="R31" s="548"/>
      <c r="S31" s="545"/>
    </row>
    <row r="32" spans="2:19" s="73" customFormat="1" ht="13.5">
      <c r="B32" s="104">
        <v>25</v>
      </c>
      <c r="C32" s="121" t="s">
        <v>1734</v>
      </c>
      <c r="D32" s="119"/>
      <c r="E32" s="107" t="s">
        <v>845</v>
      </c>
      <c r="F32" s="107">
        <v>8</v>
      </c>
      <c r="G32" s="108" t="s">
        <v>1735</v>
      </c>
      <c r="H32" s="109" t="s">
        <v>1736</v>
      </c>
      <c r="I32" s="110">
        <v>25</v>
      </c>
      <c r="J32" s="105"/>
      <c r="K32" s="119"/>
      <c r="L32" s="113"/>
      <c r="M32" s="112"/>
      <c r="N32" s="543"/>
      <c r="O32" s="543"/>
      <c r="P32" s="526"/>
      <c r="Q32" s="526"/>
      <c r="R32" s="548"/>
      <c r="S32" s="545"/>
    </row>
    <row r="33" spans="2:19" s="73" customFormat="1" ht="13.5">
      <c r="B33" s="104">
        <v>26</v>
      </c>
      <c r="C33" s="121" t="s">
        <v>1737</v>
      </c>
      <c r="D33" s="119"/>
      <c r="E33" s="107" t="s">
        <v>845</v>
      </c>
      <c r="F33" s="107">
        <v>4</v>
      </c>
      <c r="G33" s="108" t="s">
        <v>1738</v>
      </c>
      <c r="H33" s="109" t="s">
        <v>1739</v>
      </c>
      <c r="I33" s="110">
        <v>26</v>
      </c>
      <c r="J33" s="105"/>
      <c r="K33" s="119"/>
      <c r="L33" s="113"/>
      <c r="M33" s="112"/>
      <c r="N33" s="543"/>
      <c r="O33" s="543"/>
      <c r="P33" s="526"/>
      <c r="Q33" s="526"/>
      <c r="R33" s="548"/>
      <c r="S33" s="545"/>
    </row>
    <row r="34" spans="2:19" s="73" customFormat="1" ht="13.5">
      <c r="B34" s="104">
        <v>27</v>
      </c>
      <c r="C34" s="121" t="s">
        <v>1740</v>
      </c>
      <c r="D34" s="119"/>
      <c r="E34" s="107" t="s">
        <v>845</v>
      </c>
      <c r="F34" s="107">
        <v>10</v>
      </c>
      <c r="G34" s="108" t="s">
        <v>1741</v>
      </c>
      <c r="H34" s="109" t="s">
        <v>1742</v>
      </c>
      <c r="I34" s="110">
        <v>27</v>
      </c>
      <c r="J34" s="105"/>
      <c r="K34" s="119"/>
      <c r="L34" s="113"/>
      <c r="M34" s="112"/>
      <c r="N34" s="543"/>
      <c r="O34" s="543"/>
      <c r="P34" s="526"/>
      <c r="Q34" s="526"/>
      <c r="R34" s="548"/>
      <c r="S34" s="545"/>
    </row>
    <row r="35" spans="2:19" s="73" customFormat="1" ht="13.5">
      <c r="B35" s="104">
        <v>28</v>
      </c>
      <c r="C35" s="121" t="s">
        <v>1743</v>
      </c>
      <c r="D35" s="119"/>
      <c r="E35" s="107" t="s">
        <v>845</v>
      </c>
      <c r="F35" s="107">
        <v>25</v>
      </c>
      <c r="G35" s="108" t="s">
        <v>1744</v>
      </c>
      <c r="H35" s="109" t="s">
        <v>1745</v>
      </c>
      <c r="I35" s="110">
        <v>28</v>
      </c>
      <c r="J35" s="105"/>
      <c r="K35" s="119"/>
      <c r="L35" s="113"/>
      <c r="M35" s="112"/>
      <c r="N35" s="543"/>
      <c r="O35" s="543"/>
      <c r="P35" s="526"/>
      <c r="Q35" s="526"/>
      <c r="R35" s="548"/>
      <c r="S35" s="545"/>
    </row>
    <row r="36" spans="2:19" s="73" customFormat="1" ht="13.5">
      <c r="B36" s="104">
        <v>29</v>
      </c>
      <c r="C36" s="347" t="s">
        <v>1746</v>
      </c>
      <c r="D36" s="348"/>
      <c r="E36" s="348" t="s">
        <v>845</v>
      </c>
      <c r="F36" s="348">
        <v>16</v>
      </c>
      <c r="G36" s="349" t="s">
        <v>1747</v>
      </c>
      <c r="H36" s="350" t="s">
        <v>1748</v>
      </c>
      <c r="I36" s="110">
        <v>29</v>
      </c>
      <c r="J36" s="105"/>
      <c r="K36" s="119"/>
      <c r="L36" s="113"/>
      <c r="M36" s="112"/>
      <c r="N36" s="543"/>
      <c r="O36" s="543"/>
      <c r="P36" s="526"/>
      <c r="Q36" s="526"/>
      <c r="R36" s="548"/>
      <c r="S36" s="545"/>
    </row>
    <row r="37" spans="2:19" s="73" customFormat="1" ht="13.5">
      <c r="B37" s="104">
        <v>30</v>
      </c>
      <c r="C37" s="347" t="s">
        <v>1749</v>
      </c>
      <c r="D37" s="348"/>
      <c r="E37" s="348" t="s">
        <v>845</v>
      </c>
      <c r="F37" s="348">
        <v>11</v>
      </c>
      <c r="G37" s="349" t="s">
        <v>1750</v>
      </c>
      <c r="H37" s="350" t="s">
        <v>1751</v>
      </c>
      <c r="I37" s="110">
        <v>30</v>
      </c>
      <c r="J37" s="105"/>
      <c r="K37" s="119"/>
      <c r="L37" s="113"/>
      <c r="M37" s="112"/>
      <c r="N37" s="543"/>
      <c r="O37" s="543"/>
      <c r="P37" s="526"/>
      <c r="Q37" s="526"/>
      <c r="R37" s="548"/>
      <c r="S37" s="545"/>
    </row>
    <row r="38" spans="2:19" s="73" customFormat="1" ht="13.5">
      <c r="B38" s="104">
        <v>31</v>
      </c>
      <c r="C38" s="121" t="s">
        <v>1752</v>
      </c>
      <c r="D38" s="119"/>
      <c r="E38" s="107" t="s">
        <v>845</v>
      </c>
      <c r="F38" s="107">
        <v>18</v>
      </c>
      <c r="G38" s="108" t="s">
        <v>1753</v>
      </c>
      <c r="H38" s="109" t="s">
        <v>1753</v>
      </c>
      <c r="I38" s="110">
        <v>31</v>
      </c>
      <c r="J38" s="105"/>
      <c r="K38" s="119"/>
      <c r="L38" s="113"/>
      <c r="M38" s="112"/>
      <c r="N38" s="543"/>
      <c r="O38" s="543"/>
      <c r="P38" s="526"/>
      <c r="Q38" s="526"/>
      <c r="R38" s="548"/>
      <c r="S38" s="545"/>
    </row>
    <row r="39" spans="2:19" s="73" customFormat="1" ht="13.5">
      <c r="B39" s="104">
        <v>32</v>
      </c>
      <c r="C39" s="121" t="s">
        <v>1754</v>
      </c>
      <c r="D39" s="119"/>
      <c r="E39" s="107" t="s">
        <v>845</v>
      </c>
      <c r="F39" s="107">
        <v>30</v>
      </c>
      <c r="G39" s="108" t="s">
        <v>1755</v>
      </c>
      <c r="H39" s="109" t="s">
        <v>1756</v>
      </c>
      <c r="I39" s="110">
        <v>32</v>
      </c>
      <c r="J39" s="118"/>
      <c r="K39" s="119"/>
      <c r="L39" s="113"/>
      <c r="M39" s="112"/>
      <c r="N39" s="548"/>
      <c r="O39" s="548"/>
      <c r="P39" s="526"/>
      <c r="Q39" s="526"/>
      <c r="R39" s="548"/>
      <c r="S39" s="545"/>
    </row>
    <row r="40" spans="2:19" s="73" customFormat="1" ht="13.5">
      <c r="B40" s="104">
        <v>33</v>
      </c>
      <c r="C40" s="121" t="s">
        <v>1757</v>
      </c>
      <c r="D40" s="119"/>
      <c r="E40" s="107" t="s">
        <v>845</v>
      </c>
      <c r="F40" s="107">
        <v>30</v>
      </c>
      <c r="G40" s="108" t="s">
        <v>1758</v>
      </c>
      <c r="H40" s="109" t="s">
        <v>1759</v>
      </c>
      <c r="I40" s="110">
        <v>33</v>
      </c>
      <c r="J40" s="118"/>
      <c r="K40" s="119"/>
      <c r="L40" s="113"/>
      <c r="M40" s="112"/>
      <c r="N40" s="548"/>
      <c r="O40" s="548"/>
      <c r="P40" s="526"/>
      <c r="Q40" s="526"/>
      <c r="R40" s="548"/>
      <c r="S40" s="545"/>
    </row>
    <row r="41" spans="2:19" s="73" customFormat="1" ht="13.5">
      <c r="B41" s="104">
        <v>34</v>
      </c>
      <c r="C41" s="347" t="s">
        <v>1760</v>
      </c>
      <c r="D41" s="348"/>
      <c r="E41" s="348" t="s">
        <v>845</v>
      </c>
      <c r="F41" s="348">
        <v>18</v>
      </c>
      <c r="G41" s="349" t="s">
        <v>1761</v>
      </c>
      <c r="H41" s="350" t="s">
        <v>1762</v>
      </c>
      <c r="I41" s="110">
        <v>34</v>
      </c>
      <c r="J41" s="105"/>
      <c r="K41" s="119"/>
      <c r="L41" s="113"/>
      <c r="M41" s="112"/>
      <c r="N41" s="543"/>
      <c r="O41" s="543"/>
      <c r="P41" s="526"/>
      <c r="Q41" s="526"/>
      <c r="R41" s="548"/>
      <c r="S41" s="545"/>
    </row>
    <row r="42" spans="2:19" s="73" customFormat="1" ht="13.5">
      <c r="B42" s="104">
        <v>35</v>
      </c>
      <c r="C42" s="121" t="s">
        <v>1763</v>
      </c>
      <c r="D42" s="119"/>
      <c r="E42" s="107" t="s">
        <v>845</v>
      </c>
      <c r="F42" s="107">
        <v>8</v>
      </c>
      <c r="G42" s="108" t="s">
        <v>1764</v>
      </c>
      <c r="H42" s="109" t="s">
        <v>1765</v>
      </c>
      <c r="I42" s="110">
        <v>35</v>
      </c>
      <c r="J42" s="105"/>
      <c r="K42" s="119"/>
      <c r="L42" s="113"/>
      <c r="M42" s="112"/>
      <c r="N42" s="543"/>
      <c r="O42" s="543"/>
      <c r="P42" s="526"/>
      <c r="Q42" s="526"/>
      <c r="R42" s="548"/>
      <c r="S42" s="545"/>
    </row>
    <row r="43" spans="2:19" s="73" customFormat="1" ht="13.5">
      <c r="B43" s="104">
        <v>36</v>
      </c>
      <c r="C43" s="121" t="s">
        <v>1766</v>
      </c>
      <c r="D43" s="119"/>
      <c r="E43" s="107" t="s">
        <v>845</v>
      </c>
      <c r="F43" s="107">
        <v>8</v>
      </c>
      <c r="G43" s="108" t="s">
        <v>1767</v>
      </c>
      <c r="H43" s="109" t="s">
        <v>1768</v>
      </c>
      <c r="I43" s="110">
        <v>36</v>
      </c>
      <c r="J43" s="105"/>
      <c r="K43" s="119"/>
      <c r="L43" s="113"/>
      <c r="M43" s="112"/>
      <c r="N43" s="543"/>
      <c r="O43" s="543"/>
      <c r="P43" s="526"/>
      <c r="Q43" s="526"/>
      <c r="R43" s="548"/>
      <c r="S43" s="545"/>
    </row>
    <row r="44" spans="2:19" s="73" customFormat="1" ht="27">
      <c r="B44" s="104">
        <v>37</v>
      </c>
      <c r="C44" s="121" t="s">
        <v>1769</v>
      </c>
      <c r="D44" s="119"/>
      <c r="E44" s="107" t="s">
        <v>845</v>
      </c>
      <c r="F44" s="107">
        <v>6</v>
      </c>
      <c r="G44" s="108" t="s">
        <v>1770</v>
      </c>
      <c r="H44" s="109" t="s">
        <v>1771</v>
      </c>
      <c r="I44" s="110">
        <v>37</v>
      </c>
      <c r="J44" s="105" t="s">
        <v>1772</v>
      </c>
      <c r="K44" s="119"/>
      <c r="L44" s="113" t="s">
        <v>1354</v>
      </c>
      <c r="M44" s="112">
        <v>1000</v>
      </c>
      <c r="N44" s="543" t="s">
        <v>1770</v>
      </c>
      <c r="O44" s="543" t="s">
        <v>1771</v>
      </c>
      <c r="P44" s="526"/>
      <c r="Q44" s="526"/>
      <c r="R44" s="548"/>
      <c r="S44" s="545"/>
    </row>
    <row r="45" spans="2:19" s="73" customFormat="1" ht="13.5">
      <c r="B45" s="104">
        <v>38</v>
      </c>
      <c r="C45" s="121" t="s">
        <v>1773</v>
      </c>
      <c r="D45" s="119"/>
      <c r="E45" s="107" t="s">
        <v>845</v>
      </c>
      <c r="F45" s="107">
        <v>4</v>
      </c>
      <c r="G45" s="108" t="s">
        <v>1774</v>
      </c>
      <c r="H45" s="109" t="s">
        <v>1775</v>
      </c>
      <c r="I45" s="110">
        <v>38</v>
      </c>
      <c r="J45" s="105" t="s">
        <v>1776</v>
      </c>
      <c r="K45" s="119"/>
      <c r="L45" s="113" t="s">
        <v>1354</v>
      </c>
      <c r="M45" s="112">
        <v>1000</v>
      </c>
      <c r="N45" s="543" t="s">
        <v>1777</v>
      </c>
      <c r="O45" s="543" t="s">
        <v>1778</v>
      </c>
      <c r="P45" s="526"/>
      <c r="Q45" s="526"/>
      <c r="R45" s="548"/>
      <c r="S45" s="545"/>
    </row>
    <row r="46" spans="2:19" s="73" customFormat="1" ht="27">
      <c r="B46" s="104">
        <v>39</v>
      </c>
      <c r="C46" s="121" t="s">
        <v>1779</v>
      </c>
      <c r="D46" s="119"/>
      <c r="E46" s="107" t="s">
        <v>845</v>
      </c>
      <c r="F46" s="107">
        <v>3</v>
      </c>
      <c r="G46" s="108" t="s">
        <v>1780</v>
      </c>
      <c r="H46" s="109" t="s">
        <v>1781</v>
      </c>
      <c r="I46" s="110">
        <v>39</v>
      </c>
      <c r="J46" s="105" t="s">
        <v>1782</v>
      </c>
      <c r="K46" s="119"/>
      <c r="L46" s="113" t="s">
        <v>1354</v>
      </c>
      <c r="M46" s="112">
        <v>1000</v>
      </c>
      <c r="N46" s="543" t="s">
        <v>1780</v>
      </c>
      <c r="O46" s="543" t="s">
        <v>1781</v>
      </c>
      <c r="P46" s="526"/>
      <c r="Q46" s="526"/>
      <c r="R46" s="548"/>
      <c r="S46" s="545"/>
    </row>
    <row r="47" spans="2:19" s="73" customFormat="1" ht="13.5">
      <c r="B47" s="104">
        <v>40</v>
      </c>
      <c r="C47" s="121" t="s">
        <v>1783</v>
      </c>
      <c r="D47" s="119"/>
      <c r="E47" s="107" t="s">
        <v>845</v>
      </c>
      <c r="F47" s="107">
        <v>2</v>
      </c>
      <c r="G47" s="108" t="s">
        <v>1784</v>
      </c>
      <c r="H47" s="109" t="s">
        <v>1785</v>
      </c>
      <c r="I47" s="110">
        <v>40</v>
      </c>
      <c r="J47" s="105" t="s">
        <v>1786</v>
      </c>
      <c r="K47" s="119"/>
      <c r="L47" s="113" t="s">
        <v>1354</v>
      </c>
      <c r="M47" s="112">
        <v>1000</v>
      </c>
      <c r="N47" s="543" t="s">
        <v>1787</v>
      </c>
      <c r="O47" s="543" t="s">
        <v>1785</v>
      </c>
      <c r="P47" s="526"/>
      <c r="Q47" s="526"/>
      <c r="R47" s="548"/>
      <c r="S47" s="545"/>
    </row>
    <row r="48" spans="2:19" s="73" customFormat="1" ht="13.5">
      <c r="B48" s="104">
        <v>41</v>
      </c>
      <c r="C48" s="121" t="s">
        <v>1788</v>
      </c>
      <c r="D48" s="119"/>
      <c r="E48" s="107" t="s">
        <v>845</v>
      </c>
      <c r="F48" s="107">
        <v>3</v>
      </c>
      <c r="G48" s="108" t="s">
        <v>1789</v>
      </c>
      <c r="H48" s="109" t="s">
        <v>1790</v>
      </c>
      <c r="I48" s="110">
        <v>41</v>
      </c>
      <c r="J48" s="105"/>
      <c r="K48" s="119"/>
      <c r="L48" s="113"/>
      <c r="M48" s="112"/>
      <c r="N48" s="543"/>
      <c r="O48" s="543"/>
      <c r="P48" s="526"/>
      <c r="Q48" s="526"/>
      <c r="R48" s="548"/>
      <c r="S48" s="545"/>
    </row>
    <row r="49" spans="2:19" s="73" customFormat="1" ht="13.5">
      <c r="B49" s="104">
        <v>42</v>
      </c>
      <c r="C49" s="121" t="s">
        <v>1791</v>
      </c>
      <c r="D49" s="119"/>
      <c r="E49" s="107" t="s">
        <v>845</v>
      </c>
      <c r="F49" s="107">
        <v>3</v>
      </c>
      <c r="G49" s="108" t="s">
        <v>1792</v>
      </c>
      <c r="H49" s="109" t="s">
        <v>1793</v>
      </c>
      <c r="I49" s="110">
        <v>42</v>
      </c>
      <c r="J49" s="105"/>
      <c r="K49" s="119"/>
      <c r="L49" s="113"/>
      <c r="M49" s="112"/>
      <c r="N49" s="543"/>
      <c r="O49" s="543"/>
      <c r="P49" s="526"/>
      <c r="Q49" s="526"/>
      <c r="R49" s="548"/>
      <c r="S49" s="545"/>
    </row>
    <row r="50" spans="2:19" s="73" customFormat="1" ht="13.5">
      <c r="B50" s="104">
        <v>43</v>
      </c>
      <c r="C50" s="121" t="s">
        <v>1794</v>
      </c>
      <c r="D50" s="119"/>
      <c r="E50" s="107" t="s">
        <v>845</v>
      </c>
      <c r="F50" s="107">
        <v>4</v>
      </c>
      <c r="G50" s="108" t="s">
        <v>1795</v>
      </c>
      <c r="H50" s="109" t="s">
        <v>1796</v>
      </c>
      <c r="I50" s="110">
        <v>43</v>
      </c>
      <c r="J50" s="105"/>
      <c r="K50" s="119"/>
      <c r="L50" s="113"/>
      <c r="M50" s="112"/>
      <c r="N50" s="543"/>
      <c r="O50" s="543"/>
      <c r="P50" s="526"/>
      <c r="Q50" s="526"/>
      <c r="R50" s="548"/>
      <c r="S50" s="545"/>
    </row>
    <row r="51" spans="2:19" s="73" customFormat="1" ht="13.5">
      <c r="B51" s="104">
        <v>44</v>
      </c>
      <c r="C51" s="121" t="s">
        <v>1797</v>
      </c>
      <c r="D51" s="119"/>
      <c r="E51" s="107" t="s">
        <v>845</v>
      </c>
      <c r="F51" s="107">
        <v>4</v>
      </c>
      <c r="G51" s="108" t="s">
        <v>1798</v>
      </c>
      <c r="H51" s="109" t="s">
        <v>1799</v>
      </c>
      <c r="I51" s="110">
        <v>44</v>
      </c>
      <c r="J51" s="105"/>
      <c r="K51" s="119"/>
      <c r="L51" s="113"/>
      <c r="M51" s="112"/>
      <c r="N51" s="543"/>
      <c r="O51" s="543"/>
      <c r="P51" s="526"/>
      <c r="Q51" s="526"/>
      <c r="R51" s="548"/>
      <c r="S51" s="545"/>
    </row>
    <row r="52" spans="2:19" s="73" customFormat="1" ht="13.5">
      <c r="B52" s="104">
        <v>45</v>
      </c>
      <c r="C52" s="121" t="s">
        <v>884</v>
      </c>
      <c r="D52" s="119"/>
      <c r="E52" s="107" t="s">
        <v>845</v>
      </c>
      <c r="F52" s="107">
        <v>4</v>
      </c>
      <c r="G52" s="108" t="s">
        <v>1800</v>
      </c>
      <c r="H52" s="109" t="s">
        <v>1801</v>
      </c>
      <c r="I52" s="110">
        <v>45</v>
      </c>
      <c r="J52" s="105" t="s">
        <v>886</v>
      </c>
      <c r="K52" s="119"/>
      <c r="L52" s="113" t="s">
        <v>1354</v>
      </c>
      <c r="M52" s="112">
        <v>1000</v>
      </c>
      <c r="N52" s="543" t="s">
        <v>1800</v>
      </c>
      <c r="O52" s="543" t="s">
        <v>1801</v>
      </c>
      <c r="P52" s="526"/>
      <c r="Q52" s="526"/>
      <c r="R52" s="548"/>
      <c r="S52" s="545"/>
    </row>
    <row r="53" spans="2:19" s="73" customFormat="1" ht="27">
      <c r="B53" s="104">
        <v>46</v>
      </c>
      <c r="C53" s="121" t="s">
        <v>1802</v>
      </c>
      <c r="D53" s="119"/>
      <c r="E53" s="107" t="s">
        <v>845</v>
      </c>
      <c r="F53" s="107">
        <v>4</v>
      </c>
      <c r="G53" s="108" t="s">
        <v>1803</v>
      </c>
      <c r="H53" s="109" t="s">
        <v>1804</v>
      </c>
      <c r="I53" s="110">
        <v>46</v>
      </c>
      <c r="J53" s="105" t="s">
        <v>1805</v>
      </c>
      <c r="K53" s="119"/>
      <c r="L53" s="113" t="s">
        <v>1354</v>
      </c>
      <c r="M53" s="112">
        <v>1000</v>
      </c>
      <c r="N53" s="543" t="s">
        <v>1803</v>
      </c>
      <c r="O53" s="543" t="s">
        <v>1804</v>
      </c>
      <c r="P53" s="526"/>
      <c r="Q53" s="526"/>
      <c r="R53" s="548"/>
      <c r="S53" s="545"/>
    </row>
    <row r="54" spans="2:19" s="73" customFormat="1" ht="24">
      <c r="B54" s="104">
        <v>47</v>
      </c>
      <c r="C54" s="121" t="s">
        <v>869</v>
      </c>
      <c r="D54" s="119"/>
      <c r="E54" s="107" t="s">
        <v>845</v>
      </c>
      <c r="F54" s="107">
        <v>4</v>
      </c>
      <c r="G54" s="108" t="s">
        <v>1806</v>
      </c>
      <c r="H54" s="109" t="s">
        <v>1807</v>
      </c>
      <c r="I54" s="110">
        <v>47</v>
      </c>
      <c r="J54" s="105" t="s">
        <v>872</v>
      </c>
      <c r="K54" s="119"/>
      <c r="L54" s="113" t="s">
        <v>1354</v>
      </c>
      <c r="M54" s="112">
        <v>1000</v>
      </c>
      <c r="N54" s="543" t="s">
        <v>1808</v>
      </c>
      <c r="O54" s="543" t="s">
        <v>1809</v>
      </c>
      <c r="P54" s="526"/>
      <c r="Q54" s="526"/>
      <c r="R54" s="548"/>
      <c r="S54" s="545"/>
    </row>
    <row r="55" spans="2:19" s="73" customFormat="1" ht="13.5">
      <c r="B55" s="104">
        <v>48</v>
      </c>
      <c r="C55" s="121" t="s">
        <v>1408</v>
      </c>
      <c r="D55" s="119"/>
      <c r="E55" s="107" t="s">
        <v>845</v>
      </c>
      <c r="F55" s="107">
        <v>2</v>
      </c>
      <c r="G55" s="108" t="s">
        <v>1409</v>
      </c>
      <c r="H55" s="109" t="s">
        <v>1410</v>
      </c>
      <c r="I55" s="110">
        <v>48</v>
      </c>
      <c r="J55" s="105"/>
      <c r="K55" s="119"/>
      <c r="L55" s="113"/>
      <c r="M55" s="112"/>
      <c r="N55" s="543"/>
      <c r="O55" s="543"/>
      <c r="P55" s="526"/>
      <c r="Q55" s="526"/>
      <c r="R55" s="548"/>
      <c r="S55" s="545"/>
    </row>
    <row r="56" spans="2:19" s="73" customFormat="1" ht="13.5">
      <c r="B56" s="104">
        <v>49</v>
      </c>
      <c r="C56" s="121" t="s">
        <v>1420</v>
      </c>
      <c r="D56" s="119"/>
      <c r="E56" s="107" t="s">
        <v>1421</v>
      </c>
      <c r="F56" s="107">
        <v>11</v>
      </c>
      <c r="G56" s="108" t="s">
        <v>1645</v>
      </c>
      <c r="H56" s="109" t="s">
        <v>1646</v>
      </c>
      <c r="I56" s="110">
        <v>49</v>
      </c>
      <c r="J56" s="105"/>
      <c r="K56" s="119"/>
      <c r="L56" s="113"/>
      <c r="M56" s="112"/>
      <c r="N56" s="543"/>
      <c r="O56" s="543"/>
      <c r="P56" s="526"/>
      <c r="Q56" s="526"/>
      <c r="R56" s="548"/>
      <c r="S56" s="545"/>
    </row>
    <row r="57" spans="2:19" s="73" customFormat="1" ht="13.5">
      <c r="B57" s="104">
        <v>50</v>
      </c>
      <c r="C57" s="121" t="s">
        <v>1810</v>
      </c>
      <c r="D57" s="119"/>
      <c r="E57" s="107" t="s">
        <v>845</v>
      </c>
      <c r="F57" s="107">
        <v>2</v>
      </c>
      <c r="G57" s="108" t="s">
        <v>1811</v>
      </c>
      <c r="H57" s="109" t="s">
        <v>1812</v>
      </c>
      <c r="I57" s="110">
        <v>50</v>
      </c>
      <c r="J57" s="105"/>
      <c r="K57" s="119"/>
      <c r="L57" s="113"/>
      <c r="M57" s="112"/>
      <c r="N57" s="543"/>
      <c r="O57" s="543"/>
      <c r="P57" s="526"/>
      <c r="Q57" s="526"/>
      <c r="R57" s="548"/>
      <c r="S57" s="545"/>
    </row>
    <row r="58" spans="2:19" s="73" customFormat="1" ht="27">
      <c r="B58" s="104">
        <v>51</v>
      </c>
      <c r="C58" s="121" t="s">
        <v>1813</v>
      </c>
      <c r="D58" s="119"/>
      <c r="E58" s="107" t="s">
        <v>845</v>
      </c>
      <c r="F58" s="107">
        <v>4</v>
      </c>
      <c r="G58" s="108" t="s">
        <v>1814</v>
      </c>
      <c r="H58" s="109" t="s">
        <v>1815</v>
      </c>
      <c r="I58" s="110">
        <v>51</v>
      </c>
      <c r="J58" s="105" t="s">
        <v>1816</v>
      </c>
      <c r="K58" s="119"/>
      <c r="L58" s="113" t="s">
        <v>1354</v>
      </c>
      <c r="M58" s="112">
        <v>1000</v>
      </c>
      <c r="N58" s="543" t="s">
        <v>1814</v>
      </c>
      <c r="O58" s="543" t="s">
        <v>1815</v>
      </c>
      <c r="P58" s="526"/>
      <c r="Q58" s="526"/>
      <c r="R58" s="548"/>
      <c r="S58" s="545"/>
    </row>
    <row r="59" spans="2:19" s="73" customFormat="1" ht="13.5">
      <c r="B59" s="104">
        <v>52</v>
      </c>
      <c r="C59" s="121" t="s">
        <v>1817</v>
      </c>
      <c r="D59" s="119"/>
      <c r="E59" s="107" t="s">
        <v>845</v>
      </c>
      <c r="F59" s="107">
        <v>4</v>
      </c>
      <c r="G59" s="108" t="s">
        <v>1818</v>
      </c>
      <c r="H59" s="109" t="s">
        <v>1819</v>
      </c>
      <c r="I59" s="110">
        <v>52</v>
      </c>
      <c r="J59" s="118" t="s">
        <v>1820</v>
      </c>
      <c r="K59" s="119"/>
      <c r="L59" s="113" t="s">
        <v>1354</v>
      </c>
      <c r="M59" s="112">
        <v>1000</v>
      </c>
      <c r="N59" s="548" t="s">
        <v>1818</v>
      </c>
      <c r="O59" s="548" t="s">
        <v>1819</v>
      </c>
      <c r="P59" s="526"/>
      <c r="Q59" s="526"/>
      <c r="R59" s="548"/>
      <c r="S59" s="545"/>
    </row>
    <row r="60" spans="2:19" s="73" customFormat="1" ht="27">
      <c r="B60" s="104">
        <v>53</v>
      </c>
      <c r="C60" s="121" t="s">
        <v>1821</v>
      </c>
      <c r="D60" s="119"/>
      <c r="E60" s="107" t="s">
        <v>845</v>
      </c>
      <c r="F60" s="107">
        <v>4</v>
      </c>
      <c r="G60" s="108" t="s">
        <v>1822</v>
      </c>
      <c r="H60" s="109" t="s">
        <v>1823</v>
      </c>
      <c r="I60" s="110">
        <v>53</v>
      </c>
      <c r="J60" s="118" t="s">
        <v>1824</v>
      </c>
      <c r="K60" s="119"/>
      <c r="L60" s="113" t="s">
        <v>1354</v>
      </c>
      <c r="M60" s="112">
        <v>1000</v>
      </c>
      <c r="N60" s="548" t="s">
        <v>1822</v>
      </c>
      <c r="O60" s="548" t="s">
        <v>1823</v>
      </c>
      <c r="P60" s="526"/>
      <c r="Q60" s="526"/>
      <c r="R60" s="548"/>
      <c r="S60" s="545"/>
    </row>
    <row r="61" spans="2:19" s="73" customFormat="1" ht="13.5">
      <c r="B61" s="104">
        <v>54</v>
      </c>
      <c r="C61" s="121" t="s">
        <v>1825</v>
      </c>
      <c r="D61" s="119"/>
      <c r="E61" s="107" t="s">
        <v>845</v>
      </c>
      <c r="F61" s="107">
        <v>2</v>
      </c>
      <c r="G61" s="108" t="s">
        <v>1826</v>
      </c>
      <c r="H61" s="109" t="s">
        <v>1827</v>
      </c>
      <c r="I61" s="110">
        <v>54</v>
      </c>
      <c r="J61" s="105"/>
      <c r="K61" s="119"/>
      <c r="L61" s="113"/>
      <c r="M61" s="112"/>
      <c r="N61" s="543"/>
      <c r="O61" s="543"/>
      <c r="P61" s="526"/>
      <c r="Q61" s="526"/>
      <c r="R61" s="548"/>
      <c r="S61" s="545"/>
    </row>
    <row r="62" spans="2:19" s="73" customFormat="1" ht="13.5">
      <c r="B62" s="104">
        <v>55</v>
      </c>
      <c r="C62" s="121" t="s">
        <v>1828</v>
      </c>
      <c r="D62" s="119"/>
      <c r="E62" s="107" t="s">
        <v>845</v>
      </c>
      <c r="F62" s="107">
        <v>4</v>
      </c>
      <c r="G62" s="108" t="s">
        <v>1829</v>
      </c>
      <c r="H62" s="109" t="s">
        <v>1830</v>
      </c>
      <c r="I62" s="110">
        <v>55</v>
      </c>
      <c r="J62" s="105"/>
      <c r="K62" s="119"/>
      <c r="L62" s="113"/>
      <c r="M62" s="112"/>
      <c r="N62" s="543"/>
      <c r="O62" s="543"/>
      <c r="P62" s="526"/>
      <c r="Q62" s="526"/>
      <c r="R62" s="548"/>
      <c r="S62" s="545"/>
    </row>
    <row r="63" spans="2:19" s="73" customFormat="1" ht="13.5">
      <c r="B63" s="104">
        <v>56</v>
      </c>
      <c r="C63" s="121" t="s">
        <v>1831</v>
      </c>
      <c r="D63" s="119"/>
      <c r="E63" s="107" t="s">
        <v>845</v>
      </c>
      <c r="F63" s="107">
        <v>5</v>
      </c>
      <c r="G63" s="108" t="s">
        <v>1832</v>
      </c>
      <c r="H63" s="109" t="s">
        <v>1833</v>
      </c>
      <c r="I63" s="110">
        <v>56</v>
      </c>
      <c r="J63" s="105"/>
      <c r="K63" s="119"/>
      <c r="L63" s="113"/>
      <c r="M63" s="112"/>
      <c r="N63" s="543"/>
      <c r="O63" s="543"/>
      <c r="P63" s="526"/>
      <c r="Q63" s="526"/>
      <c r="R63" s="548"/>
      <c r="S63" s="545"/>
    </row>
    <row r="64" spans="2:19" s="73" customFormat="1" ht="13.5">
      <c r="B64" s="104">
        <v>57</v>
      </c>
      <c r="C64" s="121" t="s">
        <v>1834</v>
      </c>
      <c r="D64" s="119"/>
      <c r="E64" s="107" t="s">
        <v>845</v>
      </c>
      <c r="F64" s="107">
        <v>10</v>
      </c>
      <c r="G64" s="108" t="s">
        <v>1835</v>
      </c>
      <c r="H64" s="109" t="s">
        <v>1836</v>
      </c>
      <c r="I64" s="110">
        <v>57</v>
      </c>
      <c r="J64" s="105"/>
      <c r="K64" s="119"/>
      <c r="L64" s="113"/>
      <c r="M64" s="112"/>
      <c r="N64" s="543"/>
      <c r="O64" s="543"/>
      <c r="P64" s="526"/>
      <c r="Q64" s="526"/>
      <c r="R64" s="548"/>
      <c r="S64" s="545"/>
    </row>
    <row r="65" spans="2:21" s="73" customFormat="1" ht="13.5">
      <c r="B65" s="104">
        <v>58</v>
      </c>
      <c r="C65" s="121" t="s">
        <v>1837</v>
      </c>
      <c r="D65" s="119"/>
      <c r="E65" s="107" t="s">
        <v>845</v>
      </c>
      <c r="F65" s="107">
        <v>10</v>
      </c>
      <c r="G65" s="108" t="s">
        <v>1838</v>
      </c>
      <c r="H65" s="109" t="s">
        <v>1839</v>
      </c>
      <c r="I65" s="110">
        <v>58</v>
      </c>
      <c r="J65" s="105"/>
      <c r="K65" s="119"/>
      <c r="L65" s="113"/>
      <c r="M65" s="112"/>
      <c r="N65" s="543"/>
      <c r="O65" s="543"/>
      <c r="P65" s="526"/>
      <c r="Q65" s="526"/>
      <c r="R65" s="548"/>
      <c r="S65" s="545"/>
    </row>
    <row r="66" spans="2:21" s="73" customFormat="1" ht="13.5">
      <c r="B66" s="104">
        <v>59</v>
      </c>
      <c r="C66" s="121" t="s">
        <v>1840</v>
      </c>
      <c r="D66" s="119"/>
      <c r="E66" s="107" t="s">
        <v>845</v>
      </c>
      <c r="F66" s="107">
        <v>10</v>
      </c>
      <c r="G66" s="108" t="s">
        <v>1841</v>
      </c>
      <c r="H66" s="109" t="s">
        <v>1842</v>
      </c>
      <c r="I66" s="110">
        <v>59</v>
      </c>
      <c r="J66" s="105"/>
      <c r="K66" s="119"/>
      <c r="L66" s="113"/>
      <c r="M66" s="112"/>
      <c r="N66" s="543"/>
      <c r="O66" s="543"/>
      <c r="P66" s="526"/>
      <c r="Q66" s="526"/>
      <c r="R66" s="548"/>
      <c r="S66" s="545"/>
    </row>
    <row r="67" spans="2:21" s="73" customFormat="1" ht="13.5">
      <c r="B67" s="104">
        <v>60</v>
      </c>
      <c r="C67" s="121" t="s">
        <v>1843</v>
      </c>
      <c r="D67" s="119"/>
      <c r="E67" s="107" t="s">
        <v>845</v>
      </c>
      <c r="F67" s="107">
        <v>10</v>
      </c>
      <c r="G67" s="108" t="s">
        <v>1844</v>
      </c>
      <c r="H67" s="109" t="s">
        <v>1845</v>
      </c>
      <c r="I67" s="110">
        <v>60</v>
      </c>
      <c r="J67" s="105"/>
      <c r="K67" s="119"/>
      <c r="L67" s="113"/>
      <c r="M67" s="112"/>
      <c r="N67" s="543"/>
      <c r="O67" s="543"/>
      <c r="P67" s="526"/>
      <c r="Q67" s="526"/>
      <c r="R67" s="548"/>
      <c r="S67" s="545"/>
    </row>
    <row r="68" spans="2:21" s="73" customFormat="1" ht="13.5">
      <c r="B68" s="104">
        <v>61</v>
      </c>
      <c r="C68" s="121" t="s">
        <v>1846</v>
      </c>
      <c r="D68" s="119"/>
      <c r="E68" s="107" t="s">
        <v>845</v>
      </c>
      <c r="F68" s="107">
        <v>8</v>
      </c>
      <c r="G68" s="108" t="s">
        <v>1847</v>
      </c>
      <c r="H68" s="109" t="s">
        <v>1848</v>
      </c>
      <c r="I68" s="110">
        <v>61</v>
      </c>
      <c r="J68" s="105"/>
      <c r="K68" s="119"/>
      <c r="L68" s="113"/>
      <c r="M68" s="112"/>
      <c r="N68" s="543"/>
      <c r="O68" s="543"/>
      <c r="P68" s="526"/>
      <c r="Q68" s="526"/>
      <c r="R68" s="548"/>
      <c r="S68" s="545"/>
    </row>
    <row r="69" spans="2:21" s="73" customFormat="1" ht="13.5">
      <c r="B69" s="104">
        <v>62</v>
      </c>
      <c r="C69" s="121" t="s">
        <v>1849</v>
      </c>
      <c r="D69" s="119"/>
      <c r="E69" s="107" t="s">
        <v>845</v>
      </c>
      <c r="F69" s="107">
        <v>40</v>
      </c>
      <c r="G69" s="108" t="s">
        <v>1850</v>
      </c>
      <c r="H69" s="109" t="s">
        <v>1851</v>
      </c>
      <c r="I69" s="110">
        <v>62</v>
      </c>
      <c r="J69" s="105"/>
      <c r="K69" s="119"/>
      <c r="L69" s="113"/>
      <c r="M69" s="112"/>
      <c r="N69" s="543"/>
      <c r="O69" s="543"/>
      <c r="P69" s="526"/>
      <c r="Q69" s="526"/>
      <c r="R69" s="548"/>
      <c r="S69" s="545"/>
    </row>
    <row r="70" spans="2:21" s="73" customFormat="1" ht="13.5">
      <c r="B70" s="104">
        <v>63</v>
      </c>
      <c r="C70" s="347" t="s">
        <v>1852</v>
      </c>
      <c r="D70" s="348"/>
      <c r="E70" s="348" t="s">
        <v>845</v>
      </c>
      <c r="F70" s="348">
        <v>15</v>
      </c>
      <c r="G70" s="349" t="s">
        <v>1853</v>
      </c>
      <c r="H70" s="350" t="s">
        <v>1854</v>
      </c>
      <c r="I70" s="110">
        <v>63</v>
      </c>
      <c r="J70" s="105"/>
      <c r="K70" s="119"/>
      <c r="L70" s="113"/>
      <c r="M70" s="112"/>
      <c r="N70" s="543"/>
      <c r="O70" s="543"/>
      <c r="P70" s="526"/>
      <c r="Q70" s="526"/>
      <c r="R70" s="548"/>
      <c r="S70" s="545"/>
    </row>
    <row r="71" spans="2:21" s="73" customFormat="1" ht="13.5">
      <c r="B71" s="104">
        <v>64</v>
      </c>
      <c r="C71" s="337" t="s">
        <v>1855</v>
      </c>
      <c r="D71" s="338"/>
      <c r="E71" s="339" t="s">
        <v>845</v>
      </c>
      <c r="F71" s="339"/>
      <c r="G71" s="340" t="s">
        <v>1856</v>
      </c>
      <c r="H71" s="341" t="s">
        <v>1857</v>
      </c>
      <c r="I71" s="110">
        <v>64</v>
      </c>
      <c r="J71" s="105"/>
      <c r="K71" s="119"/>
      <c r="L71" s="113"/>
      <c r="M71" s="112"/>
      <c r="N71" s="543"/>
      <c r="O71" s="543"/>
      <c r="P71" s="526"/>
      <c r="Q71" s="526"/>
      <c r="R71" s="548"/>
      <c r="S71" s="545"/>
      <c r="T71" s="73" t="s">
        <v>1858</v>
      </c>
      <c r="U71" s="73" t="s">
        <v>1859</v>
      </c>
    </row>
    <row r="72" spans="2:21" s="73" customFormat="1" ht="13.5">
      <c r="B72" s="104">
        <v>65</v>
      </c>
      <c r="C72" s="337" t="s">
        <v>1860</v>
      </c>
      <c r="D72" s="338"/>
      <c r="E72" s="339" t="s">
        <v>845</v>
      </c>
      <c r="F72" s="339"/>
      <c r="G72" s="340" t="s">
        <v>1861</v>
      </c>
      <c r="H72" s="341"/>
      <c r="I72" s="110">
        <v>65</v>
      </c>
      <c r="J72" s="105"/>
      <c r="K72" s="119"/>
      <c r="L72" s="113"/>
      <c r="M72" s="112"/>
      <c r="N72" s="543"/>
      <c r="O72" s="543"/>
      <c r="P72" s="526"/>
      <c r="Q72" s="526"/>
      <c r="R72" s="548"/>
      <c r="S72" s="545"/>
      <c r="T72" s="73" t="s">
        <v>1858</v>
      </c>
    </row>
    <row r="73" spans="2:21" s="73" customFormat="1" ht="13.5">
      <c r="B73" s="104">
        <v>66</v>
      </c>
      <c r="C73" s="337"/>
      <c r="D73" s="338"/>
      <c r="E73" s="339"/>
      <c r="F73" s="339"/>
      <c r="G73" s="340"/>
      <c r="H73" s="341"/>
      <c r="I73" s="110">
        <v>66</v>
      </c>
      <c r="J73" s="105"/>
      <c r="K73" s="119"/>
      <c r="L73" s="113"/>
      <c r="M73" s="112"/>
      <c r="N73" s="543"/>
      <c r="O73" s="543"/>
      <c r="P73" s="526"/>
      <c r="Q73" s="526"/>
      <c r="R73" s="548"/>
      <c r="S73" s="545"/>
      <c r="T73" s="73" t="s">
        <v>1858</v>
      </c>
    </row>
    <row r="74" spans="2:21" s="73" customFormat="1" ht="13.5">
      <c r="B74" s="104">
        <v>67</v>
      </c>
      <c r="C74" s="337"/>
      <c r="D74" s="338"/>
      <c r="E74" s="339"/>
      <c r="F74" s="339"/>
      <c r="G74" s="340"/>
      <c r="H74" s="341"/>
      <c r="I74" s="110">
        <v>67</v>
      </c>
      <c r="J74" s="105"/>
      <c r="K74" s="119"/>
      <c r="L74" s="113"/>
      <c r="M74" s="112"/>
      <c r="N74" s="543"/>
      <c r="O74" s="543"/>
      <c r="P74" s="526"/>
      <c r="Q74" s="526"/>
      <c r="R74" s="548"/>
      <c r="S74" s="545"/>
      <c r="T74" s="73" t="s">
        <v>1858</v>
      </c>
    </row>
    <row r="75" spans="2:21" s="73" customFormat="1" ht="13.5">
      <c r="B75" s="104">
        <v>68</v>
      </c>
      <c r="C75" s="337"/>
      <c r="D75" s="338"/>
      <c r="E75" s="339"/>
      <c r="F75" s="339"/>
      <c r="G75" s="340"/>
      <c r="H75" s="341"/>
      <c r="I75" s="110">
        <v>68</v>
      </c>
      <c r="J75" s="105"/>
      <c r="K75" s="119"/>
      <c r="L75" s="113"/>
      <c r="M75" s="112"/>
      <c r="N75" s="543"/>
      <c r="O75" s="543"/>
      <c r="P75" s="526"/>
      <c r="Q75" s="526"/>
      <c r="R75" s="548"/>
      <c r="S75" s="545"/>
      <c r="T75" s="73" t="s">
        <v>1858</v>
      </c>
    </row>
    <row r="76" spans="2:21" s="73" customFormat="1" ht="14.25" thickBot="1">
      <c r="B76" s="129"/>
      <c r="C76" s="130"/>
      <c r="D76" s="131"/>
      <c r="E76" s="131"/>
      <c r="F76" s="131"/>
      <c r="G76" s="131"/>
      <c r="H76" s="132"/>
      <c r="I76" s="135"/>
      <c r="J76" s="130"/>
      <c r="K76" s="131"/>
      <c r="L76" s="130"/>
      <c r="M76" s="131"/>
      <c r="N76" s="553"/>
      <c r="O76" s="553"/>
      <c r="P76" s="553"/>
      <c r="Q76" s="553"/>
      <c r="R76" s="553"/>
      <c r="S76" s="554"/>
    </row>
    <row r="77" spans="2:21" ht="18.75" customHeight="1">
      <c r="B77" s="100"/>
      <c r="C77" s="100"/>
      <c r="D77" s="100"/>
      <c r="E77" s="100"/>
      <c r="F77" s="100"/>
      <c r="G77" s="100"/>
      <c r="H77" s="100"/>
      <c r="I77" s="100"/>
      <c r="J77" s="100"/>
      <c r="K77" s="100"/>
      <c r="L77" s="100"/>
      <c r="M77" s="100"/>
      <c r="N77" s="555"/>
      <c r="O77" s="555"/>
      <c r="P77" s="556"/>
      <c r="Q77" s="555"/>
      <c r="R77" s="555"/>
      <c r="S77" s="556"/>
      <c r="T77" s="100"/>
    </row>
    <row r="78" spans="2:21" ht="18.75" customHeight="1">
      <c r="B78" s="51" t="s">
        <v>1025</v>
      </c>
      <c r="C78" s="73"/>
      <c r="D78" s="73"/>
      <c r="E78" s="73"/>
      <c r="F78" s="73"/>
      <c r="G78" s="73"/>
      <c r="H78" s="73"/>
      <c r="I78" s="73"/>
      <c r="J78" s="73"/>
      <c r="K78" s="73"/>
      <c r="L78" s="73"/>
      <c r="M78" s="73"/>
      <c r="N78" s="5"/>
      <c r="O78" s="5"/>
      <c r="Q78" s="5"/>
      <c r="R78" s="5"/>
      <c r="T78" s="100"/>
    </row>
    <row r="79" spans="2:21" ht="18.75" customHeight="1">
      <c r="B79" s="976" t="s">
        <v>826</v>
      </c>
      <c r="C79" s="976"/>
      <c r="D79" s="976" t="s">
        <v>1029</v>
      </c>
      <c r="E79" s="976"/>
      <c r="F79" s="976"/>
      <c r="G79" s="976"/>
      <c r="H79" s="976"/>
      <c r="I79" s="976"/>
      <c r="J79" s="976"/>
      <c r="K79" s="976"/>
      <c r="L79" s="976"/>
      <c r="M79" s="976"/>
      <c r="N79" s="976"/>
      <c r="O79" s="976"/>
      <c r="P79" s="976"/>
      <c r="Q79" s="976"/>
      <c r="R79" s="976"/>
      <c r="S79" s="976"/>
      <c r="T79" s="100"/>
    </row>
    <row r="80" spans="2:21" ht="22.5" customHeight="1">
      <c r="B80" s="977" t="s">
        <v>1033</v>
      </c>
      <c r="C80" s="978"/>
      <c r="D80" s="989"/>
      <c r="E80" s="990"/>
      <c r="F80" s="990"/>
      <c r="G80" s="990"/>
      <c r="H80" s="990"/>
      <c r="I80" s="990"/>
      <c r="J80" s="990"/>
      <c r="K80" s="990"/>
      <c r="L80" s="990"/>
      <c r="M80" s="990"/>
      <c r="N80" s="990"/>
      <c r="O80" s="990"/>
      <c r="P80" s="990"/>
      <c r="Q80" s="990"/>
      <c r="R80" s="990"/>
      <c r="S80" s="991"/>
      <c r="T80" s="100"/>
    </row>
    <row r="81" spans="2:20" ht="24.75" customHeight="1">
      <c r="B81" s="1008" t="s">
        <v>1038</v>
      </c>
      <c r="C81" s="1009"/>
      <c r="D81" s="1010"/>
      <c r="E81" s="1011"/>
      <c r="F81" s="1011"/>
      <c r="G81" s="1011"/>
      <c r="H81" s="1011"/>
      <c r="I81" s="1011"/>
      <c r="J81" s="1011"/>
      <c r="K81" s="1011"/>
      <c r="L81" s="1011"/>
      <c r="M81" s="1011"/>
      <c r="N81" s="1011"/>
      <c r="O81" s="1011"/>
      <c r="P81" s="1011"/>
      <c r="Q81" s="1011"/>
      <c r="R81" s="1011"/>
      <c r="S81" s="1012"/>
      <c r="T81" s="100"/>
    </row>
    <row r="82" spans="2:20" ht="18.75" customHeight="1">
      <c r="B82" s="75"/>
      <c r="C82" s="75"/>
      <c r="D82" s="75"/>
      <c r="E82" s="75"/>
      <c r="F82" s="75"/>
      <c r="G82" s="75"/>
      <c r="H82" s="75"/>
      <c r="I82" s="75"/>
      <c r="J82" s="75"/>
      <c r="K82" s="75"/>
      <c r="L82" s="75"/>
      <c r="M82" s="75"/>
      <c r="N82" s="5"/>
      <c r="O82" s="5"/>
      <c r="P82" s="5"/>
      <c r="Q82" s="5"/>
      <c r="R82" s="5"/>
      <c r="S82" s="5"/>
      <c r="T82" s="100"/>
    </row>
    <row r="83" spans="2:20" ht="18.75" customHeight="1">
      <c r="B83" s="51" t="s">
        <v>1045</v>
      </c>
      <c r="C83" s="73"/>
      <c r="D83" s="73"/>
      <c r="E83" s="73"/>
      <c r="F83" s="73"/>
      <c r="G83" s="73"/>
      <c r="H83" s="73"/>
      <c r="I83" s="73"/>
      <c r="J83" s="73"/>
      <c r="K83" s="73"/>
      <c r="L83" s="73"/>
      <c r="M83" s="73"/>
      <c r="N83" s="5"/>
      <c r="O83" s="5"/>
      <c r="Q83" s="5"/>
      <c r="R83" s="5"/>
      <c r="T83" s="100"/>
    </row>
    <row r="84" spans="2:20" ht="54" customHeight="1">
      <c r="B84" s="1014" t="s">
        <v>1049</v>
      </c>
      <c r="C84" s="1014"/>
      <c r="D84" s="1013"/>
      <c r="E84" s="1013"/>
      <c r="F84" s="1013"/>
      <c r="G84" s="1013"/>
      <c r="H84" s="1013"/>
      <c r="I84" s="1013"/>
      <c r="J84" s="1013"/>
      <c r="K84" s="1013"/>
      <c r="L84" s="1013"/>
      <c r="M84" s="1013"/>
      <c r="N84" s="1013"/>
      <c r="O84" s="1013"/>
      <c r="P84" s="1013"/>
      <c r="Q84" s="1013"/>
      <c r="R84" s="1013"/>
      <c r="S84" s="1013"/>
    </row>
    <row r="85" spans="2:20" ht="33" customHeight="1">
      <c r="B85" s="976" t="s">
        <v>1053</v>
      </c>
      <c r="C85" s="976"/>
      <c r="D85" s="1013"/>
      <c r="E85" s="1013"/>
      <c r="F85" s="1013"/>
      <c r="G85" s="1013"/>
      <c r="H85" s="1013"/>
      <c r="I85" s="1013"/>
      <c r="J85" s="1013"/>
      <c r="K85" s="1013"/>
      <c r="L85" s="1013"/>
      <c r="M85" s="1013"/>
      <c r="N85" s="1013"/>
      <c r="O85" s="1013"/>
      <c r="P85" s="1013"/>
      <c r="Q85" s="1013"/>
      <c r="R85" s="1013"/>
      <c r="S85" s="1013"/>
    </row>
    <row r="86" spans="2:20" ht="71.25" customHeight="1">
      <c r="B86" s="976" t="s">
        <v>1057</v>
      </c>
      <c r="C86" s="976"/>
      <c r="D86" s="1013"/>
      <c r="E86" s="1013"/>
      <c r="F86" s="1013"/>
      <c r="G86" s="1013"/>
      <c r="H86" s="1013"/>
      <c r="I86" s="1013"/>
      <c r="J86" s="1013"/>
      <c r="K86" s="1013"/>
      <c r="L86" s="1013"/>
      <c r="M86" s="1013"/>
      <c r="N86" s="1013"/>
      <c r="O86" s="1013"/>
      <c r="P86" s="1013"/>
      <c r="Q86" s="1013"/>
      <c r="R86" s="1013"/>
      <c r="S86" s="1013"/>
    </row>
    <row r="87" spans="2:20" ht="38.25" customHeight="1">
      <c r="B87" s="976" t="s">
        <v>1061</v>
      </c>
      <c r="C87" s="976"/>
      <c r="D87" s="1013"/>
      <c r="E87" s="1013"/>
      <c r="F87" s="1013"/>
      <c r="G87" s="1013"/>
      <c r="H87" s="1013"/>
      <c r="I87" s="1013"/>
      <c r="J87" s="1013"/>
      <c r="K87" s="1013"/>
      <c r="L87" s="1013"/>
      <c r="M87" s="1013"/>
      <c r="N87" s="1013"/>
      <c r="O87" s="1013"/>
      <c r="P87" s="1013"/>
      <c r="Q87" s="1013"/>
      <c r="R87" s="1013"/>
      <c r="S87" s="1013"/>
    </row>
    <row r="88" spans="2:20" s="73" customFormat="1" ht="15" customHeight="1">
      <c r="H88" s="538" t="s">
        <v>1862</v>
      </c>
      <c r="N88" s="4"/>
      <c r="O88" s="4"/>
      <c r="P88" s="4"/>
      <c r="Q88" s="4"/>
      <c r="R88" s="4"/>
      <c r="S88" s="4"/>
    </row>
    <row r="89" spans="2:20" s="73" customFormat="1" ht="15" customHeight="1">
      <c r="C89" s="73" t="s">
        <v>1863</v>
      </c>
      <c r="G89" s="73" t="s">
        <v>1864</v>
      </c>
      <c r="H89" s="73" t="s">
        <v>1865</v>
      </c>
      <c r="I89" s="75" t="s">
        <v>1866</v>
      </c>
      <c r="J89" s="75" t="s">
        <v>1867</v>
      </c>
      <c r="N89" s="4"/>
      <c r="O89" s="4"/>
      <c r="P89" s="4"/>
      <c r="Q89" s="4"/>
      <c r="R89" s="4"/>
      <c r="S89" s="4"/>
    </row>
    <row r="90" spans="2:20" s="73" customFormat="1" ht="15" customHeight="1">
      <c r="B90" s="73" t="s">
        <v>1868</v>
      </c>
      <c r="C90" s="205" t="s">
        <v>1869</v>
      </c>
      <c r="D90" s="205" t="s">
        <v>1870</v>
      </c>
      <c r="E90" s="206" t="s">
        <v>845</v>
      </c>
      <c r="F90" s="206">
        <v>10</v>
      </c>
      <c r="G90" s="215" t="s">
        <v>1871</v>
      </c>
      <c r="I90" s="75">
        <v>1</v>
      </c>
      <c r="J90" s="75"/>
      <c r="N90" s="4"/>
      <c r="O90" s="4"/>
      <c r="P90" s="4"/>
      <c r="Q90" s="4"/>
      <c r="R90" s="4"/>
      <c r="S90" s="4"/>
    </row>
    <row r="91" spans="2:20" s="73" customFormat="1" ht="15" customHeight="1">
      <c r="B91" s="73" t="s">
        <v>1868</v>
      </c>
      <c r="C91" s="204" t="s">
        <v>1872</v>
      </c>
      <c r="D91" s="205" t="s">
        <v>1870</v>
      </c>
      <c r="E91" s="206" t="s">
        <v>845</v>
      </c>
      <c r="F91" s="208">
        <v>4</v>
      </c>
      <c r="G91" s="215" t="s">
        <v>1873</v>
      </c>
      <c r="I91" s="75">
        <v>1</v>
      </c>
      <c r="J91" s="75"/>
      <c r="N91" s="4"/>
      <c r="O91" s="4"/>
      <c r="P91" s="4"/>
      <c r="Q91" s="4"/>
      <c r="R91" s="4"/>
      <c r="S91" s="4"/>
    </row>
    <row r="92" spans="2:20" s="73" customFormat="1" ht="15" customHeight="1">
      <c r="B92" s="73" t="s">
        <v>1868</v>
      </c>
      <c r="C92" s="204" t="s">
        <v>1874</v>
      </c>
      <c r="D92" s="205" t="s">
        <v>1870</v>
      </c>
      <c r="E92" s="206" t="s">
        <v>845</v>
      </c>
      <c r="F92" s="208">
        <v>2</v>
      </c>
      <c r="G92" s="213" t="s">
        <v>1875</v>
      </c>
      <c r="I92" s="75">
        <v>1</v>
      </c>
      <c r="J92" s="75"/>
      <c r="N92" s="4"/>
      <c r="O92" s="4"/>
      <c r="P92" s="4"/>
      <c r="Q92" s="4"/>
      <c r="R92" s="4"/>
      <c r="S92" s="4"/>
    </row>
    <row r="93" spans="2:20" s="73" customFormat="1" ht="15" customHeight="1">
      <c r="B93" s="73" t="s">
        <v>1868</v>
      </c>
      <c r="C93" s="562" t="s">
        <v>1876</v>
      </c>
      <c r="D93" s="563"/>
      <c r="E93" s="564" t="s">
        <v>845</v>
      </c>
      <c r="F93" s="564">
        <v>4</v>
      </c>
      <c r="G93" s="565" t="s">
        <v>1877</v>
      </c>
      <c r="H93" s="566">
        <v>1</v>
      </c>
      <c r="I93" s="75"/>
      <c r="J93" s="75">
        <v>1</v>
      </c>
      <c r="N93" s="4"/>
      <c r="O93" s="4"/>
      <c r="P93" s="4"/>
      <c r="Q93" s="4"/>
      <c r="R93" s="4"/>
      <c r="S93" s="4"/>
    </row>
    <row r="94" spans="2:20" s="73" customFormat="1" ht="15" customHeight="1">
      <c r="B94" s="73" t="s">
        <v>1868</v>
      </c>
      <c r="C94" s="207" t="s">
        <v>1878</v>
      </c>
      <c r="D94" s="205"/>
      <c r="E94" s="206" t="s">
        <v>845</v>
      </c>
      <c r="F94" s="206">
        <v>5</v>
      </c>
      <c r="G94" s="204" t="s">
        <v>1879</v>
      </c>
      <c r="I94" s="75"/>
      <c r="J94" s="75">
        <v>1</v>
      </c>
      <c r="N94" s="4"/>
      <c r="O94" s="4"/>
      <c r="P94" s="4"/>
      <c r="Q94" s="4"/>
      <c r="R94" s="4"/>
      <c r="S94" s="4"/>
    </row>
    <row r="95" spans="2:20" s="73" customFormat="1" ht="15" customHeight="1">
      <c r="B95" s="73" t="s">
        <v>1868</v>
      </c>
      <c r="C95" s="209" t="s">
        <v>1880</v>
      </c>
      <c r="D95" s="205"/>
      <c r="E95" s="206" t="s">
        <v>845</v>
      </c>
      <c r="F95" s="208">
        <v>3</v>
      </c>
      <c r="G95" s="204" t="s">
        <v>1881</v>
      </c>
      <c r="I95" s="75"/>
      <c r="J95" s="75">
        <v>1</v>
      </c>
      <c r="N95" s="4"/>
      <c r="O95" s="4"/>
      <c r="P95" s="4"/>
      <c r="Q95" s="4"/>
      <c r="R95" s="4"/>
      <c r="S95" s="4"/>
    </row>
    <row r="96" spans="2:20" s="73" customFormat="1" ht="15" customHeight="1">
      <c r="B96" s="73" t="s">
        <v>1868</v>
      </c>
      <c r="C96" s="209" t="s">
        <v>1882</v>
      </c>
      <c r="D96" s="205"/>
      <c r="E96" s="206" t="s">
        <v>845</v>
      </c>
      <c r="F96" s="206">
        <v>3</v>
      </c>
      <c r="G96" s="204" t="s">
        <v>1883</v>
      </c>
      <c r="I96" s="75"/>
      <c r="J96" s="75">
        <v>1</v>
      </c>
      <c r="N96" s="4"/>
      <c r="O96" s="4"/>
      <c r="P96" s="4"/>
      <c r="Q96" s="4"/>
      <c r="R96" s="4"/>
      <c r="S96" s="4"/>
    </row>
    <row r="97" spans="2:19" s="73" customFormat="1" ht="15" customHeight="1">
      <c r="B97" s="73" t="s">
        <v>1868</v>
      </c>
      <c r="C97" s="207" t="s">
        <v>1884</v>
      </c>
      <c r="D97" s="205"/>
      <c r="E97" s="206" t="s">
        <v>845</v>
      </c>
      <c r="F97" s="206">
        <v>3</v>
      </c>
      <c r="G97" s="204" t="s">
        <v>1885</v>
      </c>
      <c r="I97" s="75">
        <v>1</v>
      </c>
      <c r="J97" s="75"/>
      <c r="N97" s="4"/>
      <c r="O97" s="4"/>
      <c r="P97" s="4"/>
      <c r="Q97" s="4"/>
      <c r="R97" s="4"/>
      <c r="S97" s="4"/>
    </row>
    <row r="98" spans="2:19" s="73" customFormat="1" ht="15" customHeight="1">
      <c r="B98" s="73" t="s">
        <v>1868</v>
      </c>
      <c r="C98" s="209" t="s">
        <v>1886</v>
      </c>
      <c r="D98" s="205"/>
      <c r="E98" s="206" t="s">
        <v>845</v>
      </c>
      <c r="F98" s="208">
        <v>5</v>
      </c>
      <c r="G98" s="204" t="s">
        <v>1887</v>
      </c>
      <c r="I98" s="75"/>
      <c r="J98" s="75">
        <v>1</v>
      </c>
      <c r="N98" s="4"/>
      <c r="O98" s="4"/>
      <c r="P98" s="4"/>
      <c r="Q98" s="4"/>
      <c r="R98" s="4"/>
      <c r="S98" s="4"/>
    </row>
    <row r="99" spans="2:19" s="73" customFormat="1" ht="15" customHeight="1">
      <c r="B99" s="73" t="s">
        <v>1868</v>
      </c>
      <c r="C99" s="209" t="s">
        <v>1888</v>
      </c>
      <c r="D99" s="205"/>
      <c r="E99" s="206" t="s">
        <v>845</v>
      </c>
      <c r="F99" s="206">
        <v>10</v>
      </c>
      <c r="G99" s="204" t="s">
        <v>1889</v>
      </c>
      <c r="I99" s="75"/>
      <c r="J99" s="75"/>
      <c r="N99" s="4"/>
      <c r="O99" s="4"/>
      <c r="P99" s="4"/>
      <c r="Q99" s="4"/>
      <c r="R99" s="4"/>
      <c r="S99" s="4"/>
    </row>
    <row r="100" spans="2:19" s="73" customFormat="1" ht="15" customHeight="1">
      <c r="B100" s="73" t="s">
        <v>1868</v>
      </c>
      <c r="C100" s="209" t="s">
        <v>1890</v>
      </c>
      <c r="D100" s="205"/>
      <c r="E100" s="206" t="s">
        <v>845</v>
      </c>
      <c r="F100" s="206">
        <v>4</v>
      </c>
      <c r="G100" s="204" t="s">
        <v>1891</v>
      </c>
      <c r="I100" s="75">
        <v>1</v>
      </c>
      <c r="J100" s="75"/>
      <c r="N100" s="4"/>
      <c r="O100" s="4"/>
      <c r="P100" s="4"/>
      <c r="Q100" s="4"/>
      <c r="R100" s="4"/>
      <c r="S100" s="4"/>
    </row>
    <row r="101" spans="2:19" s="73" customFormat="1" ht="15" customHeight="1">
      <c r="B101" s="73" t="s">
        <v>1868</v>
      </c>
      <c r="C101" s="209" t="s">
        <v>1892</v>
      </c>
      <c r="D101" s="205"/>
      <c r="E101" s="206" t="s">
        <v>845</v>
      </c>
      <c r="F101" s="208">
        <v>10</v>
      </c>
      <c r="G101" s="204" t="s">
        <v>1893</v>
      </c>
      <c r="J101" s="75">
        <v>1</v>
      </c>
      <c r="N101" s="4"/>
      <c r="O101" s="4"/>
      <c r="P101" s="4"/>
      <c r="Q101" s="4"/>
      <c r="R101" s="4"/>
      <c r="S101" s="4"/>
    </row>
    <row r="102" spans="2:19" s="73" customFormat="1" ht="15" customHeight="1">
      <c r="B102" s="73" t="s">
        <v>1868</v>
      </c>
      <c r="C102" s="207" t="s">
        <v>1894</v>
      </c>
      <c r="D102" s="205"/>
      <c r="E102" s="206" t="s">
        <v>845</v>
      </c>
      <c r="F102" s="206">
        <v>1</v>
      </c>
      <c r="G102" s="204" t="s">
        <v>1895</v>
      </c>
      <c r="J102" s="75">
        <v>1</v>
      </c>
      <c r="N102" s="4"/>
      <c r="O102" s="4"/>
      <c r="P102" s="4"/>
      <c r="Q102" s="4"/>
      <c r="R102" s="4"/>
      <c r="S102" s="4"/>
    </row>
    <row r="103" spans="2:19" s="73" customFormat="1" ht="15" customHeight="1">
      <c r="B103" s="73" t="s">
        <v>1868</v>
      </c>
      <c r="C103" s="207" t="s">
        <v>1896</v>
      </c>
      <c r="D103" s="205"/>
      <c r="E103" s="206" t="s">
        <v>845</v>
      </c>
      <c r="F103" s="206">
        <v>1</v>
      </c>
      <c r="G103" s="204" t="s">
        <v>1897</v>
      </c>
      <c r="J103" s="75">
        <v>1</v>
      </c>
      <c r="N103" s="4"/>
      <c r="O103" s="4"/>
      <c r="P103" s="4"/>
      <c r="Q103" s="4"/>
      <c r="R103" s="4"/>
      <c r="S103" s="4"/>
    </row>
    <row r="104" spans="2:19" s="73" customFormat="1" ht="15" customHeight="1">
      <c r="B104" s="73" t="s">
        <v>1868</v>
      </c>
      <c r="C104" s="527" t="s">
        <v>1898</v>
      </c>
      <c r="D104" s="528"/>
      <c r="E104" s="529" t="s">
        <v>845</v>
      </c>
      <c r="F104" s="530">
        <v>4</v>
      </c>
      <c r="G104" s="531" t="s">
        <v>1899</v>
      </c>
      <c r="J104" s="75">
        <v>1</v>
      </c>
      <c r="N104" s="4" t="s">
        <v>1900</v>
      </c>
      <c r="O104" s="4" t="s">
        <v>1901</v>
      </c>
      <c r="P104" s="4" t="s">
        <v>1902</v>
      </c>
      <c r="Q104" s="4" t="s">
        <v>1903</v>
      </c>
      <c r="R104" s="4" t="s">
        <v>1904</v>
      </c>
      <c r="S104" s="4" t="s">
        <v>1905</v>
      </c>
    </row>
    <row r="105" spans="2:19" s="73" customFormat="1" ht="15" customHeight="1">
      <c r="C105" s="568" t="s">
        <v>1906</v>
      </c>
      <c r="D105" s="567"/>
      <c r="E105" s="567"/>
      <c r="F105" s="567"/>
      <c r="G105" s="569" t="s">
        <v>1907</v>
      </c>
      <c r="H105" s="75">
        <v>1</v>
      </c>
      <c r="J105" s="75"/>
      <c r="N105" s="4"/>
      <c r="O105" s="4"/>
      <c r="P105" s="4"/>
      <c r="Q105" s="4"/>
      <c r="R105" s="4"/>
      <c r="S105" s="4"/>
    </row>
    <row r="106" spans="2:19" s="73" customFormat="1" ht="15" customHeight="1">
      <c r="C106" s="570" t="s">
        <v>1908</v>
      </c>
      <c r="D106" s="567"/>
      <c r="E106" s="567"/>
      <c r="F106" s="567"/>
      <c r="G106" s="569" t="s">
        <v>1909</v>
      </c>
      <c r="H106" s="75" t="s">
        <v>1910</v>
      </c>
      <c r="J106" s="75"/>
      <c r="N106" s="4"/>
      <c r="O106" s="4"/>
      <c r="P106" s="4"/>
      <c r="Q106" s="4"/>
      <c r="R106" s="4"/>
      <c r="S106" s="4"/>
    </row>
    <row r="107" spans="2:19" s="73" customFormat="1" ht="15" customHeight="1">
      <c r="C107" s="571" t="s">
        <v>1911</v>
      </c>
      <c r="D107" s="567"/>
      <c r="E107" s="567"/>
      <c r="F107" s="567"/>
      <c r="G107" s="569" t="s">
        <v>1912</v>
      </c>
      <c r="H107" s="75" t="s">
        <v>1910</v>
      </c>
      <c r="J107" s="75"/>
      <c r="N107" s="4"/>
      <c r="O107" s="4"/>
      <c r="P107" s="4"/>
      <c r="Q107" s="4"/>
      <c r="R107" s="4"/>
      <c r="S107" s="4"/>
    </row>
    <row r="108" spans="2:19" s="73" customFormat="1" ht="15" customHeight="1">
      <c r="C108" s="570"/>
      <c r="D108" s="567"/>
      <c r="E108" s="567"/>
      <c r="F108" s="567"/>
      <c r="G108" s="569"/>
      <c r="H108" s="75"/>
      <c r="J108" s="75"/>
      <c r="N108" s="4"/>
      <c r="O108" s="4"/>
      <c r="P108" s="4"/>
      <c r="Q108" s="4"/>
      <c r="R108" s="4"/>
      <c r="S108" s="4"/>
    </row>
    <row r="109" spans="2:19" s="73" customFormat="1" ht="15" customHeight="1">
      <c r="C109" s="570"/>
      <c r="D109" s="567"/>
      <c r="E109" s="567"/>
      <c r="F109" s="567"/>
      <c r="H109" s="75"/>
      <c r="J109" s="75"/>
      <c r="N109" s="4"/>
      <c r="O109" s="4"/>
      <c r="P109" s="4"/>
      <c r="Q109" s="4"/>
      <c r="R109" s="4"/>
      <c r="S109" s="4"/>
    </row>
    <row r="110" spans="2:19" s="73" customFormat="1" ht="15" customHeight="1" thickBot="1">
      <c r="C110" s="559"/>
      <c r="D110" s="293"/>
      <c r="E110" s="560"/>
      <c r="F110" s="294"/>
      <c r="G110" s="561"/>
      <c r="J110" s="75"/>
      <c r="N110" s="4"/>
      <c r="O110" s="4"/>
      <c r="P110" s="4"/>
      <c r="Q110" s="4"/>
      <c r="R110" s="4"/>
      <c r="S110" s="4"/>
    </row>
    <row r="111" spans="2:19" s="73" customFormat="1" ht="15" customHeight="1">
      <c r="B111" s="73" t="s">
        <v>1913</v>
      </c>
      <c r="C111" s="532" t="s">
        <v>844</v>
      </c>
      <c r="D111" s="533"/>
      <c r="E111" s="534" t="s">
        <v>845</v>
      </c>
      <c r="F111" s="534">
        <v>5</v>
      </c>
      <c r="G111" s="535" t="s">
        <v>846</v>
      </c>
      <c r="H111" s="536" t="s">
        <v>847</v>
      </c>
      <c r="I111" s="537"/>
      <c r="J111" s="537"/>
      <c r="K111" s="537"/>
      <c r="L111" s="537"/>
      <c r="M111" s="537"/>
      <c r="N111" s="4"/>
      <c r="O111" s="4"/>
      <c r="P111" s="4"/>
      <c r="Q111" s="4"/>
      <c r="R111" s="4"/>
      <c r="S111" s="4"/>
    </row>
    <row r="112" spans="2:19" s="73" customFormat="1" ht="15" customHeight="1">
      <c r="B112" s="73" t="s">
        <v>1913</v>
      </c>
      <c r="C112" s="105" t="s">
        <v>1663</v>
      </c>
      <c r="D112" s="119"/>
      <c r="E112" s="107" t="s">
        <v>845</v>
      </c>
      <c r="F112" s="107">
        <v>4</v>
      </c>
      <c r="G112" s="108" t="s">
        <v>1664</v>
      </c>
      <c r="H112" s="109" t="s">
        <v>1665</v>
      </c>
      <c r="N112" s="5" t="s">
        <v>1914</v>
      </c>
      <c r="O112" s="5" t="s">
        <v>1915</v>
      </c>
      <c r="P112" s="5" t="e">
        <v>#N/A</v>
      </c>
      <c r="Q112" s="5" t="e">
        <v>#N/A</v>
      </c>
      <c r="R112" s="5" t="e">
        <v>#N/A</v>
      </c>
      <c r="S112" s="5" t="e">
        <v>#N/A</v>
      </c>
    </row>
    <row r="113" spans="2:19" s="73" customFormat="1" ht="15" customHeight="1">
      <c r="B113" s="73" t="s">
        <v>1913</v>
      </c>
      <c r="C113" s="105" t="s">
        <v>852</v>
      </c>
      <c r="D113" s="119" t="s">
        <v>42</v>
      </c>
      <c r="E113" s="107" t="s">
        <v>845</v>
      </c>
      <c r="F113" s="107">
        <v>4</v>
      </c>
      <c r="G113" s="108" t="s">
        <v>853</v>
      </c>
      <c r="H113" s="109" t="s">
        <v>854</v>
      </c>
      <c r="N113" s="5" t="e">
        <v>#N/A</v>
      </c>
      <c r="O113" s="5" t="e">
        <v>#N/A</v>
      </c>
      <c r="P113" s="5" t="s">
        <v>1916</v>
      </c>
      <c r="Q113" s="5" t="s">
        <v>1917</v>
      </c>
      <c r="R113" s="5" t="e">
        <v>#N/A</v>
      </c>
      <c r="S113" s="5" t="e">
        <v>#N/A</v>
      </c>
    </row>
    <row r="114" spans="2:19" s="73" customFormat="1" ht="15" customHeight="1">
      <c r="B114" s="73" t="s">
        <v>1913</v>
      </c>
      <c r="C114" s="105" t="s">
        <v>861</v>
      </c>
      <c r="D114" s="119" t="s">
        <v>42</v>
      </c>
      <c r="E114" s="107" t="s">
        <v>845</v>
      </c>
      <c r="F114" s="107">
        <v>4</v>
      </c>
      <c r="G114" s="108" t="s">
        <v>1073</v>
      </c>
      <c r="H114" s="109" t="s">
        <v>863</v>
      </c>
      <c r="I114" s="204" t="s">
        <v>1872</v>
      </c>
      <c r="J114" s="205" t="s">
        <v>1870</v>
      </c>
      <c r="K114" s="206" t="s">
        <v>845</v>
      </c>
      <c r="L114" s="208">
        <v>4</v>
      </c>
      <c r="M114" s="215" t="s">
        <v>1873</v>
      </c>
      <c r="N114" s="5" t="e">
        <v>#N/A</v>
      </c>
      <c r="O114" s="5" t="e">
        <v>#N/A</v>
      </c>
      <c r="P114" s="5" t="e">
        <v>#N/A</v>
      </c>
      <c r="Q114" s="5" t="e">
        <v>#N/A</v>
      </c>
      <c r="R114" s="5" t="s">
        <v>862</v>
      </c>
      <c r="S114" s="5" t="s">
        <v>1917</v>
      </c>
    </row>
    <row r="115" spans="2:19" s="73" customFormat="1" ht="15" customHeight="1">
      <c r="B115" s="73" t="s">
        <v>1913</v>
      </c>
      <c r="C115" s="105" t="s">
        <v>1666</v>
      </c>
      <c r="D115" s="119"/>
      <c r="E115" s="107" t="s">
        <v>845</v>
      </c>
      <c r="F115" s="107">
        <v>2</v>
      </c>
      <c r="G115" s="108" t="s">
        <v>1667</v>
      </c>
      <c r="H115" s="109" t="s">
        <v>1668</v>
      </c>
      <c r="I115" s="204" t="s">
        <v>1874</v>
      </c>
      <c r="J115" s="205" t="s">
        <v>1870</v>
      </c>
      <c r="K115" s="206" t="s">
        <v>845</v>
      </c>
      <c r="L115" s="208">
        <v>2</v>
      </c>
      <c r="M115" s="213" t="s">
        <v>1875</v>
      </c>
      <c r="N115" s="5" t="e">
        <v>#N/A</v>
      </c>
      <c r="O115" s="5" t="e">
        <v>#N/A</v>
      </c>
      <c r="P115" s="5" t="e">
        <v>#N/A</v>
      </c>
      <c r="Q115" s="5" t="e">
        <v>#N/A</v>
      </c>
      <c r="R115" s="5" t="s">
        <v>1918</v>
      </c>
      <c r="S115" s="5" t="s">
        <v>1919</v>
      </c>
    </row>
    <row r="116" spans="2:19" s="73" customFormat="1" ht="15" customHeight="1">
      <c r="B116" s="73" t="s">
        <v>1913</v>
      </c>
      <c r="C116" s="105" t="s">
        <v>1670</v>
      </c>
      <c r="D116" s="119"/>
      <c r="E116" s="107" t="s">
        <v>845</v>
      </c>
      <c r="F116" s="107">
        <v>2</v>
      </c>
      <c r="G116" s="108" t="s">
        <v>1671</v>
      </c>
      <c r="H116" s="109" t="s">
        <v>1672</v>
      </c>
      <c r="N116" s="5" t="e">
        <v>#N/A</v>
      </c>
      <c r="O116" s="5" t="e">
        <v>#N/A</v>
      </c>
      <c r="P116" s="5" t="e">
        <v>#N/A</v>
      </c>
      <c r="Q116" s="5" t="e">
        <v>#N/A</v>
      </c>
      <c r="R116" s="5" t="s">
        <v>1920</v>
      </c>
      <c r="S116" s="5" t="s">
        <v>1921</v>
      </c>
    </row>
    <row r="117" spans="2:19" s="73" customFormat="1" ht="15" customHeight="1">
      <c r="B117" s="73" t="s">
        <v>1913</v>
      </c>
      <c r="C117" s="105" t="s">
        <v>1674</v>
      </c>
      <c r="D117" s="119" t="s">
        <v>42</v>
      </c>
      <c r="E117" s="107" t="s">
        <v>845</v>
      </c>
      <c r="F117" s="107">
        <v>10</v>
      </c>
      <c r="G117" s="108" t="s">
        <v>1675</v>
      </c>
      <c r="H117" s="109" t="s">
        <v>1676</v>
      </c>
      <c r="I117" s="205" t="s">
        <v>1869</v>
      </c>
      <c r="J117" s="205" t="s">
        <v>1870</v>
      </c>
      <c r="K117" s="206" t="s">
        <v>845</v>
      </c>
      <c r="L117" s="206">
        <v>10</v>
      </c>
      <c r="M117" s="215" t="s">
        <v>1871</v>
      </c>
      <c r="N117" s="5" t="s">
        <v>1922</v>
      </c>
      <c r="O117" s="5" t="s">
        <v>1923</v>
      </c>
      <c r="P117" s="5" t="s">
        <v>1922</v>
      </c>
      <c r="Q117" s="5" t="s">
        <v>1923</v>
      </c>
      <c r="R117" s="5" t="s">
        <v>1922</v>
      </c>
      <c r="S117" s="5" t="s">
        <v>1923</v>
      </c>
    </row>
    <row r="118" spans="2:19" s="73" customFormat="1" ht="15" customHeight="1">
      <c r="B118" s="73" t="s">
        <v>1913</v>
      </c>
      <c r="C118" s="105" t="s">
        <v>1680</v>
      </c>
      <c r="D118" s="119"/>
      <c r="E118" s="107" t="s">
        <v>845</v>
      </c>
      <c r="F118" s="107">
        <v>2</v>
      </c>
      <c r="G118" s="108" t="s">
        <v>1681</v>
      </c>
      <c r="H118" s="109" t="s">
        <v>1682</v>
      </c>
      <c r="N118" s="5" t="s">
        <v>1924</v>
      </c>
      <c r="O118" s="5" t="s">
        <v>1925</v>
      </c>
      <c r="P118" s="5" t="e">
        <v>#N/A</v>
      </c>
      <c r="Q118" s="5" t="e">
        <v>#N/A</v>
      </c>
      <c r="R118" s="5" t="s">
        <v>1926</v>
      </c>
      <c r="S118" s="5">
        <v>0</v>
      </c>
    </row>
    <row r="119" spans="2:19" s="73" customFormat="1" ht="15" customHeight="1">
      <c r="B119" s="73" t="s">
        <v>1913</v>
      </c>
      <c r="C119" s="105" t="s">
        <v>1684</v>
      </c>
      <c r="D119" s="119"/>
      <c r="E119" s="107" t="s">
        <v>845</v>
      </c>
      <c r="F119" s="107">
        <v>40</v>
      </c>
      <c r="G119" s="108" t="s">
        <v>1685</v>
      </c>
      <c r="H119" s="109" t="s">
        <v>1686</v>
      </c>
      <c r="N119" s="5" t="s">
        <v>1927</v>
      </c>
      <c r="O119" s="5" t="s">
        <v>1928</v>
      </c>
      <c r="P119" s="5" t="e">
        <v>#N/A</v>
      </c>
      <c r="Q119" s="5" t="e">
        <v>#N/A</v>
      </c>
      <c r="R119" s="5" t="e">
        <v>#N/A</v>
      </c>
      <c r="S119" s="5" t="e">
        <v>#N/A</v>
      </c>
    </row>
    <row r="120" spans="2:19" s="73" customFormat="1" ht="15" customHeight="1">
      <c r="B120" s="73" t="s">
        <v>1913</v>
      </c>
      <c r="C120" s="105" t="s">
        <v>1688</v>
      </c>
      <c r="D120" s="119"/>
      <c r="E120" s="107" t="s">
        <v>845</v>
      </c>
      <c r="F120" s="107">
        <v>40</v>
      </c>
      <c r="G120" s="108" t="s">
        <v>1689</v>
      </c>
      <c r="H120" s="109" t="s">
        <v>1690</v>
      </c>
      <c r="N120" s="5" t="s">
        <v>1929</v>
      </c>
      <c r="O120" s="5" t="s">
        <v>1930</v>
      </c>
      <c r="P120" s="5" t="e">
        <v>#N/A</v>
      </c>
      <c r="Q120" s="5" t="e">
        <v>#N/A</v>
      </c>
      <c r="R120" s="5" t="e">
        <v>#N/A</v>
      </c>
      <c r="S120" s="5" t="e">
        <v>#N/A</v>
      </c>
    </row>
    <row r="121" spans="2:19" s="73" customFormat="1" ht="15" customHeight="1">
      <c r="B121" s="73" t="s">
        <v>1913</v>
      </c>
      <c r="C121" s="105" t="s">
        <v>1692</v>
      </c>
      <c r="D121" s="119"/>
      <c r="E121" s="107" t="s">
        <v>845</v>
      </c>
      <c r="F121" s="107">
        <v>40</v>
      </c>
      <c r="G121" s="108" t="s">
        <v>1693</v>
      </c>
      <c r="H121" s="109" t="s">
        <v>1694</v>
      </c>
      <c r="N121" s="5" t="s">
        <v>1931</v>
      </c>
      <c r="O121" s="5">
        <v>0</v>
      </c>
      <c r="P121" s="5" t="e">
        <v>#N/A</v>
      </c>
      <c r="Q121" s="5" t="e">
        <v>#N/A</v>
      </c>
      <c r="R121" s="5" t="e">
        <v>#N/A</v>
      </c>
      <c r="S121" s="5" t="e">
        <v>#N/A</v>
      </c>
    </row>
    <row r="122" spans="2:19" s="73" customFormat="1" ht="15" customHeight="1">
      <c r="B122" s="73" t="s">
        <v>1913</v>
      </c>
      <c r="C122" s="121" t="s">
        <v>1696</v>
      </c>
      <c r="D122" s="119"/>
      <c r="E122" s="107" t="s">
        <v>845</v>
      </c>
      <c r="F122" s="107">
        <v>10</v>
      </c>
      <c r="G122" s="108" t="s">
        <v>1697</v>
      </c>
      <c r="H122" s="109" t="s">
        <v>1698</v>
      </c>
      <c r="N122" s="5" t="e">
        <v>#N/A</v>
      </c>
      <c r="O122" s="5" t="e">
        <v>#N/A</v>
      </c>
      <c r="P122" s="5" t="e">
        <v>#N/A</v>
      </c>
      <c r="Q122" s="5" t="e">
        <v>#N/A</v>
      </c>
      <c r="R122" s="5" t="s">
        <v>1932</v>
      </c>
      <c r="S122" s="5" t="s">
        <v>1933</v>
      </c>
    </row>
    <row r="123" spans="2:19" s="73" customFormat="1" ht="15" customHeight="1">
      <c r="B123" s="73" t="s">
        <v>1913</v>
      </c>
      <c r="C123" s="121" t="s">
        <v>1700</v>
      </c>
      <c r="D123" s="119"/>
      <c r="E123" s="107" t="s">
        <v>845</v>
      </c>
      <c r="F123" s="107">
        <v>3</v>
      </c>
      <c r="G123" s="108" t="s">
        <v>1489</v>
      </c>
      <c r="H123" s="109" t="s">
        <v>1490</v>
      </c>
      <c r="N123" s="5" t="e">
        <v>#N/A</v>
      </c>
      <c r="O123" s="5" t="e">
        <v>#N/A</v>
      </c>
      <c r="P123" s="5" t="e">
        <v>#N/A</v>
      </c>
      <c r="Q123" s="5" t="e">
        <v>#N/A</v>
      </c>
      <c r="R123" s="5" t="e">
        <v>#N/A</v>
      </c>
      <c r="S123" s="5" t="e">
        <v>#N/A</v>
      </c>
    </row>
    <row r="124" spans="2:19" s="73" customFormat="1" ht="15" customHeight="1">
      <c r="B124" s="73" t="s">
        <v>1913</v>
      </c>
      <c r="C124" s="121" t="s">
        <v>1701</v>
      </c>
      <c r="D124" s="119"/>
      <c r="E124" s="107" t="s">
        <v>845</v>
      </c>
      <c r="F124" s="107">
        <v>10</v>
      </c>
      <c r="G124" s="108" t="s">
        <v>1702</v>
      </c>
      <c r="H124" s="109" t="s">
        <v>1703</v>
      </c>
      <c r="N124" s="5" t="e">
        <v>#N/A</v>
      </c>
      <c r="O124" s="5" t="e">
        <v>#N/A</v>
      </c>
      <c r="P124" s="5" t="e">
        <v>#N/A</v>
      </c>
      <c r="Q124" s="5" t="e">
        <v>#N/A</v>
      </c>
      <c r="R124" s="5" t="e">
        <v>#N/A</v>
      </c>
      <c r="S124" s="5" t="e">
        <v>#N/A</v>
      </c>
    </row>
    <row r="125" spans="2:19" s="73" customFormat="1" ht="15" customHeight="1">
      <c r="B125" s="73" t="s">
        <v>1913</v>
      </c>
      <c r="C125" s="121" t="s">
        <v>1704</v>
      </c>
      <c r="D125" s="119"/>
      <c r="E125" s="107" t="s">
        <v>845</v>
      </c>
      <c r="F125" s="107">
        <v>3</v>
      </c>
      <c r="G125" s="108" t="s">
        <v>1705</v>
      </c>
      <c r="H125" s="109" t="s">
        <v>1706</v>
      </c>
      <c r="N125" s="5" t="e">
        <v>#N/A</v>
      </c>
      <c r="O125" s="5" t="e">
        <v>#N/A</v>
      </c>
      <c r="P125" s="5" t="e">
        <v>#N/A</v>
      </c>
      <c r="Q125" s="5" t="e">
        <v>#N/A</v>
      </c>
      <c r="R125" s="5" t="e">
        <v>#N/A</v>
      </c>
      <c r="S125" s="5" t="e">
        <v>#N/A</v>
      </c>
    </row>
    <row r="126" spans="2:19" s="73" customFormat="1" ht="15" customHeight="1">
      <c r="B126" s="73" t="s">
        <v>1913</v>
      </c>
      <c r="C126" s="121" t="s">
        <v>1707</v>
      </c>
      <c r="D126" s="119"/>
      <c r="E126" s="107" t="s">
        <v>845</v>
      </c>
      <c r="F126" s="107">
        <v>40</v>
      </c>
      <c r="G126" s="108" t="s">
        <v>1708</v>
      </c>
      <c r="H126" s="109" t="s">
        <v>1709</v>
      </c>
      <c r="N126" s="5" t="e">
        <v>#N/A</v>
      </c>
      <c r="O126" s="5" t="e">
        <v>#N/A</v>
      </c>
      <c r="P126" s="5" t="e">
        <v>#N/A</v>
      </c>
      <c r="Q126" s="5" t="e">
        <v>#N/A</v>
      </c>
      <c r="R126" s="5" t="e">
        <v>#N/A</v>
      </c>
      <c r="S126" s="5" t="e">
        <v>#N/A</v>
      </c>
    </row>
    <row r="127" spans="2:19" s="73" customFormat="1" ht="15" customHeight="1">
      <c r="B127" s="73" t="s">
        <v>1913</v>
      </c>
      <c r="C127" s="347" t="s">
        <v>1710</v>
      </c>
      <c r="D127" s="348"/>
      <c r="E127" s="348" t="s">
        <v>845</v>
      </c>
      <c r="F127" s="348">
        <v>60</v>
      </c>
      <c r="G127" s="349" t="s">
        <v>1711</v>
      </c>
      <c r="H127" s="350" t="s">
        <v>1712</v>
      </c>
      <c r="N127" s="5" t="e">
        <v>#N/A</v>
      </c>
      <c r="O127" s="5" t="e">
        <v>#N/A</v>
      </c>
      <c r="P127" s="5" t="e">
        <v>#N/A</v>
      </c>
      <c r="Q127" s="5" t="e">
        <v>#N/A</v>
      </c>
      <c r="R127" s="5" t="e">
        <v>#N/A</v>
      </c>
      <c r="S127" s="5" t="e">
        <v>#N/A</v>
      </c>
    </row>
    <row r="128" spans="2:19" s="73" customFormat="1" ht="15" customHeight="1">
      <c r="B128" s="73" t="s">
        <v>1913</v>
      </c>
      <c r="C128" s="347" t="s">
        <v>1713</v>
      </c>
      <c r="D128" s="348"/>
      <c r="E128" s="348" t="s">
        <v>845</v>
      </c>
      <c r="F128" s="348">
        <v>40</v>
      </c>
      <c r="G128" s="349" t="s">
        <v>1714</v>
      </c>
      <c r="H128" s="350" t="s">
        <v>1715</v>
      </c>
      <c r="N128" s="5" t="e">
        <v>#N/A</v>
      </c>
      <c r="O128" s="5" t="e">
        <v>#N/A</v>
      </c>
      <c r="P128" s="5" t="e">
        <v>#N/A</v>
      </c>
      <c r="Q128" s="5" t="e">
        <v>#N/A</v>
      </c>
      <c r="R128" s="5" t="e">
        <v>#N/A</v>
      </c>
      <c r="S128" s="5" t="e">
        <v>#N/A</v>
      </c>
    </row>
    <row r="129" spans="2:19" s="73" customFormat="1" ht="15" customHeight="1">
      <c r="B129" s="73" t="s">
        <v>1913</v>
      </c>
      <c r="C129" s="347" t="s">
        <v>1716</v>
      </c>
      <c r="D129" s="348"/>
      <c r="E129" s="348" t="s">
        <v>845</v>
      </c>
      <c r="F129" s="348">
        <v>40</v>
      </c>
      <c r="G129" s="349" t="s">
        <v>1717</v>
      </c>
      <c r="H129" s="350" t="s">
        <v>1718</v>
      </c>
      <c r="N129" s="5" t="e">
        <v>#N/A</v>
      </c>
      <c r="O129" s="5" t="e">
        <v>#N/A</v>
      </c>
      <c r="P129" s="5" t="e">
        <v>#N/A</v>
      </c>
      <c r="Q129" s="5" t="e">
        <v>#N/A</v>
      </c>
      <c r="R129" s="5" t="e">
        <v>#N/A</v>
      </c>
      <c r="S129" s="5" t="e">
        <v>#N/A</v>
      </c>
    </row>
    <row r="130" spans="2:19" s="73" customFormat="1" ht="15" customHeight="1">
      <c r="B130" s="73" t="s">
        <v>1913</v>
      </c>
      <c r="C130" s="347" t="s">
        <v>1719</v>
      </c>
      <c r="D130" s="348"/>
      <c r="E130" s="348" t="s">
        <v>845</v>
      </c>
      <c r="F130" s="348">
        <v>40</v>
      </c>
      <c r="G130" s="349" t="s">
        <v>1720</v>
      </c>
      <c r="H130" s="350" t="s">
        <v>1721</v>
      </c>
      <c r="N130" s="5" t="e">
        <v>#N/A</v>
      </c>
      <c r="O130" s="5" t="e">
        <v>#N/A</v>
      </c>
      <c r="P130" s="5" t="e">
        <v>#N/A</v>
      </c>
      <c r="Q130" s="5" t="e">
        <v>#N/A</v>
      </c>
      <c r="R130" s="5" t="e">
        <v>#N/A</v>
      </c>
      <c r="S130" s="5" t="e">
        <v>#N/A</v>
      </c>
    </row>
    <row r="131" spans="2:19" s="73" customFormat="1" ht="15" customHeight="1">
      <c r="B131" s="73" t="s">
        <v>1913</v>
      </c>
      <c r="C131" s="347" t="s">
        <v>1722</v>
      </c>
      <c r="D131" s="348"/>
      <c r="E131" s="348" t="s">
        <v>845</v>
      </c>
      <c r="F131" s="348">
        <v>30</v>
      </c>
      <c r="G131" s="349" t="s">
        <v>1723</v>
      </c>
      <c r="H131" s="350" t="s">
        <v>1724</v>
      </c>
      <c r="N131" s="5" t="e">
        <v>#N/A</v>
      </c>
      <c r="O131" s="5" t="e">
        <v>#N/A</v>
      </c>
      <c r="P131" s="5" t="e">
        <v>#N/A</v>
      </c>
      <c r="Q131" s="5" t="e">
        <v>#N/A</v>
      </c>
      <c r="R131" s="5" t="e">
        <v>#N/A</v>
      </c>
      <c r="S131" s="5" t="e">
        <v>#N/A</v>
      </c>
    </row>
    <row r="132" spans="2:19" s="73" customFormat="1" ht="15" customHeight="1">
      <c r="B132" s="73" t="s">
        <v>1913</v>
      </c>
      <c r="C132" s="347" t="s">
        <v>1725</v>
      </c>
      <c r="D132" s="348"/>
      <c r="E132" s="348" t="s">
        <v>845</v>
      </c>
      <c r="F132" s="348">
        <v>30</v>
      </c>
      <c r="G132" s="349" t="s">
        <v>1726</v>
      </c>
      <c r="H132" s="350" t="s">
        <v>1727</v>
      </c>
      <c r="N132" s="5" t="e">
        <v>#N/A</v>
      </c>
      <c r="O132" s="5" t="e">
        <v>#N/A</v>
      </c>
      <c r="P132" s="5" t="e">
        <v>#N/A</v>
      </c>
      <c r="Q132" s="5" t="e">
        <v>#N/A</v>
      </c>
      <c r="R132" s="5" t="e">
        <v>#N/A</v>
      </c>
      <c r="S132" s="5" t="e">
        <v>#N/A</v>
      </c>
    </row>
    <row r="133" spans="2:19" s="73" customFormat="1" ht="15" customHeight="1">
      <c r="B133" s="73" t="s">
        <v>1913</v>
      </c>
      <c r="C133" s="347" t="s">
        <v>1728</v>
      </c>
      <c r="D133" s="348"/>
      <c r="E133" s="348" t="s">
        <v>845</v>
      </c>
      <c r="F133" s="348">
        <v>241</v>
      </c>
      <c r="G133" s="349" t="s">
        <v>1729</v>
      </c>
      <c r="H133" s="350" t="s">
        <v>1730</v>
      </c>
      <c r="N133" s="5" t="e">
        <v>#N/A</v>
      </c>
      <c r="O133" s="5" t="e">
        <v>#N/A</v>
      </c>
      <c r="P133" s="5" t="e">
        <v>#N/A</v>
      </c>
      <c r="Q133" s="5" t="e">
        <v>#N/A</v>
      </c>
      <c r="R133" s="5" t="e">
        <v>#N/A</v>
      </c>
      <c r="S133" s="5" t="e">
        <v>#N/A</v>
      </c>
    </row>
    <row r="134" spans="2:19" s="73" customFormat="1" ht="15" customHeight="1">
      <c r="B134" s="73" t="s">
        <v>1913</v>
      </c>
      <c r="C134" s="121" t="s">
        <v>1731</v>
      </c>
      <c r="D134" s="119"/>
      <c r="E134" s="107" t="s">
        <v>845</v>
      </c>
      <c r="F134" s="107">
        <v>10</v>
      </c>
      <c r="G134" s="108" t="s">
        <v>1732</v>
      </c>
      <c r="H134" s="109" t="s">
        <v>1733</v>
      </c>
      <c r="N134" s="5" t="e">
        <v>#N/A</v>
      </c>
      <c r="O134" s="5" t="e">
        <v>#N/A</v>
      </c>
      <c r="P134" s="5" t="e">
        <v>#N/A</v>
      </c>
      <c r="Q134" s="5" t="e">
        <v>#N/A</v>
      </c>
      <c r="R134" s="5" t="e">
        <v>#N/A</v>
      </c>
      <c r="S134" s="5" t="e">
        <v>#N/A</v>
      </c>
    </row>
    <row r="135" spans="2:19" s="73" customFormat="1" ht="15" customHeight="1">
      <c r="B135" s="73" t="s">
        <v>1913</v>
      </c>
      <c r="C135" s="121" t="s">
        <v>1734</v>
      </c>
      <c r="D135" s="119"/>
      <c r="E135" s="107" t="s">
        <v>845</v>
      </c>
      <c r="F135" s="107">
        <v>8</v>
      </c>
      <c r="G135" s="108" t="s">
        <v>1735</v>
      </c>
      <c r="H135" s="109" t="s">
        <v>1736</v>
      </c>
      <c r="N135" s="5" t="e">
        <v>#N/A</v>
      </c>
      <c r="O135" s="5" t="e">
        <v>#N/A</v>
      </c>
      <c r="P135" s="5" t="e">
        <v>#N/A</v>
      </c>
      <c r="Q135" s="5" t="e">
        <v>#N/A</v>
      </c>
      <c r="R135" s="5" t="e">
        <v>#N/A</v>
      </c>
      <c r="S135" s="5" t="e">
        <v>#N/A</v>
      </c>
    </row>
    <row r="136" spans="2:19" s="73" customFormat="1" ht="15" customHeight="1">
      <c r="B136" s="73" t="s">
        <v>1913</v>
      </c>
      <c r="C136" s="121" t="s">
        <v>1737</v>
      </c>
      <c r="D136" s="119"/>
      <c r="E136" s="107" t="s">
        <v>845</v>
      </c>
      <c r="F136" s="107">
        <v>4</v>
      </c>
      <c r="G136" s="108" t="s">
        <v>1738</v>
      </c>
      <c r="H136" s="109" t="s">
        <v>1739</v>
      </c>
      <c r="N136" s="5" t="e">
        <v>#N/A</v>
      </c>
      <c r="O136" s="5" t="e">
        <v>#N/A</v>
      </c>
      <c r="P136" s="5" t="e">
        <v>#N/A</v>
      </c>
      <c r="Q136" s="5" t="e">
        <v>#N/A</v>
      </c>
      <c r="R136" s="5" t="s">
        <v>1738</v>
      </c>
      <c r="S136" s="5">
        <v>0</v>
      </c>
    </row>
    <row r="137" spans="2:19" s="73" customFormat="1" ht="15" customHeight="1">
      <c r="B137" s="73" t="s">
        <v>1913</v>
      </c>
      <c r="C137" s="121" t="s">
        <v>1740</v>
      </c>
      <c r="D137" s="119"/>
      <c r="E137" s="107" t="s">
        <v>845</v>
      </c>
      <c r="F137" s="107">
        <v>10</v>
      </c>
      <c r="G137" s="108" t="s">
        <v>1741</v>
      </c>
      <c r="H137" s="109" t="s">
        <v>1742</v>
      </c>
      <c r="N137" s="5" t="s">
        <v>1934</v>
      </c>
      <c r="O137" s="5">
        <v>0</v>
      </c>
      <c r="P137" s="5" t="e">
        <v>#N/A</v>
      </c>
      <c r="Q137" s="5" t="e">
        <v>#N/A</v>
      </c>
      <c r="R137" s="5" t="e">
        <v>#N/A</v>
      </c>
      <c r="S137" s="5" t="e">
        <v>#N/A</v>
      </c>
    </row>
    <row r="138" spans="2:19" s="73" customFormat="1" ht="15" customHeight="1">
      <c r="B138" s="73" t="s">
        <v>1913</v>
      </c>
      <c r="C138" s="121" t="s">
        <v>1743</v>
      </c>
      <c r="D138" s="119"/>
      <c r="E138" s="107" t="s">
        <v>845</v>
      </c>
      <c r="F138" s="107">
        <v>25</v>
      </c>
      <c r="G138" s="108" t="s">
        <v>1744</v>
      </c>
      <c r="H138" s="109" t="s">
        <v>1745</v>
      </c>
      <c r="N138" s="5" t="s">
        <v>1935</v>
      </c>
      <c r="O138" s="5">
        <v>0</v>
      </c>
      <c r="P138" s="5" t="e">
        <v>#N/A</v>
      </c>
      <c r="Q138" s="5" t="e">
        <v>#N/A</v>
      </c>
      <c r="R138" s="5" t="e">
        <v>#N/A</v>
      </c>
      <c r="S138" s="5" t="e">
        <v>#N/A</v>
      </c>
    </row>
    <row r="139" spans="2:19" s="73" customFormat="1" ht="15" customHeight="1">
      <c r="B139" s="73" t="s">
        <v>1913</v>
      </c>
      <c r="C139" s="347" t="s">
        <v>1746</v>
      </c>
      <c r="D139" s="348"/>
      <c r="E139" s="348" t="s">
        <v>845</v>
      </c>
      <c r="F139" s="348">
        <v>16</v>
      </c>
      <c r="G139" s="349" t="s">
        <v>1747</v>
      </c>
      <c r="H139" s="350" t="s">
        <v>1748</v>
      </c>
      <c r="N139" s="5" t="s">
        <v>1936</v>
      </c>
      <c r="O139" s="5">
        <v>0</v>
      </c>
      <c r="P139" s="5" t="e">
        <v>#N/A</v>
      </c>
      <c r="Q139" s="5" t="e">
        <v>#N/A</v>
      </c>
      <c r="R139" s="5" t="e">
        <v>#N/A</v>
      </c>
      <c r="S139" s="5" t="e">
        <v>#N/A</v>
      </c>
    </row>
    <row r="140" spans="2:19">
      <c r="B140" s="73" t="s">
        <v>1913</v>
      </c>
      <c r="C140" s="347" t="s">
        <v>1749</v>
      </c>
      <c r="D140" s="348"/>
      <c r="E140" s="348" t="s">
        <v>845</v>
      </c>
      <c r="F140" s="348">
        <v>11</v>
      </c>
      <c r="G140" s="349" t="s">
        <v>1750</v>
      </c>
      <c r="H140" s="350" t="s">
        <v>1751</v>
      </c>
      <c r="N140" s="5" t="s">
        <v>1937</v>
      </c>
      <c r="O140" s="5">
        <v>0</v>
      </c>
      <c r="P140" s="5" t="e">
        <v>#N/A</v>
      </c>
      <c r="Q140" s="5" t="e">
        <v>#N/A</v>
      </c>
      <c r="R140" s="5" t="e">
        <v>#N/A</v>
      </c>
      <c r="S140" s="5" t="e">
        <v>#N/A</v>
      </c>
    </row>
    <row r="141" spans="2:19">
      <c r="B141" s="73" t="s">
        <v>1913</v>
      </c>
      <c r="C141" s="121" t="s">
        <v>1752</v>
      </c>
      <c r="D141" s="119"/>
      <c r="E141" s="107" t="s">
        <v>845</v>
      </c>
      <c r="F141" s="107">
        <v>18</v>
      </c>
      <c r="G141" s="108" t="s">
        <v>1753</v>
      </c>
      <c r="H141" s="109" t="s">
        <v>1753</v>
      </c>
      <c r="N141" s="5" t="s">
        <v>1938</v>
      </c>
      <c r="O141" s="5" t="s">
        <v>1939</v>
      </c>
      <c r="P141" s="5" t="e">
        <v>#N/A</v>
      </c>
      <c r="Q141" s="5" t="e">
        <v>#N/A</v>
      </c>
      <c r="R141" s="5" t="e">
        <v>#N/A</v>
      </c>
      <c r="S141" s="5" t="e">
        <v>#N/A</v>
      </c>
    </row>
    <row r="142" spans="2:19">
      <c r="B142" s="73" t="s">
        <v>1913</v>
      </c>
      <c r="C142" s="121" t="s">
        <v>1754</v>
      </c>
      <c r="D142" s="119"/>
      <c r="E142" s="107" t="s">
        <v>845</v>
      </c>
      <c r="F142" s="107">
        <v>30</v>
      </c>
      <c r="G142" s="108" t="s">
        <v>1755</v>
      </c>
      <c r="H142" s="109" t="s">
        <v>1756</v>
      </c>
      <c r="N142" s="5" t="s">
        <v>1755</v>
      </c>
      <c r="O142" s="5">
        <v>0</v>
      </c>
      <c r="P142" s="5" t="e">
        <v>#N/A</v>
      </c>
      <c r="Q142" s="5" t="e">
        <v>#N/A</v>
      </c>
      <c r="R142" s="5" t="e">
        <v>#N/A</v>
      </c>
      <c r="S142" s="5" t="e">
        <v>#N/A</v>
      </c>
    </row>
    <row r="143" spans="2:19">
      <c r="B143" s="73" t="s">
        <v>1913</v>
      </c>
      <c r="C143" s="121" t="s">
        <v>1757</v>
      </c>
      <c r="D143" s="119"/>
      <c r="E143" s="107" t="s">
        <v>845</v>
      </c>
      <c r="F143" s="107">
        <v>30</v>
      </c>
      <c r="G143" s="108" t="s">
        <v>1758</v>
      </c>
      <c r="H143" s="109" t="s">
        <v>1759</v>
      </c>
      <c r="N143" s="5" t="s">
        <v>1758</v>
      </c>
      <c r="O143" s="5">
        <v>0</v>
      </c>
      <c r="P143" s="5" t="e">
        <v>#N/A</v>
      </c>
      <c r="Q143" s="5" t="e">
        <v>#N/A</v>
      </c>
      <c r="R143" s="5" t="e">
        <v>#N/A</v>
      </c>
      <c r="S143" s="5" t="e">
        <v>#N/A</v>
      </c>
    </row>
    <row r="144" spans="2:19">
      <c r="B144" s="73" t="s">
        <v>1913</v>
      </c>
      <c r="C144" s="347" t="s">
        <v>1760</v>
      </c>
      <c r="D144" s="348"/>
      <c r="E144" s="348" t="s">
        <v>845</v>
      </c>
      <c r="F144" s="348">
        <v>18</v>
      </c>
      <c r="G144" s="349" t="s">
        <v>1761</v>
      </c>
      <c r="H144" s="350" t="s">
        <v>1762</v>
      </c>
      <c r="N144" s="5" t="e">
        <v>#N/A</v>
      </c>
      <c r="O144" s="5" t="e">
        <v>#N/A</v>
      </c>
      <c r="P144" s="5" t="e">
        <v>#N/A</v>
      </c>
      <c r="Q144" s="5" t="e">
        <v>#N/A</v>
      </c>
      <c r="R144" s="5" t="e">
        <v>#N/A</v>
      </c>
      <c r="S144" s="5" t="e">
        <v>#N/A</v>
      </c>
    </row>
    <row r="145" spans="2:19">
      <c r="B145" s="73" t="s">
        <v>1913</v>
      </c>
      <c r="C145" s="121" t="s">
        <v>1763</v>
      </c>
      <c r="D145" s="119"/>
      <c r="E145" s="107" t="s">
        <v>845</v>
      </c>
      <c r="F145" s="107">
        <v>8</v>
      </c>
      <c r="G145" s="108" t="s">
        <v>1764</v>
      </c>
      <c r="H145" s="109" t="s">
        <v>1765</v>
      </c>
      <c r="N145" s="5" t="e">
        <v>#N/A</v>
      </c>
      <c r="O145" s="5" t="e">
        <v>#N/A</v>
      </c>
      <c r="P145" s="5" t="e">
        <v>#N/A</v>
      </c>
      <c r="Q145" s="5" t="e">
        <v>#N/A</v>
      </c>
      <c r="R145" s="5" t="s">
        <v>1940</v>
      </c>
      <c r="S145" s="5">
        <v>0</v>
      </c>
    </row>
    <row r="146" spans="2:19">
      <c r="B146" s="73" t="s">
        <v>1913</v>
      </c>
      <c r="C146" s="121" t="s">
        <v>1766</v>
      </c>
      <c r="D146" s="119"/>
      <c r="E146" s="107" t="s">
        <v>845</v>
      </c>
      <c r="F146" s="107">
        <v>8</v>
      </c>
      <c r="G146" s="108" t="s">
        <v>1767</v>
      </c>
      <c r="H146" s="109" t="s">
        <v>1768</v>
      </c>
      <c r="N146" s="5" t="e">
        <v>#N/A</v>
      </c>
      <c r="O146" s="5" t="e">
        <v>#N/A</v>
      </c>
      <c r="P146" s="5" t="e">
        <v>#N/A</v>
      </c>
      <c r="Q146" s="5" t="e">
        <v>#N/A</v>
      </c>
      <c r="R146" s="5" t="s">
        <v>1941</v>
      </c>
      <c r="S146" s="5">
        <v>0</v>
      </c>
    </row>
    <row r="147" spans="2:19">
      <c r="B147" s="73" t="s">
        <v>1913</v>
      </c>
      <c r="C147" s="121" t="s">
        <v>1769</v>
      </c>
      <c r="D147" s="119"/>
      <c r="E147" s="107" t="s">
        <v>845</v>
      </c>
      <c r="F147" s="107">
        <v>6</v>
      </c>
      <c r="G147" s="108" t="s">
        <v>1770</v>
      </c>
      <c r="H147" s="109" t="s">
        <v>1771</v>
      </c>
      <c r="N147" s="5" t="e">
        <v>#N/A</v>
      </c>
      <c r="O147" s="5" t="e">
        <v>#N/A</v>
      </c>
      <c r="P147" s="5" t="e">
        <v>#N/A</v>
      </c>
      <c r="Q147" s="5" t="e">
        <v>#N/A</v>
      </c>
      <c r="R147" s="5" t="s">
        <v>1942</v>
      </c>
      <c r="S147" s="5" t="s">
        <v>1943</v>
      </c>
    </row>
    <row r="148" spans="2:19">
      <c r="B148" s="73" t="s">
        <v>1913</v>
      </c>
      <c r="C148" s="121" t="s">
        <v>1773</v>
      </c>
      <c r="D148" s="119"/>
      <c r="E148" s="107" t="s">
        <v>845</v>
      </c>
      <c r="F148" s="107">
        <v>4</v>
      </c>
      <c r="G148" s="108" t="s">
        <v>1774</v>
      </c>
      <c r="H148" s="109" t="s">
        <v>1775</v>
      </c>
      <c r="N148" s="5" t="e">
        <v>#N/A</v>
      </c>
      <c r="O148" s="5" t="e">
        <v>#N/A</v>
      </c>
      <c r="P148" s="5" t="e">
        <v>#N/A</v>
      </c>
      <c r="Q148" s="5" t="e">
        <v>#N/A</v>
      </c>
      <c r="R148" s="5" t="s">
        <v>1944</v>
      </c>
      <c r="S148" s="5" t="s">
        <v>1945</v>
      </c>
    </row>
    <row r="149" spans="2:19" ht="25.5">
      <c r="B149" s="73" t="s">
        <v>1913</v>
      </c>
      <c r="C149" s="121" t="s">
        <v>1779</v>
      </c>
      <c r="D149" s="119"/>
      <c r="E149" s="107" t="s">
        <v>845</v>
      </c>
      <c r="F149" s="107">
        <v>3</v>
      </c>
      <c r="G149" s="108" t="s">
        <v>1780</v>
      </c>
      <c r="H149" s="109" t="s">
        <v>1781</v>
      </c>
      <c r="I149" s="207" t="s">
        <v>1884</v>
      </c>
      <c r="J149" s="205"/>
      <c r="K149" s="206" t="s">
        <v>845</v>
      </c>
      <c r="L149" s="206">
        <v>3</v>
      </c>
      <c r="M149" s="204" t="s">
        <v>1885</v>
      </c>
      <c r="N149" s="5" t="e">
        <v>#N/A</v>
      </c>
      <c r="O149" s="5" t="e">
        <v>#N/A</v>
      </c>
      <c r="P149" s="5" t="e">
        <v>#N/A</v>
      </c>
      <c r="Q149" s="5" t="e">
        <v>#N/A</v>
      </c>
      <c r="R149" s="5" t="s">
        <v>1914</v>
      </c>
      <c r="S149" s="5" t="s">
        <v>1946</v>
      </c>
    </row>
    <row r="150" spans="2:19">
      <c r="B150" s="73" t="s">
        <v>1913</v>
      </c>
      <c r="C150" s="121" t="s">
        <v>1783</v>
      </c>
      <c r="D150" s="119"/>
      <c r="E150" s="107" t="s">
        <v>845</v>
      </c>
      <c r="F150" s="107">
        <v>2</v>
      </c>
      <c r="G150" s="108" t="s">
        <v>1947</v>
      </c>
      <c r="H150" s="109" t="s">
        <v>1785</v>
      </c>
      <c r="N150" s="5" t="e">
        <v>#N/A</v>
      </c>
      <c r="O150" s="5" t="e">
        <v>#N/A</v>
      </c>
      <c r="P150" s="5" t="e">
        <v>#N/A</v>
      </c>
      <c r="Q150" s="5" t="e">
        <v>#N/A</v>
      </c>
      <c r="R150" s="5" t="s">
        <v>1948</v>
      </c>
      <c r="S150" s="5" t="s">
        <v>1949</v>
      </c>
    </row>
    <row r="151" spans="2:19">
      <c r="B151" s="73" t="s">
        <v>1913</v>
      </c>
      <c r="C151" s="121" t="s">
        <v>1788</v>
      </c>
      <c r="D151" s="119"/>
      <c r="E151" s="107" t="s">
        <v>845</v>
      </c>
      <c r="F151" s="107">
        <v>3</v>
      </c>
      <c r="G151" s="108" t="s">
        <v>1789</v>
      </c>
      <c r="H151" s="109" t="s">
        <v>1790</v>
      </c>
      <c r="N151" s="5" t="e">
        <v>#N/A</v>
      </c>
      <c r="O151" s="5" t="e">
        <v>#N/A</v>
      </c>
      <c r="P151" s="5" t="e">
        <v>#N/A</v>
      </c>
      <c r="Q151" s="5" t="e">
        <v>#N/A</v>
      </c>
      <c r="R151" s="5" t="s">
        <v>1950</v>
      </c>
      <c r="S151" s="5">
        <v>0</v>
      </c>
    </row>
    <row r="152" spans="2:19">
      <c r="B152" s="73" t="s">
        <v>1913</v>
      </c>
      <c r="C152" s="121" t="s">
        <v>1791</v>
      </c>
      <c r="D152" s="119"/>
      <c r="E152" s="107" t="s">
        <v>845</v>
      </c>
      <c r="F152" s="107">
        <v>3</v>
      </c>
      <c r="G152" s="108" t="s">
        <v>1792</v>
      </c>
      <c r="H152" s="109" t="s">
        <v>1793</v>
      </c>
      <c r="N152" s="5" t="e">
        <v>#N/A</v>
      </c>
      <c r="O152" s="5" t="e">
        <v>#N/A</v>
      </c>
      <c r="P152" s="5" t="e">
        <v>#N/A</v>
      </c>
      <c r="Q152" s="5" t="e">
        <v>#N/A</v>
      </c>
      <c r="R152" s="5" t="s">
        <v>1951</v>
      </c>
      <c r="S152" s="5" t="s">
        <v>1952</v>
      </c>
    </row>
    <row r="153" spans="2:19">
      <c r="B153" s="73" t="s">
        <v>1913</v>
      </c>
      <c r="C153" s="121" t="s">
        <v>1794</v>
      </c>
      <c r="D153" s="119"/>
      <c r="E153" s="107" t="s">
        <v>845</v>
      </c>
      <c r="F153" s="107">
        <v>4</v>
      </c>
      <c r="G153" s="108" t="s">
        <v>1795</v>
      </c>
      <c r="H153" s="109" t="s">
        <v>1796</v>
      </c>
      <c r="I153" s="209" t="s">
        <v>1890</v>
      </c>
      <c r="J153" s="205"/>
      <c r="K153" s="206" t="s">
        <v>845</v>
      </c>
      <c r="L153" s="206">
        <v>4</v>
      </c>
      <c r="M153" s="204" t="s">
        <v>1891</v>
      </c>
      <c r="N153" s="5" t="e">
        <v>#N/A</v>
      </c>
      <c r="O153" s="5" t="e">
        <v>#N/A</v>
      </c>
      <c r="P153" s="5" t="e">
        <v>#N/A</v>
      </c>
      <c r="Q153" s="5" t="e">
        <v>#N/A</v>
      </c>
      <c r="R153" s="5" t="s">
        <v>1953</v>
      </c>
      <c r="S153" s="5" t="s">
        <v>1954</v>
      </c>
    </row>
    <row r="154" spans="2:19">
      <c r="B154" s="73" t="s">
        <v>1913</v>
      </c>
      <c r="C154" s="121" t="s">
        <v>1797</v>
      </c>
      <c r="D154" s="119"/>
      <c r="E154" s="107" t="s">
        <v>845</v>
      </c>
      <c r="F154" s="107">
        <v>4</v>
      </c>
      <c r="G154" s="108" t="s">
        <v>1798</v>
      </c>
      <c r="H154" s="109" t="s">
        <v>1799</v>
      </c>
      <c r="N154" s="5" t="e">
        <v>#N/A</v>
      </c>
      <c r="O154" s="5" t="e">
        <v>#N/A</v>
      </c>
      <c r="P154" s="5" t="e">
        <v>#N/A</v>
      </c>
      <c r="Q154" s="5" t="e">
        <v>#N/A</v>
      </c>
      <c r="R154" s="5" t="s">
        <v>1798</v>
      </c>
      <c r="S154" s="5">
        <v>0</v>
      </c>
    </row>
    <row r="155" spans="2:19">
      <c r="B155" s="73" t="s">
        <v>1913</v>
      </c>
      <c r="C155" s="121" t="s">
        <v>884</v>
      </c>
      <c r="D155" s="119"/>
      <c r="E155" s="107" t="s">
        <v>845</v>
      </c>
      <c r="F155" s="107">
        <v>4</v>
      </c>
      <c r="G155" s="108" t="s">
        <v>1800</v>
      </c>
      <c r="H155" s="109" t="s">
        <v>1801</v>
      </c>
      <c r="N155" s="5" t="e">
        <v>#N/A</v>
      </c>
      <c r="O155" s="5" t="e">
        <v>#N/A</v>
      </c>
      <c r="P155" s="5" t="e">
        <v>#N/A</v>
      </c>
      <c r="Q155" s="5" t="e">
        <v>#N/A</v>
      </c>
      <c r="R155" s="5" t="e">
        <v>#N/A</v>
      </c>
      <c r="S155" s="5" t="e">
        <v>#N/A</v>
      </c>
    </row>
    <row r="156" spans="2:19">
      <c r="B156" s="73" t="s">
        <v>1913</v>
      </c>
      <c r="C156" s="121" t="s">
        <v>1802</v>
      </c>
      <c r="D156" s="119"/>
      <c r="E156" s="107" t="s">
        <v>845</v>
      </c>
      <c r="F156" s="107">
        <v>4</v>
      </c>
      <c r="G156" s="108" t="s">
        <v>1803</v>
      </c>
      <c r="H156" s="109" t="s">
        <v>1804</v>
      </c>
      <c r="N156" s="5" t="e">
        <v>#N/A</v>
      </c>
      <c r="O156" s="5" t="e">
        <v>#N/A</v>
      </c>
      <c r="P156" s="5" t="e">
        <v>#N/A</v>
      </c>
      <c r="Q156" s="5" t="e">
        <v>#N/A</v>
      </c>
      <c r="R156" s="5" t="e">
        <v>#N/A</v>
      </c>
      <c r="S156" s="5" t="e">
        <v>#N/A</v>
      </c>
    </row>
    <row r="157" spans="2:19">
      <c r="B157" s="73" t="s">
        <v>1913</v>
      </c>
      <c r="C157" s="121" t="s">
        <v>869</v>
      </c>
      <c r="D157" s="119"/>
      <c r="E157" s="107" t="s">
        <v>845</v>
      </c>
      <c r="F157" s="107">
        <v>4</v>
      </c>
      <c r="G157" s="108" t="s">
        <v>1806</v>
      </c>
      <c r="H157" s="109" t="s">
        <v>1807</v>
      </c>
      <c r="N157" s="5" t="e">
        <v>#N/A</v>
      </c>
      <c r="O157" s="5" t="e">
        <v>#N/A</v>
      </c>
      <c r="P157" s="5" t="e">
        <v>#N/A</v>
      </c>
      <c r="Q157" s="5" t="e">
        <v>#N/A</v>
      </c>
      <c r="R157" s="5" t="s">
        <v>870</v>
      </c>
      <c r="S157" s="5" t="s">
        <v>1917</v>
      </c>
    </row>
    <row r="158" spans="2:19">
      <c r="B158" s="73" t="s">
        <v>1913</v>
      </c>
      <c r="C158" s="121" t="s">
        <v>1408</v>
      </c>
      <c r="D158" s="119"/>
      <c r="E158" s="107" t="s">
        <v>845</v>
      </c>
      <c r="F158" s="107">
        <v>2</v>
      </c>
      <c r="G158" s="108" t="s">
        <v>1409</v>
      </c>
      <c r="H158" s="109" t="s">
        <v>1410</v>
      </c>
      <c r="N158" s="5" t="e">
        <v>#N/A</v>
      </c>
      <c r="O158" s="5" t="e">
        <v>#N/A</v>
      </c>
      <c r="P158" s="5" t="e">
        <v>#N/A</v>
      </c>
      <c r="Q158" s="5" t="e">
        <v>#N/A</v>
      </c>
      <c r="R158" s="5" t="s">
        <v>1955</v>
      </c>
      <c r="S158" s="5" t="s">
        <v>1956</v>
      </c>
    </row>
    <row r="159" spans="2:19">
      <c r="B159" s="73" t="s">
        <v>1913</v>
      </c>
      <c r="C159" s="121" t="s">
        <v>1420</v>
      </c>
      <c r="D159" s="119"/>
      <c r="E159" s="107" t="s">
        <v>1421</v>
      </c>
      <c r="F159" s="107">
        <v>11</v>
      </c>
      <c r="G159" s="108" t="s">
        <v>1645</v>
      </c>
      <c r="H159" s="109" t="s">
        <v>1646</v>
      </c>
      <c r="N159" s="5" t="e">
        <v>#N/A</v>
      </c>
      <c r="O159" s="5" t="e">
        <v>#N/A</v>
      </c>
      <c r="P159" s="5" t="e">
        <v>#N/A</v>
      </c>
      <c r="Q159" s="5" t="e">
        <v>#N/A</v>
      </c>
      <c r="R159" s="5" t="e">
        <v>#N/A</v>
      </c>
      <c r="S159" s="5" t="e">
        <v>#N/A</v>
      </c>
    </row>
    <row r="160" spans="2:19">
      <c r="B160" s="73" t="s">
        <v>1913</v>
      </c>
      <c r="C160" s="121" t="s">
        <v>1810</v>
      </c>
      <c r="D160" s="119"/>
      <c r="E160" s="107" t="s">
        <v>845</v>
      </c>
      <c r="F160" s="107">
        <v>2</v>
      </c>
      <c r="G160" s="108" t="s">
        <v>1811</v>
      </c>
      <c r="H160" s="109" t="s">
        <v>1812</v>
      </c>
      <c r="N160" s="5" t="e">
        <v>#N/A</v>
      </c>
      <c r="O160" s="5" t="e">
        <v>#N/A</v>
      </c>
      <c r="P160" s="5" t="e">
        <v>#N/A</v>
      </c>
      <c r="Q160" s="5" t="e">
        <v>#N/A</v>
      </c>
      <c r="R160" s="5" t="s">
        <v>1957</v>
      </c>
      <c r="S160" s="5" t="s">
        <v>1958</v>
      </c>
    </row>
    <row r="161" spans="2:19">
      <c r="B161" s="73" t="s">
        <v>1913</v>
      </c>
      <c r="C161" s="121" t="s">
        <v>1813</v>
      </c>
      <c r="D161" s="119"/>
      <c r="E161" s="107" t="s">
        <v>845</v>
      </c>
      <c r="F161" s="107">
        <v>4</v>
      </c>
      <c r="G161" s="108" t="s">
        <v>1814</v>
      </c>
      <c r="H161" s="109" t="s">
        <v>1815</v>
      </c>
      <c r="N161" s="5" t="e">
        <v>#N/A</v>
      </c>
      <c r="O161" s="5" t="e">
        <v>#N/A</v>
      </c>
      <c r="P161" s="5" t="e">
        <v>#N/A</v>
      </c>
      <c r="Q161" s="5" t="e">
        <v>#N/A</v>
      </c>
      <c r="R161" s="5" t="s">
        <v>1959</v>
      </c>
      <c r="S161" s="5" t="s">
        <v>1917</v>
      </c>
    </row>
    <row r="162" spans="2:19">
      <c r="B162" s="73" t="s">
        <v>1913</v>
      </c>
      <c r="C162" s="121" t="s">
        <v>1817</v>
      </c>
      <c r="D162" s="119"/>
      <c r="E162" s="107" t="s">
        <v>845</v>
      </c>
      <c r="F162" s="107">
        <v>4</v>
      </c>
      <c r="G162" s="108" t="s">
        <v>1818</v>
      </c>
      <c r="H162" s="109" t="s">
        <v>1819</v>
      </c>
      <c r="N162" s="5" t="e">
        <v>#N/A</v>
      </c>
      <c r="O162" s="5" t="e">
        <v>#N/A</v>
      </c>
      <c r="P162" s="5" t="e">
        <v>#N/A</v>
      </c>
      <c r="Q162" s="5" t="e">
        <v>#N/A</v>
      </c>
      <c r="R162" s="5" t="e">
        <v>#N/A</v>
      </c>
      <c r="S162" s="5" t="e">
        <v>#N/A</v>
      </c>
    </row>
    <row r="163" spans="2:19">
      <c r="B163" s="73" t="s">
        <v>1913</v>
      </c>
      <c r="C163" s="121" t="s">
        <v>1821</v>
      </c>
      <c r="D163" s="119"/>
      <c r="E163" s="107" t="s">
        <v>845</v>
      </c>
      <c r="F163" s="107">
        <v>4</v>
      </c>
      <c r="G163" s="108" t="s">
        <v>1822</v>
      </c>
      <c r="H163" s="109" t="s">
        <v>1823</v>
      </c>
      <c r="N163" s="5" t="e">
        <v>#N/A</v>
      </c>
      <c r="O163" s="5" t="e">
        <v>#N/A</v>
      </c>
      <c r="P163" s="5" t="e">
        <v>#N/A</v>
      </c>
      <c r="Q163" s="5" t="e">
        <v>#N/A</v>
      </c>
      <c r="R163" s="5" t="e">
        <v>#N/A</v>
      </c>
      <c r="S163" s="5" t="e">
        <v>#N/A</v>
      </c>
    </row>
    <row r="164" spans="2:19">
      <c r="B164" s="73" t="s">
        <v>1913</v>
      </c>
      <c r="C164" s="121" t="s">
        <v>1825</v>
      </c>
      <c r="D164" s="119"/>
      <c r="E164" s="107" t="s">
        <v>845</v>
      </c>
      <c r="F164" s="107">
        <v>2</v>
      </c>
      <c r="G164" s="108" t="s">
        <v>1826</v>
      </c>
      <c r="H164" s="109" t="s">
        <v>1827</v>
      </c>
      <c r="N164" s="5" t="s">
        <v>1960</v>
      </c>
      <c r="O164" s="5">
        <v>0</v>
      </c>
      <c r="P164" s="5" t="e">
        <v>#N/A</v>
      </c>
      <c r="Q164" s="5" t="e">
        <v>#N/A</v>
      </c>
      <c r="R164" s="5" t="e">
        <v>#N/A</v>
      </c>
      <c r="S164" s="5" t="e">
        <v>#N/A</v>
      </c>
    </row>
    <row r="165" spans="2:19">
      <c r="B165" s="73" t="s">
        <v>1913</v>
      </c>
      <c r="C165" s="121" t="s">
        <v>1828</v>
      </c>
      <c r="D165" s="119"/>
      <c r="E165" s="107" t="s">
        <v>845</v>
      </c>
      <c r="F165" s="107">
        <v>4</v>
      </c>
      <c r="G165" s="108" t="s">
        <v>1829</v>
      </c>
      <c r="H165" s="109" t="s">
        <v>1830</v>
      </c>
      <c r="N165" s="5" t="e">
        <v>#N/A</v>
      </c>
      <c r="O165" s="5" t="e">
        <v>#N/A</v>
      </c>
      <c r="P165" s="5" t="e">
        <v>#N/A</v>
      </c>
      <c r="Q165" s="5" t="e">
        <v>#N/A</v>
      </c>
      <c r="R165" s="5" t="s">
        <v>1829</v>
      </c>
      <c r="S165" s="5">
        <v>0</v>
      </c>
    </row>
    <row r="166" spans="2:19">
      <c r="B166" s="73" t="s">
        <v>1913</v>
      </c>
      <c r="C166" s="121" t="s">
        <v>1831</v>
      </c>
      <c r="D166" s="119"/>
      <c r="E166" s="107" t="s">
        <v>845</v>
      </c>
      <c r="F166" s="107">
        <v>5</v>
      </c>
      <c r="G166" s="108" t="s">
        <v>1832</v>
      </c>
      <c r="H166" s="109" t="s">
        <v>1833</v>
      </c>
      <c r="N166" s="5" t="e">
        <v>#N/A</v>
      </c>
      <c r="O166" s="5" t="e">
        <v>#N/A</v>
      </c>
      <c r="P166" s="5" t="e">
        <v>#N/A</v>
      </c>
      <c r="Q166" s="5" t="e">
        <v>#N/A</v>
      </c>
      <c r="R166" s="5" t="s">
        <v>1961</v>
      </c>
      <c r="S166" s="5">
        <v>0</v>
      </c>
    </row>
    <row r="167" spans="2:19">
      <c r="B167" s="73" t="s">
        <v>1913</v>
      </c>
      <c r="C167" s="121" t="s">
        <v>1834</v>
      </c>
      <c r="D167" s="119"/>
      <c r="E167" s="107" t="s">
        <v>845</v>
      </c>
      <c r="F167" s="107">
        <v>10</v>
      </c>
      <c r="G167" s="108" t="s">
        <v>1835</v>
      </c>
      <c r="H167" s="109" t="s">
        <v>1836</v>
      </c>
      <c r="N167" s="5" t="e">
        <v>#N/A</v>
      </c>
      <c r="O167" s="5" t="e">
        <v>#N/A</v>
      </c>
      <c r="P167" s="5" t="e">
        <v>#N/A</v>
      </c>
      <c r="Q167" s="5" t="e">
        <v>#N/A</v>
      </c>
      <c r="R167" s="5" t="e">
        <v>#N/A</v>
      </c>
      <c r="S167" s="5" t="e">
        <v>#N/A</v>
      </c>
    </row>
    <row r="168" spans="2:19">
      <c r="B168" s="73" t="s">
        <v>1913</v>
      </c>
      <c r="C168" s="121" t="s">
        <v>1837</v>
      </c>
      <c r="D168" s="119"/>
      <c r="E168" s="107" t="s">
        <v>845</v>
      </c>
      <c r="F168" s="107">
        <v>10</v>
      </c>
      <c r="G168" s="108" t="s">
        <v>1838</v>
      </c>
      <c r="H168" s="109" t="s">
        <v>1839</v>
      </c>
      <c r="N168" s="5" t="e">
        <v>#N/A</v>
      </c>
      <c r="O168" s="5" t="e">
        <v>#N/A</v>
      </c>
      <c r="P168" s="5" t="e">
        <v>#N/A</v>
      </c>
      <c r="Q168" s="5" t="e">
        <v>#N/A</v>
      </c>
      <c r="R168" s="5" t="e">
        <v>#N/A</v>
      </c>
      <c r="S168" s="5" t="e">
        <v>#N/A</v>
      </c>
    </row>
    <row r="169" spans="2:19">
      <c r="B169" s="73" t="s">
        <v>1913</v>
      </c>
      <c r="C169" s="121" t="s">
        <v>1840</v>
      </c>
      <c r="D169" s="119"/>
      <c r="E169" s="107" t="s">
        <v>845</v>
      </c>
      <c r="F169" s="107">
        <v>10</v>
      </c>
      <c r="G169" s="108" t="s">
        <v>1841</v>
      </c>
      <c r="H169" s="109" t="s">
        <v>1842</v>
      </c>
      <c r="N169" s="5" t="e">
        <v>#N/A</v>
      </c>
      <c r="O169" s="5" t="e">
        <v>#N/A</v>
      </c>
      <c r="P169" s="5" t="e">
        <v>#N/A</v>
      </c>
      <c r="Q169" s="5" t="e">
        <v>#N/A</v>
      </c>
      <c r="R169" s="5" t="e">
        <v>#N/A</v>
      </c>
      <c r="S169" s="5" t="e">
        <v>#N/A</v>
      </c>
    </row>
    <row r="170" spans="2:19">
      <c r="B170" s="73" t="s">
        <v>1913</v>
      </c>
      <c r="C170" s="121" t="s">
        <v>1843</v>
      </c>
      <c r="D170" s="119"/>
      <c r="E170" s="107" t="s">
        <v>845</v>
      </c>
      <c r="F170" s="107">
        <v>10</v>
      </c>
      <c r="G170" s="108" t="s">
        <v>1844</v>
      </c>
      <c r="H170" s="109" t="s">
        <v>1845</v>
      </c>
      <c r="N170" s="5" t="e">
        <v>#N/A</v>
      </c>
      <c r="O170" s="5" t="e">
        <v>#N/A</v>
      </c>
      <c r="P170" s="5" t="e">
        <v>#N/A</v>
      </c>
      <c r="Q170" s="5" t="e">
        <v>#N/A</v>
      </c>
      <c r="R170" s="5" t="e">
        <v>#N/A</v>
      </c>
      <c r="S170" s="5" t="e">
        <v>#N/A</v>
      </c>
    </row>
    <row r="171" spans="2:19">
      <c r="B171" s="73" t="s">
        <v>1913</v>
      </c>
      <c r="C171" s="121" t="s">
        <v>1846</v>
      </c>
      <c r="D171" s="119"/>
      <c r="E171" s="107" t="s">
        <v>845</v>
      </c>
      <c r="F171" s="107">
        <v>8</v>
      </c>
      <c r="G171" s="108" t="s">
        <v>1847</v>
      </c>
      <c r="H171" s="109" t="s">
        <v>1848</v>
      </c>
      <c r="N171" s="5" t="e">
        <v>#N/A</v>
      </c>
      <c r="O171" s="5" t="e">
        <v>#N/A</v>
      </c>
      <c r="P171" s="5" t="s">
        <v>1962</v>
      </c>
      <c r="Q171" s="5" t="s">
        <v>1958</v>
      </c>
      <c r="R171" s="5" t="e">
        <v>#N/A</v>
      </c>
      <c r="S171" s="5" t="e">
        <v>#N/A</v>
      </c>
    </row>
    <row r="172" spans="2:19">
      <c r="B172" s="73" t="s">
        <v>1913</v>
      </c>
      <c r="C172" s="121" t="s">
        <v>1849</v>
      </c>
      <c r="D172" s="119"/>
      <c r="E172" s="107" t="s">
        <v>845</v>
      </c>
      <c r="F172" s="107">
        <v>40</v>
      </c>
      <c r="G172" s="108" t="s">
        <v>1850</v>
      </c>
      <c r="H172" s="109" t="s">
        <v>1851</v>
      </c>
      <c r="N172" s="5" t="e">
        <v>#N/A</v>
      </c>
      <c r="O172" s="5" t="e">
        <v>#N/A</v>
      </c>
      <c r="P172" s="5" t="e">
        <v>#N/A</v>
      </c>
      <c r="Q172" s="5" t="e">
        <v>#N/A</v>
      </c>
      <c r="R172" s="5" t="e">
        <v>#N/A</v>
      </c>
      <c r="S172" s="5" t="e">
        <v>#N/A</v>
      </c>
    </row>
    <row r="173" spans="2:19">
      <c r="B173" s="73" t="s">
        <v>1913</v>
      </c>
      <c r="C173" s="347" t="s">
        <v>1852</v>
      </c>
      <c r="D173" s="348"/>
      <c r="E173" s="348" t="s">
        <v>845</v>
      </c>
      <c r="F173" s="348">
        <v>15</v>
      </c>
      <c r="G173" s="349" t="s">
        <v>1853</v>
      </c>
      <c r="H173" s="350" t="s">
        <v>1854</v>
      </c>
      <c r="N173" s="5" t="e">
        <v>#N/A</v>
      </c>
      <c r="O173" s="5" t="e">
        <v>#N/A</v>
      </c>
      <c r="P173" s="5" t="e">
        <v>#N/A</v>
      </c>
      <c r="Q173" s="5" t="e">
        <v>#N/A</v>
      </c>
      <c r="R173" s="5" t="e">
        <v>#N/A</v>
      </c>
      <c r="S173" s="5" t="e">
        <v>#N/A</v>
      </c>
    </row>
    <row r="174" spans="2:19">
      <c r="B174" s="73" t="s">
        <v>1913</v>
      </c>
      <c r="C174" s="337" t="s">
        <v>1855</v>
      </c>
      <c r="D174" s="338"/>
      <c r="E174" s="339" t="s">
        <v>845</v>
      </c>
      <c r="F174" s="339"/>
      <c r="G174" s="340" t="s">
        <v>1856</v>
      </c>
      <c r="H174" s="341" t="s">
        <v>1857</v>
      </c>
      <c r="N174" s="5" t="e">
        <v>#N/A</v>
      </c>
      <c r="O174" s="5" t="e">
        <v>#N/A</v>
      </c>
      <c r="P174" s="5" t="e">
        <v>#N/A</v>
      </c>
      <c r="Q174" s="5" t="e">
        <v>#N/A</v>
      </c>
      <c r="R174" s="5" t="e">
        <v>#N/A</v>
      </c>
      <c r="S174" s="5" t="e">
        <v>#N/A</v>
      </c>
    </row>
    <row r="175" spans="2:19">
      <c r="B175" s="73" t="s">
        <v>1913</v>
      </c>
      <c r="C175" s="337" t="s">
        <v>1860</v>
      </c>
      <c r="D175" s="338"/>
      <c r="E175" s="339" t="s">
        <v>845</v>
      </c>
      <c r="F175" s="339"/>
      <c r="G175" s="340" t="s">
        <v>1963</v>
      </c>
      <c r="H175" s="341"/>
      <c r="N175" s="5" t="e">
        <v>#N/A</v>
      </c>
      <c r="O175" s="5" t="e">
        <v>#N/A</v>
      </c>
      <c r="P175" s="5" t="e">
        <v>#N/A</v>
      </c>
      <c r="Q175" s="5" t="e">
        <v>#N/A</v>
      </c>
      <c r="R175" s="5" t="e">
        <v>#N/A</v>
      </c>
      <c r="S175" s="5" t="e">
        <v>#N/A</v>
      </c>
    </row>
  </sheetData>
  <mergeCells count="25">
    <mergeCell ref="B81:C81"/>
    <mergeCell ref="D81:S81"/>
    <mergeCell ref="B87:C87"/>
    <mergeCell ref="D87:S87"/>
    <mergeCell ref="B84:C84"/>
    <mergeCell ref="D84:S84"/>
    <mergeCell ref="B85:C85"/>
    <mergeCell ref="D85:S85"/>
    <mergeCell ref="B86:C86"/>
    <mergeCell ref="D86:S86"/>
    <mergeCell ref="B2:I3"/>
    <mergeCell ref="K2:N2"/>
    <mergeCell ref="P2:S2"/>
    <mergeCell ref="K3:N3"/>
    <mergeCell ref="P3:S3"/>
    <mergeCell ref="B79:C79"/>
    <mergeCell ref="D79:S79"/>
    <mergeCell ref="B80:C80"/>
    <mergeCell ref="B5:H5"/>
    <mergeCell ref="I5:Q5"/>
    <mergeCell ref="R5:R7"/>
    <mergeCell ref="S5:S7"/>
    <mergeCell ref="C6:H6"/>
    <mergeCell ref="J6:Q6"/>
    <mergeCell ref="D80:S80"/>
  </mergeCells>
  <phoneticPr fontId="4" type="noConversion"/>
  <hyperlinks>
    <hyperlink ref="A1" location="List!A1" display="Top" xr:uid="{E28FE65F-5333-4781-B00D-CBFE2AE1567D}"/>
  </hyperlinks>
  <pageMargins left="0.7" right="0.7" top="0.75" bottom="0.75" header="0.3" footer="0.3"/>
  <customProperties>
    <customPr name="_pios_id" r:id="rId1"/>
  </customPropertie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10863-9D86-4240-9BEA-2BF911A61CB7}">
  <sheetPr>
    <pageSetUpPr fitToPage="1"/>
  </sheetPr>
  <dimension ref="B1:T45"/>
  <sheetViews>
    <sheetView topLeftCell="K1" zoomScale="85" zoomScaleNormal="85" workbookViewId="0">
      <selection activeCell="S14" sqref="S14"/>
    </sheetView>
  </sheetViews>
  <sheetFormatPr defaultColWidth="12.625" defaultRowHeight="15" customHeight="1"/>
  <cols>
    <col min="1" max="1" width="2.125" style="353" customWidth="1"/>
    <col min="2" max="2" width="3.875" style="353" customWidth="1"/>
    <col min="3" max="3" width="24" style="353" customWidth="1"/>
    <col min="4" max="4" width="15.25" style="353" customWidth="1"/>
    <col min="5" max="5" width="3.875" style="353" customWidth="1"/>
    <col min="6" max="6" width="9.375" style="353" customWidth="1"/>
    <col min="7" max="7" width="6.375" style="353" customWidth="1"/>
    <col min="8" max="8" width="17.5" style="353" customWidth="1"/>
    <col min="9" max="9" width="3.875" style="353" customWidth="1"/>
    <col min="10" max="10" width="17.75" style="353" customWidth="1"/>
    <col min="11" max="11" width="16.125" style="353" customWidth="1"/>
    <col min="12" max="12" width="4.625" style="353" customWidth="1"/>
    <col min="13" max="13" width="11.125" style="353" customWidth="1"/>
    <col min="14" max="14" width="5.625" style="353" customWidth="1"/>
    <col min="15" max="15" width="12.625" style="353" customWidth="1"/>
    <col min="16" max="16" width="17.25" style="353" customWidth="1"/>
    <col min="17" max="17" width="4.375" style="353" customWidth="1"/>
    <col min="18" max="18" width="3.875" style="353" customWidth="1"/>
    <col min="19" max="19" width="11.375" style="353" customWidth="1"/>
    <col min="20" max="20" width="39" style="353" customWidth="1"/>
    <col min="21" max="21" width="17.875" style="353" customWidth="1"/>
    <col min="22" max="26" width="2.125" style="353" customWidth="1"/>
    <col min="27" max="16384" width="12.625" style="353"/>
  </cols>
  <sheetData>
    <row r="1" spans="2:20" ht="15" customHeight="1" thickBot="1">
      <c r="B1" s="352" t="s">
        <v>1964</v>
      </c>
    </row>
    <row r="2" spans="2:20" ht="18.75" customHeight="1">
      <c r="B2" s="1033" t="s">
        <v>1965</v>
      </c>
      <c r="C2" s="1034"/>
      <c r="D2" s="1034"/>
      <c r="E2" s="1034"/>
      <c r="F2" s="1034"/>
      <c r="G2" s="1034"/>
      <c r="H2" s="1034"/>
      <c r="I2" s="1034"/>
      <c r="J2" s="1034"/>
      <c r="K2" s="1034"/>
      <c r="L2" s="1034"/>
      <c r="M2" s="1034"/>
      <c r="N2" s="1034"/>
      <c r="O2" s="1040" t="s">
        <v>1966</v>
      </c>
      <c r="P2" s="1041"/>
      <c r="Q2" s="1041"/>
      <c r="R2" s="1041"/>
      <c r="S2" s="1041"/>
      <c r="T2" s="1042"/>
    </row>
    <row r="3" spans="2:20" ht="18.75" customHeight="1">
      <c r="B3" s="1035"/>
      <c r="C3" s="1036"/>
      <c r="D3" s="1036"/>
      <c r="E3" s="1036"/>
      <c r="F3" s="1036"/>
      <c r="G3" s="1036"/>
      <c r="H3" s="1036"/>
      <c r="I3" s="1036"/>
      <c r="J3" s="1036"/>
      <c r="K3" s="1036"/>
      <c r="L3" s="1036"/>
      <c r="M3" s="1036"/>
      <c r="N3" s="1037"/>
      <c r="O3" s="1043">
        <v>0</v>
      </c>
      <c r="P3" s="1044"/>
      <c r="Q3" s="1044"/>
      <c r="R3" s="1044"/>
      <c r="S3" s="1044"/>
      <c r="T3" s="1045"/>
    </row>
    <row r="4" spans="2:20" ht="18.75" customHeight="1" thickBot="1">
      <c r="B4" s="1038"/>
      <c r="C4" s="1039"/>
      <c r="D4" s="1039"/>
      <c r="E4" s="1039"/>
      <c r="F4" s="1039"/>
      <c r="G4" s="1039"/>
      <c r="H4" s="1039"/>
      <c r="I4" s="1039"/>
      <c r="J4" s="1039"/>
      <c r="K4" s="1039"/>
      <c r="L4" s="1039"/>
      <c r="M4" s="1039"/>
      <c r="N4" s="1039"/>
      <c r="O4" s="1046"/>
      <c r="P4" s="1039"/>
      <c r="Q4" s="1039"/>
      <c r="R4" s="1039"/>
      <c r="S4" s="1039"/>
      <c r="T4" s="1047"/>
    </row>
    <row r="5" spans="2:20" ht="18.75" customHeight="1">
      <c r="B5" s="354"/>
      <c r="C5" s="355"/>
      <c r="D5" s="354"/>
      <c r="E5" s="354"/>
      <c r="F5" s="354"/>
      <c r="G5" s="354"/>
      <c r="H5" s="354"/>
      <c r="I5" s="354"/>
      <c r="J5" s="354"/>
      <c r="K5" s="354"/>
      <c r="L5" s="354"/>
      <c r="M5" s="354"/>
      <c r="N5" s="354"/>
      <c r="O5" s="355"/>
      <c r="P5" s="355"/>
      <c r="Q5" s="354"/>
      <c r="R5" s="355"/>
      <c r="S5" s="355"/>
      <c r="T5" s="354"/>
    </row>
    <row r="6" spans="2:20" ht="18.75" customHeight="1" thickBot="1">
      <c r="B6" s="356" t="s">
        <v>1967</v>
      </c>
      <c r="C6" s="357"/>
      <c r="D6" s="356"/>
      <c r="E6" s="356"/>
      <c r="F6" s="356"/>
      <c r="G6" s="356"/>
      <c r="H6" s="356"/>
      <c r="I6" s="356"/>
      <c r="J6" s="356"/>
      <c r="K6" s="356"/>
      <c r="L6" s="356"/>
      <c r="M6" s="356"/>
      <c r="N6" s="356"/>
      <c r="O6" s="357"/>
      <c r="P6" s="357"/>
      <c r="Q6" s="356"/>
      <c r="R6" s="357"/>
      <c r="S6" s="357"/>
      <c r="T6" s="356"/>
    </row>
    <row r="7" spans="2:20" ht="25.5" customHeight="1" thickBot="1">
      <c r="B7" s="1048" t="s">
        <v>1968</v>
      </c>
      <c r="C7" s="1034"/>
      <c r="D7" s="1034"/>
      <c r="E7" s="1034"/>
      <c r="F7" s="1034"/>
      <c r="G7" s="1034"/>
      <c r="H7" s="1034"/>
      <c r="I7" s="1049" t="s">
        <v>1969</v>
      </c>
      <c r="J7" s="1034"/>
      <c r="K7" s="1034"/>
      <c r="L7" s="1034"/>
      <c r="M7" s="1034"/>
      <c r="N7" s="1034"/>
      <c r="O7" s="1034"/>
      <c r="P7" s="1034"/>
      <c r="Q7" s="1034"/>
      <c r="R7" s="1034"/>
      <c r="S7" s="1050" t="s">
        <v>825</v>
      </c>
      <c r="T7" s="1053" t="s">
        <v>826</v>
      </c>
    </row>
    <row r="8" spans="2:20" ht="50.25" customHeight="1" thickBot="1">
      <c r="B8" s="1055" t="s">
        <v>828</v>
      </c>
      <c r="C8" s="1056"/>
      <c r="D8" s="1057" t="s">
        <v>1970</v>
      </c>
      <c r="E8" s="1058"/>
      <c r="F8" s="1058"/>
      <c r="G8" s="1058"/>
      <c r="H8" s="1059"/>
      <c r="I8" s="1060" t="s">
        <v>1971</v>
      </c>
      <c r="J8" s="1056"/>
      <c r="K8" s="1057" t="s">
        <v>1972</v>
      </c>
      <c r="L8" s="1058"/>
      <c r="M8" s="1058"/>
      <c r="N8" s="1058"/>
      <c r="O8" s="1058"/>
      <c r="P8" s="1058"/>
      <c r="Q8" s="1058"/>
      <c r="R8" s="1058"/>
      <c r="S8" s="1051"/>
      <c r="T8" s="1054"/>
    </row>
    <row r="9" spans="2:20" ht="30.75" customHeight="1" thickBot="1">
      <c r="B9" s="358" t="s">
        <v>831</v>
      </c>
      <c r="C9" s="359" t="s">
        <v>1973</v>
      </c>
      <c r="D9" s="360" t="s">
        <v>832</v>
      </c>
      <c r="E9" s="360" t="s">
        <v>833</v>
      </c>
      <c r="F9" s="360" t="s">
        <v>834</v>
      </c>
      <c r="G9" s="360" t="s">
        <v>835</v>
      </c>
      <c r="H9" s="360" t="s">
        <v>836</v>
      </c>
      <c r="I9" s="361" t="s">
        <v>831</v>
      </c>
      <c r="J9" s="362" t="s">
        <v>1973</v>
      </c>
      <c r="K9" s="360" t="s">
        <v>832</v>
      </c>
      <c r="L9" s="360" t="s">
        <v>833</v>
      </c>
      <c r="M9" s="360" t="s">
        <v>834</v>
      </c>
      <c r="N9" s="360" t="s">
        <v>835</v>
      </c>
      <c r="O9" s="360" t="s">
        <v>836</v>
      </c>
      <c r="P9" s="360"/>
      <c r="Q9" s="363" t="s">
        <v>838</v>
      </c>
      <c r="R9" s="364" t="s">
        <v>839</v>
      </c>
      <c r="S9" s="1052"/>
      <c r="T9" s="1054"/>
    </row>
    <row r="10" spans="2:20" ht="24.75" customHeight="1">
      <c r="B10" s="365">
        <v>1</v>
      </c>
      <c r="C10" s="366" t="s">
        <v>852</v>
      </c>
      <c r="D10" s="367" t="s">
        <v>195</v>
      </c>
      <c r="E10" s="368"/>
      <c r="F10" s="369">
        <v>4</v>
      </c>
      <c r="G10" s="370"/>
      <c r="H10" s="371"/>
      <c r="I10" s="372">
        <v>1</v>
      </c>
      <c r="J10" s="366"/>
      <c r="K10" s="373" t="s">
        <v>1974</v>
      </c>
      <c r="L10" s="374"/>
      <c r="M10" s="375" t="s">
        <v>1354</v>
      </c>
      <c r="N10" s="376">
        <v>1000</v>
      </c>
      <c r="O10" s="373" t="s">
        <v>1974</v>
      </c>
      <c r="P10" s="377" t="s">
        <v>1975</v>
      </c>
      <c r="Q10" s="378"/>
      <c r="R10" s="379"/>
      <c r="S10" s="380" t="s">
        <v>853</v>
      </c>
      <c r="T10" s="381" t="s">
        <v>854</v>
      </c>
    </row>
    <row r="11" spans="2:20" ht="24.75" customHeight="1">
      <c r="B11" s="382">
        <v>2</v>
      </c>
      <c r="C11" s="366" t="s">
        <v>1594</v>
      </c>
      <c r="D11" s="367" t="s">
        <v>195</v>
      </c>
      <c r="E11" s="368"/>
      <c r="F11" s="376">
        <v>8</v>
      </c>
      <c r="G11" s="383"/>
      <c r="H11" s="384"/>
      <c r="I11" s="385">
        <v>2</v>
      </c>
      <c r="J11" s="366"/>
      <c r="K11" s="373" t="s">
        <v>1976</v>
      </c>
      <c r="L11" s="374"/>
      <c r="M11" s="375" t="s">
        <v>1354</v>
      </c>
      <c r="N11" s="376">
        <v>1000</v>
      </c>
      <c r="O11" s="373" t="s">
        <v>1976</v>
      </c>
      <c r="P11" s="377" t="s">
        <v>1977</v>
      </c>
      <c r="Q11" s="378"/>
      <c r="R11" s="379"/>
      <c r="S11" s="380" t="s">
        <v>1596</v>
      </c>
      <c r="T11" s="381" t="s">
        <v>1595</v>
      </c>
    </row>
    <row r="12" spans="2:20" ht="24.75" customHeight="1">
      <c r="B12" s="382">
        <v>3</v>
      </c>
      <c r="C12" s="366" t="s">
        <v>1068</v>
      </c>
      <c r="D12" s="367" t="s">
        <v>195</v>
      </c>
      <c r="E12" s="368"/>
      <c r="F12" s="369">
        <v>18</v>
      </c>
      <c r="G12" s="370"/>
      <c r="H12" s="371"/>
      <c r="I12" s="385">
        <v>3</v>
      </c>
      <c r="J12" s="366"/>
      <c r="K12" s="367" t="s">
        <v>1271</v>
      </c>
      <c r="L12" s="376"/>
      <c r="M12" s="375" t="s">
        <v>1354</v>
      </c>
      <c r="N12" s="376">
        <v>1000</v>
      </c>
      <c r="O12" s="367" t="s">
        <v>1271</v>
      </c>
      <c r="P12" s="386" t="s">
        <v>1081</v>
      </c>
      <c r="Q12" s="378"/>
      <c r="R12" s="379"/>
      <c r="S12" s="380" t="s">
        <v>1597</v>
      </c>
      <c r="T12" s="381" t="s">
        <v>1598</v>
      </c>
    </row>
    <row r="13" spans="2:20" ht="24.75" customHeight="1">
      <c r="B13" s="382">
        <v>4</v>
      </c>
      <c r="C13" s="366" t="s">
        <v>1273</v>
      </c>
      <c r="D13" s="367" t="s">
        <v>195</v>
      </c>
      <c r="E13" s="368"/>
      <c r="F13" s="369">
        <v>4</v>
      </c>
      <c r="G13" s="370"/>
      <c r="H13" s="371"/>
      <c r="I13" s="385">
        <v>4</v>
      </c>
      <c r="J13" s="366"/>
      <c r="K13" s="367" t="s">
        <v>1144</v>
      </c>
      <c r="L13" s="368"/>
      <c r="M13" s="375" t="s">
        <v>1354</v>
      </c>
      <c r="N13" s="376">
        <v>1000</v>
      </c>
      <c r="O13" s="367" t="s">
        <v>1144</v>
      </c>
      <c r="P13" s="386" t="s">
        <v>1144</v>
      </c>
      <c r="Q13" s="387"/>
      <c r="R13" s="388"/>
      <c r="S13" s="380" t="s">
        <v>1274</v>
      </c>
      <c r="T13" s="381" t="s">
        <v>1599</v>
      </c>
    </row>
    <row r="14" spans="2:20" ht="24.75" customHeight="1">
      <c r="B14" s="382">
        <v>5</v>
      </c>
      <c r="C14" s="366" t="s">
        <v>1600</v>
      </c>
      <c r="D14" s="367" t="s">
        <v>195</v>
      </c>
      <c r="E14" s="368"/>
      <c r="F14" s="376">
        <v>4</v>
      </c>
      <c r="G14" s="383"/>
      <c r="H14" s="384"/>
      <c r="I14" s="385">
        <v>5</v>
      </c>
      <c r="J14" s="366"/>
      <c r="K14" s="367" t="s">
        <v>1978</v>
      </c>
      <c r="L14" s="376"/>
      <c r="M14" s="375" t="s">
        <v>1354</v>
      </c>
      <c r="N14" s="376">
        <v>1000</v>
      </c>
      <c r="O14" s="367" t="s">
        <v>1978</v>
      </c>
      <c r="P14" s="386" t="s">
        <v>1978</v>
      </c>
      <c r="Q14" s="387"/>
      <c r="R14" s="388"/>
      <c r="S14" s="380" t="s">
        <v>1602</v>
      </c>
      <c r="T14" s="381" t="s">
        <v>1603</v>
      </c>
    </row>
    <row r="15" spans="2:20" ht="24.75" customHeight="1">
      <c r="B15" s="382">
        <v>6</v>
      </c>
      <c r="C15" s="366" t="s">
        <v>1098</v>
      </c>
      <c r="D15" s="367"/>
      <c r="E15" s="368"/>
      <c r="F15" s="369"/>
      <c r="G15" s="370"/>
      <c r="H15" s="371"/>
      <c r="I15" s="385">
        <v>6</v>
      </c>
      <c r="J15" s="366"/>
      <c r="K15" s="367" t="s">
        <v>1101</v>
      </c>
      <c r="L15" s="376"/>
      <c r="M15" s="375" t="s">
        <v>1354</v>
      </c>
      <c r="N15" s="376">
        <v>1000</v>
      </c>
      <c r="O15" s="367" t="s">
        <v>1101</v>
      </c>
      <c r="P15" s="386" t="s">
        <v>1101</v>
      </c>
      <c r="Q15" s="387"/>
      <c r="R15" s="379"/>
      <c r="S15" s="380" t="s">
        <v>1604</v>
      </c>
      <c r="T15" s="381" t="s">
        <v>1605</v>
      </c>
    </row>
    <row r="16" spans="2:20" ht="24.75" customHeight="1">
      <c r="B16" s="382">
        <v>7</v>
      </c>
      <c r="C16" s="366" t="s">
        <v>1606</v>
      </c>
      <c r="D16" s="389"/>
      <c r="E16" s="368"/>
      <c r="F16" s="369"/>
      <c r="G16" s="370"/>
      <c r="H16" s="384"/>
      <c r="I16" s="385">
        <v>7</v>
      </c>
      <c r="J16" s="366"/>
      <c r="K16" s="367" t="s">
        <v>1607</v>
      </c>
      <c r="L16" s="368"/>
      <c r="M16" s="375" t="s">
        <v>1354</v>
      </c>
      <c r="N16" s="376">
        <v>1000</v>
      </c>
      <c r="O16" s="367" t="s">
        <v>1607</v>
      </c>
      <c r="P16" s="386" t="s">
        <v>1979</v>
      </c>
      <c r="Q16" s="387"/>
      <c r="R16" s="379"/>
      <c r="S16" s="380" t="s">
        <v>1608</v>
      </c>
      <c r="T16" s="381" t="s">
        <v>1609</v>
      </c>
    </row>
    <row r="17" spans="2:20" ht="24.75" customHeight="1">
      <c r="B17" s="382">
        <v>8</v>
      </c>
      <c r="C17" s="390" t="s">
        <v>1610</v>
      </c>
      <c r="D17" s="389"/>
      <c r="E17" s="368"/>
      <c r="F17" s="369"/>
      <c r="G17" s="370"/>
      <c r="H17" s="384"/>
      <c r="I17" s="385">
        <v>8</v>
      </c>
      <c r="J17" s="366"/>
      <c r="K17" s="367" t="s">
        <v>1611</v>
      </c>
      <c r="L17" s="368"/>
      <c r="M17" s="375" t="s">
        <v>1354</v>
      </c>
      <c r="N17" s="376">
        <v>1000</v>
      </c>
      <c r="O17" s="367" t="s">
        <v>1611</v>
      </c>
      <c r="P17" s="386" t="s">
        <v>1980</v>
      </c>
      <c r="Q17" s="387"/>
      <c r="R17" s="379"/>
      <c r="S17" s="380" t="s">
        <v>1612</v>
      </c>
      <c r="T17" s="381" t="s">
        <v>1613</v>
      </c>
    </row>
    <row r="18" spans="2:20" ht="24.75" customHeight="1">
      <c r="B18" s="382">
        <v>9</v>
      </c>
      <c r="C18" s="366" t="s">
        <v>1614</v>
      </c>
      <c r="D18" s="367"/>
      <c r="E18" s="368"/>
      <c r="F18" s="376"/>
      <c r="G18" s="368"/>
      <c r="H18" s="384"/>
      <c r="I18" s="385">
        <v>9</v>
      </c>
      <c r="J18" s="366"/>
      <c r="K18" s="367" t="s">
        <v>1615</v>
      </c>
      <c r="L18" s="368"/>
      <c r="M18" s="375" t="s">
        <v>1354</v>
      </c>
      <c r="N18" s="376">
        <v>1000</v>
      </c>
      <c r="O18" s="367" t="s">
        <v>1615</v>
      </c>
      <c r="P18" s="386" t="s">
        <v>1981</v>
      </c>
      <c r="Q18" s="387"/>
      <c r="R18" s="379"/>
      <c r="S18" s="380" t="s">
        <v>1616</v>
      </c>
      <c r="T18" s="381" t="s">
        <v>1617</v>
      </c>
    </row>
    <row r="19" spans="2:20" ht="24.75" customHeight="1">
      <c r="B19" s="382">
        <v>10</v>
      </c>
      <c r="C19" s="366" t="s">
        <v>1618</v>
      </c>
      <c r="D19" s="367"/>
      <c r="E19" s="368"/>
      <c r="F19" s="369"/>
      <c r="G19" s="370"/>
      <c r="H19" s="371"/>
      <c r="I19" s="385">
        <v>10</v>
      </c>
      <c r="J19" s="366"/>
      <c r="K19" s="367" t="s">
        <v>1619</v>
      </c>
      <c r="L19" s="391"/>
      <c r="M19" s="375" t="s">
        <v>1354</v>
      </c>
      <c r="N19" s="376">
        <v>1000</v>
      </c>
      <c r="O19" s="367" t="s">
        <v>1619</v>
      </c>
      <c r="P19" s="386" t="s">
        <v>1982</v>
      </c>
      <c r="Q19" s="378"/>
      <c r="R19" s="379"/>
      <c r="S19" s="367" t="s">
        <v>1620</v>
      </c>
      <c r="T19" s="386" t="s">
        <v>1621</v>
      </c>
    </row>
    <row r="20" spans="2:20" ht="24.75" customHeight="1">
      <c r="B20" s="382">
        <v>11</v>
      </c>
      <c r="C20" s="366" t="s">
        <v>1622</v>
      </c>
      <c r="D20" s="367"/>
      <c r="E20" s="368"/>
      <c r="F20" s="369"/>
      <c r="G20" s="370"/>
      <c r="H20" s="371"/>
      <c r="I20" s="385">
        <v>11</v>
      </c>
      <c r="J20" s="366"/>
      <c r="K20" s="367" t="s">
        <v>1623</v>
      </c>
      <c r="L20" s="376"/>
      <c r="M20" s="375" t="s">
        <v>1354</v>
      </c>
      <c r="N20" s="376">
        <v>1000</v>
      </c>
      <c r="O20" s="367" t="s">
        <v>1623</v>
      </c>
      <c r="P20" s="386" t="s">
        <v>1983</v>
      </c>
      <c r="Q20" s="387"/>
      <c r="R20" s="379"/>
      <c r="S20" s="367" t="s">
        <v>1624</v>
      </c>
      <c r="T20" s="386" t="s">
        <v>1625</v>
      </c>
    </row>
    <row r="21" spans="2:20" ht="24.75" customHeight="1">
      <c r="B21" s="382">
        <v>12</v>
      </c>
      <c r="C21" s="366" t="s">
        <v>1626</v>
      </c>
      <c r="D21" s="389"/>
      <c r="E21" s="368"/>
      <c r="F21" s="369"/>
      <c r="G21" s="370"/>
      <c r="H21" s="384"/>
      <c r="I21" s="385">
        <v>12</v>
      </c>
      <c r="J21" s="366"/>
      <c r="K21" s="367" t="s">
        <v>1627</v>
      </c>
      <c r="L21" s="368"/>
      <c r="M21" s="375" t="s">
        <v>1354</v>
      </c>
      <c r="N21" s="376">
        <v>1000</v>
      </c>
      <c r="O21" s="367" t="s">
        <v>1627</v>
      </c>
      <c r="P21" s="386" t="s">
        <v>1984</v>
      </c>
      <c r="Q21" s="387"/>
      <c r="R21" s="379"/>
      <c r="S21" s="367" t="s">
        <v>1628</v>
      </c>
      <c r="T21" s="386" t="s">
        <v>1629</v>
      </c>
    </row>
    <row r="22" spans="2:20" ht="24.75" customHeight="1">
      <c r="B22" s="382">
        <v>13</v>
      </c>
      <c r="C22" s="390" t="s">
        <v>1630</v>
      </c>
      <c r="D22" s="389"/>
      <c r="E22" s="368"/>
      <c r="F22" s="369"/>
      <c r="G22" s="370"/>
      <c r="H22" s="384"/>
      <c r="I22" s="385">
        <v>13</v>
      </c>
      <c r="J22" s="366"/>
      <c r="K22" s="367" t="s">
        <v>1631</v>
      </c>
      <c r="L22" s="368"/>
      <c r="M22" s="375" t="s">
        <v>1354</v>
      </c>
      <c r="N22" s="376">
        <v>1000</v>
      </c>
      <c r="O22" s="367" t="s">
        <v>1631</v>
      </c>
      <c r="P22" s="386" t="s">
        <v>1985</v>
      </c>
      <c r="Q22" s="387"/>
      <c r="R22" s="379"/>
      <c r="S22" s="367" t="s">
        <v>1632</v>
      </c>
      <c r="T22" s="386" t="s">
        <v>1633</v>
      </c>
    </row>
    <row r="23" spans="2:20" ht="24.75" customHeight="1">
      <c r="B23" s="382">
        <v>14</v>
      </c>
      <c r="C23" s="366" t="s">
        <v>1634</v>
      </c>
      <c r="D23" s="367"/>
      <c r="E23" s="368"/>
      <c r="F23" s="376"/>
      <c r="G23" s="368"/>
      <c r="H23" s="384"/>
      <c r="I23" s="385">
        <v>14</v>
      </c>
      <c r="J23" s="366"/>
      <c r="K23" s="367" t="s">
        <v>1635</v>
      </c>
      <c r="L23" s="368"/>
      <c r="M23" s="375" t="s">
        <v>1354</v>
      </c>
      <c r="N23" s="376">
        <v>1000</v>
      </c>
      <c r="O23" s="367" t="s">
        <v>1635</v>
      </c>
      <c r="P23" s="386" t="s">
        <v>1986</v>
      </c>
      <c r="Q23" s="387"/>
      <c r="R23" s="379"/>
      <c r="S23" s="367" t="s">
        <v>1636</v>
      </c>
      <c r="T23" s="386" t="s">
        <v>1637</v>
      </c>
    </row>
    <row r="24" spans="2:20" ht="24.75" customHeight="1">
      <c r="B24" s="382">
        <v>15</v>
      </c>
      <c r="C24" s="366" t="s">
        <v>1638</v>
      </c>
      <c r="D24" s="367"/>
      <c r="E24" s="368"/>
      <c r="F24" s="369"/>
      <c r="G24" s="370"/>
      <c r="H24" s="371"/>
      <c r="I24" s="385">
        <v>15</v>
      </c>
      <c r="J24" s="366"/>
      <c r="K24" s="367" t="s">
        <v>1639</v>
      </c>
      <c r="L24" s="391"/>
      <c r="M24" s="375" t="s">
        <v>1354</v>
      </c>
      <c r="N24" s="376">
        <v>1000</v>
      </c>
      <c r="O24" s="367" t="s">
        <v>1639</v>
      </c>
      <c r="P24" s="386" t="s">
        <v>1987</v>
      </c>
      <c r="Q24" s="378"/>
      <c r="R24" s="379"/>
      <c r="S24" s="367" t="s">
        <v>1640</v>
      </c>
      <c r="T24" s="386" t="s">
        <v>1641</v>
      </c>
    </row>
    <row r="25" spans="2:20" ht="24.75" customHeight="1">
      <c r="B25" s="382">
        <v>16</v>
      </c>
      <c r="C25" s="366"/>
      <c r="D25" s="367"/>
      <c r="E25" s="368"/>
      <c r="F25" s="369"/>
      <c r="G25" s="370"/>
      <c r="H25" s="371"/>
      <c r="I25" s="385">
        <v>16</v>
      </c>
      <c r="J25" s="366"/>
      <c r="K25" s="367"/>
      <c r="L25" s="376"/>
      <c r="M25" s="392"/>
      <c r="N25" s="374"/>
      <c r="O25" s="371"/>
      <c r="P25" s="371"/>
      <c r="Q25" s="378"/>
      <c r="R25" s="379"/>
      <c r="S25" s="393"/>
      <c r="T25" s="394"/>
    </row>
    <row r="26" spans="2:20" ht="24.75" customHeight="1">
      <c r="B26" s="382">
        <v>17</v>
      </c>
      <c r="C26" s="366"/>
      <c r="D26" s="367"/>
      <c r="E26" s="368"/>
      <c r="F26" s="376"/>
      <c r="G26" s="383"/>
      <c r="H26" s="384"/>
      <c r="I26" s="385">
        <v>17</v>
      </c>
      <c r="J26" s="366"/>
      <c r="K26" s="367"/>
      <c r="L26" s="391"/>
      <c r="M26" s="392"/>
      <c r="N26" s="374"/>
      <c r="O26" s="395"/>
      <c r="P26" s="395"/>
      <c r="Q26" s="378"/>
      <c r="R26" s="379"/>
      <c r="S26" s="393"/>
      <c r="T26" s="394"/>
    </row>
    <row r="27" spans="2:20" ht="24.75" customHeight="1">
      <c r="B27" s="382">
        <v>18</v>
      </c>
      <c r="C27" s="366"/>
      <c r="D27" s="381"/>
      <c r="E27" s="374"/>
      <c r="F27" s="378"/>
      <c r="G27" s="396"/>
      <c r="H27" s="381"/>
      <c r="I27" s="385">
        <v>18</v>
      </c>
      <c r="J27" s="366"/>
      <c r="K27" s="367"/>
      <c r="L27" s="391"/>
      <c r="M27" s="392"/>
      <c r="N27" s="374"/>
      <c r="O27" s="395"/>
      <c r="P27" s="395"/>
      <c r="Q27" s="378"/>
      <c r="R27" s="379"/>
      <c r="S27" s="393"/>
      <c r="T27" s="394"/>
    </row>
    <row r="28" spans="2:20" ht="24.75" customHeight="1">
      <c r="B28" s="382">
        <v>19</v>
      </c>
      <c r="C28" s="366"/>
      <c r="D28" s="397"/>
      <c r="E28" s="368"/>
      <c r="F28" s="369"/>
      <c r="G28" s="369"/>
      <c r="H28" s="384"/>
      <c r="I28" s="385"/>
      <c r="J28" s="366"/>
      <c r="K28" s="367"/>
      <c r="L28" s="376"/>
      <c r="M28" s="392"/>
      <c r="N28" s="374"/>
      <c r="O28" s="371"/>
      <c r="P28" s="371"/>
      <c r="Q28" s="387"/>
      <c r="R28" s="388"/>
      <c r="S28" s="398"/>
      <c r="T28" s="394"/>
    </row>
    <row r="29" spans="2:20" ht="24.75" customHeight="1">
      <c r="B29" s="382">
        <v>20</v>
      </c>
      <c r="C29" s="366"/>
      <c r="D29" s="397"/>
      <c r="E29" s="368"/>
      <c r="F29" s="369"/>
      <c r="G29" s="369"/>
      <c r="H29" s="384"/>
      <c r="I29" s="385">
        <v>20</v>
      </c>
      <c r="J29" s="366"/>
      <c r="K29" s="367"/>
      <c r="L29" s="376"/>
      <c r="M29" s="367"/>
      <c r="N29" s="368"/>
      <c r="O29" s="371"/>
      <c r="P29" s="371"/>
      <c r="Q29" s="387"/>
      <c r="R29" s="388"/>
      <c r="S29" s="398"/>
      <c r="T29" s="394"/>
    </row>
    <row r="30" spans="2:20" ht="24.75" customHeight="1" thickBot="1">
      <c r="B30" s="382">
        <v>21</v>
      </c>
      <c r="C30" s="399"/>
      <c r="D30" s="400"/>
      <c r="E30" s="399"/>
      <c r="F30" s="399"/>
      <c r="G30" s="399"/>
      <c r="H30" s="400"/>
      <c r="I30" s="385">
        <v>21</v>
      </c>
      <c r="J30" s="401"/>
      <c r="K30" s="400"/>
      <c r="L30" s="399"/>
      <c r="M30" s="400"/>
      <c r="N30" s="399"/>
      <c r="O30" s="399"/>
      <c r="P30" s="399"/>
      <c r="Q30" s="399"/>
      <c r="R30" s="402"/>
      <c r="S30" s="402"/>
      <c r="T30" s="403"/>
    </row>
    <row r="31" spans="2:20" ht="18.75" customHeight="1">
      <c r="B31" s="354"/>
      <c r="C31" s="355"/>
      <c r="D31" s="354"/>
      <c r="E31" s="354"/>
      <c r="F31" s="354"/>
      <c r="G31" s="354"/>
      <c r="H31" s="354"/>
      <c r="I31" s="354"/>
      <c r="J31" s="354"/>
      <c r="K31" s="354"/>
      <c r="L31" s="354"/>
      <c r="M31" s="354"/>
      <c r="N31" s="354"/>
      <c r="O31" s="355"/>
      <c r="P31" s="355"/>
      <c r="Q31" s="354"/>
      <c r="R31" s="355"/>
      <c r="S31" s="355"/>
      <c r="T31" s="354"/>
    </row>
    <row r="32" spans="2:20" ht="18.75" customHeight="1" thickBot="1">
      <c r="B32" s="356" t="s">
        <v>1988</v>
      </c>
      <c r="C32" s="357"/>
      <c r="D32" s="356"/>
      <c r="E32" s="356"/>
      <c r="F32" s="356"/>
      <c r="G32" s="356"/>
      <c r="H32" s="356"/>
      <c r="I32" s="356"/>
      <c r="J32" s="356"/>
      <c r="K32" s="356"/>
      <c r="L32" s="356"/>
      <c r="M32" s="356"/>
      <c r="N32" s="356"/>
      <c r="O32" s="357"/>
      <c r="P32" s="357"/>
      <c r="Q32" s="356"/>
      <c r="R32" s="357"/>
      <c r="S32" s="357"/>
      <c r="T32" s="356"/>
    </row>
    <row r="33" spans="2:20" ht="18.75" customHeight="1">
      <c r="B33" s="1026" t="s">
        <v>826</v>
      </c>
      <c r="C33" s="1027"/>
      <c r="D33" s="1028" t="s">
        <v>1029</v>
      </c>
      <c r="E33" s="1029"/>
      <c r="F33" s="1029"/>
      <c r="G33" s="1029"/>
      <c r="H33" s="1029"/>
      <c r="I33" s="1029"/>
      <c r="J33" s="1029"/>
      <c r="K33" s="1029"/>
      <c r="L33" s="1029"/>
      <c r="M33" s="1029"/>
      <c r="N33" s="1029"/>
      <c r="O33" s="1029"/>
      <c r="P33" s="1029"/>
      <c r="Q33" s="1029"/>
      <c r="R33" s="1029"/>
      <c r="S33" s="1029"/>
      <c r="T33" s="1030"/>
    </row>
    <row r="34" spans="2:20" ht="22.5" customHeight="1">
      <c r="B34" s="1031" t="s">
        <v>1033</v>
      </c>
      <c r="C34" s="1032"/>
      <c r="D34" s="1061"/>
      <c r="E34" s="1056"/>
      <c r="F34" s="1056"/>
      <c r="G34" s="1056"/>
      <c r="H34" s="1056"/>
      <c r="I34" s="1056"/>
      <c r="J34" s="1056"/>
      <c r="K34" s="1056"/>
      <c r="L34" s="1056"/>
      <c r="M34" s="1056"/>
      <c r="N34" s="1056"/>
      <c r="O34" s="1056"/>
      <c r="P34" s="1056"/>
      <c r="Q34" s="1056"/>
      <c r="R34" s="1056"/>
      <c r="S34" s="1056"/>
      <c r="T34" s="1062"/>
    </row>
    <row r="35" spans="2:20" ht="24.75" customHeight="1" thickBot="1">
      <c r="B35" s="1063" t="s">
        <v>1038</v>
      </c>
      <c r="C35" s="1064"/>
      <c r="D35" s="1065"/>
      <c r="E35" s="1066"/>
      <c r="F35" s="1066"/>
      <c r="G35" s="1066"/>
      <c r="H35" s="1066"/>
      <c r="I35" s="1066"/>
      <c r="J35" s="1066"/>
      <c r="K35" s="1066"/>
      <c r="L35" s="1066"/>
      <c r="M35" s="1066"/>
      <c r="N35" s="1066"/>
      <c r="O35" s="1066"/>
      <c r="P35" s="1066"/>
      <c r="Q35" s="1066"/>
      <c r="R35" s="1066"/>
      <c r="S35" s="1066"/>
      <c r="T35" s="1067"/>
    </row>
    <row r="36" spans="2:20" ht="18.75" customHeight="1">
      <c r="B36" s="357"/>
      <c r="C36" s="357"/>
      <c r="D36" s="357"/>
      <c r="E36" s="357"/>
      <c r="F36" s="357"/>
      <c r="G36" s="357"/>
      <c r="H36" s="357"/>
      <c r="I36" s="357"/>
      <c r="J36" s="357"/>
      <c r="K36" s="357"/>
      <c r="L36" s="357"/>
      <c r="M36" s="357"/>
      <c r="N36" s="357"/>
      <c r="O36" s="357"/>
      <c r="P36" s="357"/>
      <c r="Q36" s="357"/>
      <c r="R36" s="357"/>
      <c r="S36" s="357"/>
      <c r="T36" s="357"/>
    </row>
    <row r="37" spans="2:20" ht="18.75" customHeight="1" thickBot="1">
      <c r="B37" s="356" t="s">
        <v>1989</v>
      </c>
      <c r="C37" s="357"/>
      <c r="D37" s="356"/>
      <c r="E37" s="356"/>
      <c r="F37" s="356"/>
      <c r="G37" s="356"/>
      <c r="H37" s="356"/>
      <c r="I37" s="356"/>
      <c r="J37" s="356"/>
      <c r="K37" s="356"/>
      <c r="L37" s="356"/>
      <c r="M37" s="356"/>
      <c r="N37" s="356"/>
      <c r="O37" s="357"/>
      <c r="P37" s="357"/>
      <c r="Q37" s="356"/>
      <c r="R37" s="357"/>
      <c r="S37" s="357"/>
      <c r="T37" s="356"/>
    </row>
    <row r="38" spans="2:20" ht="54" customHeight="1">
      <c r="B38" s="1070" t="s">
        <v>1049</v>
      </c>
      <c r="C38" s="1027"/>
      <c r="D38" s="1071"/>
      <c r="E38" s="1029"/>
      <c r="F38" s="1029"/>
      <c r="G38" s="1029"/>
      <c r="H38" s="1029"/>
      <c r="I38" s="1029"/>
      <c r="J38" s="1029"/>
      <c r="K38" s="1029"/>
      <c r="L38" s="1029"/>
      <c r="M38" s="1029"/>
      <c r="N38" s="1029"/>
      <c r="O38" s="1029"/>
      <c r="P38" s="1029"/>
      <c r="Q38" s="1029"/>
      <c r="R38" s="1029"/>
      <c r="S38" s="1029"/>
      <c r="T38" s="1030"/>
    </row>
    <row r="39" spans="2:20" ht="33" customHeight="1">
      <c r="B39" s="1072" t="s">
        <v>1053</v>
      </c>
      <c r="C39" s="1032"/>
      <c r="D39" s="1061"/>
      <c r="E39" s="1056"/>
      <c r="F39" s="1056"/>
      <c r="G39" s="1056"/>
      <c r="H39" s="1056"/>
      <c r="I39" s="1056"/>
      <c r="J39" s="1056"/>
      <c r="K39" s="1056"/>
      <c r="L39" s="1056"/>
      <c r="M39" s="1056"/>
      <c r="N39" s="1056"/>
      <c r="O39" s="1056"/>
      <c r="P39" s="1056"/>
      <c r="Q39" s="1056"/>
      <c r="R39" s="1056"/>
      <c r="S39" s="1056"/>
      <c r="T39" s="1062"/>
    </row>
    <row r="40" spans="2:20" ht="71.25" customHeight="1">
      <c r="B40" s="1073" t="s">
        <v>1057</v>
      </c>
      <c r="C40" s="1074"/>
      <c r="D40" s="1075"/>
      <c r="E40" s="1076"/>
      <c r="F40" s="1076"/>
      <c r="G40" s="1076"/>
      <c r="H40" s="1076"/>
      <c r="I40" s="1076"/>
      <c r="J40" s="1076"/>
      <c r="K40" s="1076"/>
      <c r="L40" s="1076"/>
      <c r="M40" s="1076"/>
      <c r="N40" s="1076"/>
      <c r="O40" s="1076"/>
      <c r="P40" s="1076"/>
      <c r="Q40" s="1076"/>
      <c r="R40" s="1076"/>
      <c r="S40" s="1076"/>
      <c r="T40" s="1077"/>
    </row>
    <row r="41" spans="2:20" ht="38.25" customHeight="1" thickBot="1">
      <c r="B41" s="1068" t="s">
        <v>1061</v>
      </c>
      <c r="C41" s="1064"/>
      <c r="D41" s="1069"/>
      <c r="E41" s="1066"/>
      <c r="F41" s="1066"/>
      <c r="G41" s="1066"/>
      <c r="H41" s="1066"/>
      <c r="I41" s="1066"/>
      <c r="J41" s="1066"/>
      <c r="K41" s="1066"/>
      <c r="L41" s="1066"/>
      <c r="M41" s="1066"/>
      <c r="N41" s="1066"/>
      <c r="O41" s="1066"/>
      <c r="P41" s="1066"/>
      <c r="Q41" s="1066"/>
      <c r="R41" s="1066"/>
      <c r="S41" s="1066"/>
      <c r="T41" s="1067"/>
    </row>
    <row r="42" spans="2:20" ht="18.75" customHeight="1">
      <c r="B42" s="354"/>
      <c r="C42" s="355"/>
      <c r="D42" s="354"/>
      <c r="E42" s="354"/>
      <c r="F42" s="354"/>
      <c r="G42" s="354"/>
      <c r="H42" s="354"/>
      <c r="I42" s="354"/>
      <c r="J42" s="354"/>
      <c r="K42" s="354"/>
      <c r="L42" s="354"/>
      <c r="M42" s="354"/>
      <c r="N42" s="354"/>
      <c r="O42" s="355"/>
      <c r="P42" s="355"/>
      <c r="Q42" s="354"/>
      <c r="R42" s="355"/>
      <c r="S42" s="355"/>
      <c r="T42" s="354"/>
    </row>
    <row r="43" spans="2:20" ht="18.75" customHeight="1">
      <c r="B43" s="354"/>
      <c r="C43" s="404" t="s">
        <v>1990</v>
      </c>
      <c r="D43" s="354"/>
      <c r="E43" s="354"/>
      <c r="F43" s="354"/>
      <c r="G43" s="354"/>
      <c r="H43" s="354"/>
      <c r="I43" s="354"/>
      <c r="J43" s="354"/>
      <c r="K43" s="354"/>
      <c r="L43" s="354"/>
      <c r="M43" s="354"/>
      <c r="N43" s="354"/>
      <c r="O43" s="355"/>
      <c r="P43" s="355"/>
      <c r="Q43" s="354"/>
      <c r="R43" s="355"/>
      <c r="S43" s="355"/>
      <c r="T43" s="354"/>
    </row>
    <row r="44" spans="2:20" ht="18.75" customHeight="1">
      <c r="B44" s="354"/>
      <c r="C44" s="355"/>
      <c r="D44" s="354"/>
      <c r="E44" s="354"/>
      <c r="F44" s="354"/>
      <c r="G44" s="354"/>
      <c r="H44" s="354"/>
      <c r="I44" s="354"/>
      <c r="J44" s="354"/>
      <c r="K44" s="354"/>
      <c r="L44" s="354"/>
      <c r="M44" s="354"/>
      <c r="N44" s="354"/>
      <c r="O44" s="355"/>
      <c r="P44" s="355"/>
      <c r="Q44" s="354"/>
      <c r="R44" s="355"/>
      <c r="S44" s="355"/>
      <c r="T44" s="354"/>
    </row>
    <row r="45" spans="2:20" ht="18.75" customHeight="1">
      <c r="B45" s="354"/>
      <c r="C45" s="405" t="s">
        <v>1991</v>
      </c>
      <c r="D45" s="354"/>
      <c r="E45" s="354"/>
      <c r="F45" s="354"/>
      <c r="G45" s="354"/>
      <c r="H45" s="354"/>
      <c r="I45" s="354"/>
      <c r="J45" s="354"/>
      <c r="K45" s="354"/>
      <c r="L45" s="354"/>
      <c r="M45" s="354"/>
      <c r="N45" s="354"/>
      <c r="O45" s="355"/>
      <c r="P45" s="355"/>
      <c r="Q45" s="354"/>
      <c r="R45" s="355"/>
      <c r="S45" s="355"/>
      <c r="T45" s="354"/>
    </row>
  </sheetData>
  <mergeCells count="25">
    <mergeCell ref="B35:C35"/>
    <mergeCell ref="D35:T35"/>
    <mergeCell ref="B41:C41"/>
    <mergeCell ref="D41:T41"/>
    <mergeCell ref="B38:C38"/>
    <mergeCell ref="D38:T38"/>
    <mergeCell ref="B39:C39"/>
    <mergeCell ref="D39:T39"/>
    <mergeCell ref="B40:C40"/>
    <mergeCell ref="D40:T40"/>
    <mergeCell ref="B33:C33"/>
    <mergeCell ref="D33:T33"/>
    <mergeCell ref="B34:C34"/>
    <mergeCell ref="B2:N4"/>
    <mergeCell ref="O2:T2"/>
    <mergeCell ref="O3:T4"/>
    <mergeCell ref="B7:H7"/>
    <mergeCell ref="I7:R7"/>
    <mergeCell ref="S7:S9"/>
    <mergeCell ref="T7:T9"/>
    <mergeCell ref="B8:C8"/>
    <mergeCell ref="D8:H8"/>
    <mergeCell ref="I8:J8"/>
    <mergeCell ref="K8:R8"/>
    <mergeCell ref="D34:T34"/>
  </mergeCells>
  <phoneticPr fontId="4" type="noConversion"/>
  <hyperlinks>
    <hyperlink ref="B1" location="Overview!A3" display="Overview!A3" xr:uid="{4443B5A3-EC86-4804-B248-FD30F05396C4}"/>
  </hyperlinks>
  <pageMargins left="0.3" right="0.37" top="0.75" bottom="0.75" header="0" footer="0"/>
  <pageSetup paperSize="9" orientation="portrait"/>
  <customProperties>
    <customPr name="_pios_id" r:id="rId1"/>
  </customPropertie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74CBC-D709-4C4F-AA73-69DE11D83457}">
  <dimension ref="A1:S75"/>
  <sheetViews>
    <sheetView showGridLines="0" workbookViewId="0"/>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1992</v>
      </c>
      <c r="C2" s="993"/>
      <c r="D2" s="993"/>
      <c r="E2" s="993"/>
      <c r="F2" s="993"/>
      <c r="G2" s="993"/>
      <c r="H2" s="993"/>
      <c r="I2" s="994"/>
      <c r="J2" s="70" t="s">
        <v>816</v>
      </c>
      <c r="K2" s="998" t="s">
        <v>145</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823</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1993</v>
      </c>
      <c r="D8" s="119"/>
      <c r="E8" s="107"/>
      <c r="F8" s="107"/>
      <c r="G8" s="108"/>
      <c r="H8" s="109"/>
      <c r="I8" s="110">
        <v>1</v>
      </c>
      <c r="J8" s="117" t="s">
        <v>864</v>
      </c>
      <c r="K8" s="112"/>
      <c r="L8" s="113" t="s">
        <v>1354</v>
      </c>
      <c r="M8" s="112">
        <v>1000</v>
      </c>
      <c r="N8" s="114" t="s">
        <v>862</v>
      </c>
      <c r="O8" s="114" t="s">
        <v>1994</v>
      </c>
      <c r="P8" s="112"/>
      <c r="Q8" s="112"/>
      <c r="R8" s="114"/>
      <c r="S8" s="134"/>
    </row>
    <row r="9" spans="1:19" s="73" customFormat="1" ht="13.5">
      <c r="B9" s="104">
        <v>2</v>
      </c>
      <c r="C9" s="105" t="s">
        <v>1995</v>
      </c>
      <c r="D9" s="119"/>
      <c r="E9" s="107" t="s">
        <v>1649</v>
      </c>
      <c r="F9" s="107"/>
      <c r="G9" s="108" t="s">
        <v>1996</v>
      </c>
      <c r="H9" s="109" t="s">
        <v>1997</v>
      </c>
      <c r="I9" s="110">
        <v>2</v>
      </c>
      <c r="J9" s="117" t="s">
        <v>1998</v>
      </c>
      <c r="K9" s="119"/>
      <c r="L9" s="113" t="s">
        <v>1354</v>
      </c>
      <c r="M9" s="112">
        <v>1000</v>
      </c>
      <c r="N9" s="114" t="s">
        <v>1999</v>
      </c>
      <c r="O9" s="114" t="s">
        <v>1997</v>
      </c>
      <c r="P9" s="112"/>
      <c r="Q9" s="112"/>
      <c r="R9" s="114"/>
      <c r="S9" s="134"/>
    </row>
    <row r="10" spans="1:19" s="73" customFormat="1" ht="13.5">
      <c r="B10" s="104">
        <v>3</v>
      </c>
      <c r="C10" s="105" t="s">
        <v>2000</v>
      </c>
      <c r="D10" s="119"/>
      <c r="E10" s="107" t="s">
        <v>1649</v>
      </c>
      <c r="F10" s="107"/>
      <c r="G10" s="108" t="s">
        <v>2001</v>
      </c>
      <c r="H10" s="109" t="s">
        <v>2002</v>
      </c>
      <c r="I10" s="110">
        <v>3</v>
      </c>
      <c r="J10" s="117" t="s">
        <v>2003</v>
      </c>
      <c r="K10" s="119"/>
      <c r="L10" s="113" t="s">
        <v>1354</v>
      </c>
      <c r="M10" s="112">
        <v>1000</v>
      </c>
      <c r="N10" s="114" t="s">
        <v>2004</v>
      </c>
      <c r="O10" s="114" t="s">
        <v>2002</v>
      </c>
      <c r="P10" s="112"/>
      <c r="Q10" s="112"/>
      <c r="R10" s="114"/>
      <c r="S10" s="134"/>
    </row>
    <row r="11" spans="1:19" s="73" customFormat="1" ht="13.5">
      <c r="B11" s="104">
        <v>4</v>
      </c>
      <c r="C11" s="105" t="s">
        <v>2005</v>
      </c>
      <c r="D11" s="119"/>
      <c r="E11" s="107" t="s">
        <v>845</v>
      </c>
      <c r="F11" s="107"/>
      <c r="G11" s="108" t="s">
        <v>2006</v>
      </c>
      <c r="H11" s="109" t="s">
        <v>2007</v>
      </c>
      <c r="I11" s="110">
        <v>4</v>
      </c>
      <c r="J11" s="118" t="s">
        <v>2008</v>
      </c>
      <c r="K11" s="119"/>
      <c r="L11" s="113" t="s">
        <v>1354</v>
      </c>
      <c r="M11" s="112">
        <v>1000</v>
      </c>
      <c r="N11" s="108" t="s">
        <v>2009</v>
      </c>
      <c r="O11" s="108" t="s">
        <v>2007</v>
      </c>
      <c r="P11" s="119"/>
      <c r="Q11" s="119"/>
      <c r="R11" s="108"/>
      <c r="S11" s="134"/>
    </row>
    <row r="12" spans="1:19" s="73" customFormat="1" ht="13.5">
      <c r="B12" s="104">
        <v>5</v>
      </c>
      <c r="C12" s="105"/>
      <c r="D12" s="119"/>
      <c r="E12" s="107"/>
      <c r="F12" s="107"/>
      <c r="G12" s="108"/>
      <c r="H12" s="109"/>
      <c r="I12" s="110">
        <v>5</v>
      </c>
      <c r="J12" s="118"/>
      <c r="K12" s="119"/>
      <c r="L12" s="113"/>
      <c r="M12" s="112"/>
      <c r="N12" s="108"/>
      <c r="O12" s="108"/>
      <c r="P12" s="119"/>
      <c r="Q12" s="119"/>
      <c r="R12" s="108"/>
      <c r="S12" s="134"/>
    </row>
    <row r="13" spans="1:19" s="73" customFormat="1" ht="13.5">
      <c r="B13" s="104">
        <v>6</v>
      </c>
      <c r="C13" s="105"/>
      <c r="D13" s="119"/>
      <c r="E13" s="107"/>
      <c r="F13" s="107"/>
      <c r="G13" s="108"/>
      <c r="H13" s="109"/>
      <c r="I13" s="110">
        <v>6</v>
      </c>
      <c r="J13" s="118"/>
      <c r="K13" s="119"/>
      <c r="L13" s="113"/>
      <c r="M13" s="112"/>
      <c r="N13" s="108"/>
      <c r="O13" s="108"/>
      <c r="P13" s="119"/>
      <c r="Q13" s="112"/>
      <c r="R13" s="114"/>
      <c r="S13" s="134"/>
    </row>
    <row r="14" spans="1:19" s="73" customFormat="1" ht="13.5">
      <c r="B14" s="104">
        <v>7</v>
      </c>
      <c r="C14" s="105"/>
      <c r="D14" s="119"/>
      <c r="E14" s="107"/>
      <c r="F14" s="107"/>
      <c r="G14" s="108"/>
      <c r="H14" s="109"/>
      <c r="I14" s="110">
        <v>7</v>
      </c>
      <c r="J14" s="118"/>
      <c r="K14" s="106"/>
      <c r="L14" s="113"/>
      <c r="M14" s="112"/>
      <c r="N14" s="108"/>
      <c r="O14" s="108"/>
      <c r="P14" s="119"/>
      <c r="Q14" s="112"/>
      <c r="R14" s="114"/>
      <c r="S14" s="134"/>
    </row>
    <row r="15" spans="1:19" s="73" customFormat="1" ht="13.5">
      <c r="B15" s="104">
        <v>8</v>
      </c>
      <c r="C15" s="105"/>
      <c r="D15" s="119"/>
      <c r="E15" s="107"/>
      <c r="F15" s="107"/>
      <c r="G15" s="108"/>
      <c r="H15" s="109"/>
      <c r="I15" s="110">
        <v>8</v>
      </c>
      <c r="J15" s="118"/>
      <c r="K15" s="106"/>
      <c r="L15" s="113"/>
      <c r="M15" s="112"/>
      <c r="N15" s="108"/>
      <c r="O15" s="108"/>
      <c r="P15" s="119"/>
      <c r="Q15" s="112"/>
      <c r="R15" s="114"/>
      <c r="S15" s="134"/>
    </row>
    <row r="16" spans="1:19" s="73" customFormat="1" ht="13.5">
      <c r="B16" s="104">
        <v>9</v>
      </c>
      <c r="C16" s="105"/>
      <c r="D16" s="119"/>
      <c r="E16" s="107"/>
      <c r="F16" s="107"/>
      <c r="G16" s="108"/>
      <c r="H16" s="109"/>
      <c r="I16" s="110">
        <v>9</v>
      </c>
      <c r="J16" s="118"/>
      <c r="K16" s="106"/>
      <c r="L16" s="113"/>
      <c r="M16" s="112"/>
      <c r="N16" s="108"/>
      <c r="O16" s="108"/>
      <c r="P16" s="119"/>
      <c r="Q16" s="112"/>
      <c r="R16" s="114"/>
      <c r="S16" s="134"/>
    </row>
    <row r="17" spans="2:19" s="73" customFormat="1" ht="13.5">
      <c r="B17" s="104">
        <v>10</v>
      </c>
      <c r="C17" s="105"/>
      <c r="D17" s="119"/>
      <c r="E17" s="107"/>
      <c r="F17" s="107"/>
      <c r="G17" s="108"/>
      <c r="H17" s="109"/>
      <c r="I17" s="110">
        <v>10</v>
      </c>
      <c r="J17" s="117"/>
      <c r="K17" s="120"/>
      <c r="L17" s="113"/>
      <c r="M17" s="112"/>
      <c r="N17" s="108"/>
      <c r="O17" s="108"/>
      <c r="P17" s="112"/>
      <c r="Q17" s="112"/>
      <c r="R17" s="114"/>
      <c r="S17" s="134"/>
    </row>
    <row r="18" spans="2:19" s="73" customFormat="1" ht="14.25" thickBot="1">
      <c r="B18" s="129"/>
      <c r="C18" s="130"/>
      <c r="D18" s="131"/>
      <c r="E18" s="131"/>
      <c r="F18" s="131"/>
      <c r="G18" s="131"/>
      <c r="H18" s="132"/>
      <c r="I18" s="135"/>
      <c r="J18" s="130"/>
      <c r="K18" s="131"/>
      <c r="L18" s="130"/>
      <c r="M18" s="131"/>
      <c r="N18" s="131"/>
      <c r="O18" s="131"/>
      <c r="P18" s="131"/>
      <c r="Q18" s="131"/>
      <c r="R18" s="131"/>
      <c r="S18" s="136"/>
    </row>
    <row r="19" spans="2:19" ht="18.75" customHeight="1">
      <c r="B19" s="100"/>
      <c r="C19" s="100"/>
      <c r="D19" s="100"/>
      <c r="E19" s="100"/>
      <c r="F19" s="100"/>
      <c r="G19" s="100"/>
      <c r="H19" s="100"/>
      <c r="I19" s="100"/>
      <c r="J19" s="100"/>
      <c r="K19" s="100"/>
      <c r="L19" s="100"/>
      <c r="M19" s="100"/>
      <c r="N19" s="133"/>
      <c r="O19" s="133"/>
      <c r="P19" s="100"/>
      <c r="Q19" s="133"/>
      <c r="R19" s="133"/>
      <c r="S19" s="100"/>
    </row>
    <row r="20" spans="2:19" ht="18.75" customHeight="1">
      <c r="B20" s="51" t="s">
        <v>1025</v>
      </c>
      <c r="C20" s="73"/>
      <c r="D20" s="73"/>
      <c r="E20" s="73"/>
      <c r="F20" s="73"/>
      <c r="G20" s="73"/>
      <c r="H20" s="73"/>
      <c r="I20" s="73"/>
      <c r="J20" s="73"/>
      <c r="K20" s="73"/>
      <c r="L20" s="73"/>
      <c r="M20" s="73"/>
      <c r="N20" s="75"/>
      <c r="O20" s="75"/>
      <c r="P20" s="73"/>
      <c r="Q20" s="75"/>
      <c r="R20" s="75"/>
      <c r="S20" s="73"/>
    </row>
    <row r="21" spans="2:19" ht="18.75" customHeight="1">
      <c r="B21" s="976" t="s">
        <v>826</v>
      </c>
      <c r="C21" s="976"/>
      <c r="D21" s="976" t="s">
        <v>1029</v>
      </c>
      <c r="E21" s="976"/>
      <c r="F21" s="976"/>
      <c r="G21" s="976"/>
      <c r="H21" s="976"/>
      <c r="I21" s="976"/>
      <c r="J21" s="976"/>
      <c r="K21" s="976"/>
      <c r="L21" s="976"/>
      <c r="M21" s="976"/>
      <c r="N21" s="976"/>
      <c r="O21" s="976"/>
      <c r="P21" s="976"/>
      <c r="Q21" s="976"/>
      <c r="R21" s="976"/>
      <c r="S21" s="976"/>
    </row>
    <row r="22" spans="2:19" ht="22.5" customHeight="1">
      <c r="B22" s="977" t="s">
        <v>1033</v>
      </c>
      <c r="C22" s="978"/>
      <c r="D22" s="989"/>
      <c r="E22" s="990"/>
      <c r="F22" s="990"/>
      <c r="G22" s="990"/>
      <c r="H22" s="990"/>
      <c r="I22" s="990"/>
      <c r="J22" s="990"/>
      <c r="K22" s="990"/>
      <c r="L22" s="990"/>
      <c r="M22" s="990"/>
      <c r="N22" s="990"/>
      <c r="O22" s="990"/>
      <c r="P22" s="990"/>
      <c r="Q22" s="990"/>
      <c r="R22" s="990"/>
      <c r="S22" s="991"/>
    </row>
    <row r="23" spans="2:19" ht="24.75" customHeight="1">
      <c r="B23" s="1008" t="s">
        <v>1038</v>
      </c>
      <c r="C23" s="1009"/>
      <c r="D23" s="1010"/>
      <c r="E23" s="1011"/>
      <c r="F23" s="1011"/>
      <c r="G23" s="1011"/>
      <c r="H23" s="1011"/>
      <c r="I23" s="1011"/>
      <c r="J23" s="1011"/>
      <c r="K23" s="1011"/>
      <c r="L23" s="1011"/>
      <c r="M23" s="1011"/>
      <c r="N23" s="1011"/>
      <c r="O23" s="1011"/>
      <c r="P23" s="1011"/>
      <c r="Q23" s="1011"/>
      <c r="R23" s="1011"/>
      <c r="S23" s="1012"/>
    </row>
    <row r="24" spans="2:19" ht="18.75" customHeight="1">
      <c r="B24" s="75"/>
      <c r="C24" s="75"/>
      <c r="D24" s="75"/>
      <c r="E24" s="75"/>
      <c r="F24" s="75"/>
      <c r="G24" s="75"/>
      <c r="H24" s="75"/>
      <c r="I24" s="75"/>
      <c r="J24" s="75"/>
      <c r="K24" s="75"/>
      <c r="L24" s="75"/>
      <c r="M24" s="75"/>
      <c r="N24" s="75"/>
      <c r="O24" s="75"/>
      <c r="P24" s="75"/>
      <c r="Q24" s="75"/>
      <c r="R24" s="75"/>
      <c r="S24" s="75"/>
    </row>
    <row r="25" spans="2:19" ht="18.75" customHeight="1">
      <c r="B25" s="51" t="s">
        <v>1045</v>
      </c>
      <c r="C25" s="73"/>
      <c r="D25" s="73"/>
      <c r="E25" s="73"/>
      <c r="F25" s="73"/>
      <c r="G25" s="73"/>
      <c r="H25" s="73"/>
      <c r="I25" s="73"/>
      <c r="J25" s="73"/>
      <c r="K25" s="73"/>
      <c r="L25" s="73"/>
      <c r="M25" s="73"/>
      <c r="N25" s="75"/>
      <c r="O25" s="75"/>
      <c r="P25" s="73"/>
      <c r="Q25" s="75"/>
      <c r="R25" s="75"/>
      <c r="S25" s="73"/>
    </row>
    <row r="26" spans="2:19" ht="54" customHeight="1">
      <c r="B26" s="1014" t="s">
        <v>1049</v>
      </c>
      <c r="C26" s="1014"/>
      <c r="D26" s="1013"/>
      <c r="E26" s="1013"/>
      <c r="F26" s="1013"/>
      <c r="G26" s="1013"/>
      <c r="H26" s="1013"/>
      <c r="I26" s="1013"/>
      <c r="J26" s="1013"/>
      <c r="K26" s="1013"/>
      <c r="L26" s="1013"/>
      <c r="M26" s="1013"/>
      <c r="N26" s="1013"/>
      <c r="O26" s="1013"/>
      <c r="P26" s="1013"/>
      <c r="Q26" s="1013"/>
      <c r="R26" s="1013"/>
      <c r="S26" s="1013"/>
    </row>
    <row r="27" spans="2:19" ht="33" customHeight="1">
      <c r="B27" s="976" t="s">
        <v>1053</v>
      </c>
      <c r="C27" s="976"/>
      <c r="D27" s="1013"/>
      <c r="E27" s="1013"/>
      <c r="F27" s="1013"/>
      <c r="G27" s="1013"/>
      <c r="H27" s="1013"/>
      <c r="I27" s="1013"/>
      <c r="J27" s="1013"/>
      <c r="K27" s="1013"/>
      <c r="L27" s="1013"/>
      <c r="M27" s="1013"/>
      <c r="N27" s="1013"/>
      <c r="O27" s="1013"/>
      <c r="P27" s="1013"/>
      <c r="Q27" s="1013"/>
      <c r="R27" s="1013"/>
      <c r="S27" s="1013"/>
    </row>
    <row r="28" spans="2:19" ht="71.25" customHeight="1">
      <c r="B28" s="976" t="s">
        <v>1057</v>
      </c>
      <c r="C28" s="976"/>
      <c r="D28" s="1013"/>
      <c r="E28" s="1013"/>
      <c r="F28" s="1013"/>
      <c r="G28" s="1013"/>
      <c r="H28" s="1013"/>
      <c r="I28" s="1013"/>
      <c r="J28" s="1013"/>
      <c r="K28" s="1013"/>
      <c r="L28" s="1013"/>
      <c r="M28" s="1013"/>
      <c r="N28" s="1013"/>
      <c r="O28" s="1013"/>
      <c r="P28" s="1013"/>
      <c r="Q28" s="1013"/>
      <c r="R28" s="1013"/>
      <c r="S28" s="1013"/>
    </row>
    <row r="29" spans="2:19" ht="38.25" customHeight="1">
      <c r="B29" s="976" t="s">
        <v>1061</v>
      </c>
      <c r="C29" s="976"/>
      <c r="D29" s="1013"/>
      <c r="E29" s="1013"/>
      <c r="F29" s="1013"/>
      <c r="G29" s="1013"/>
      <c r="H29" s="1013"/>
      <c r="I29" s="1013"/>
      <c r="J29" s="1013"/>
      <c r="K29" s="1013"/>
      <c r="L29" s="1013"/>
      <c r="M29" s="1013"/>
      <c r="N29" s="1013"/>
      <c r="O29" s="1013"/>
      <c r="P29" s="1013"/>
      <c r="Q29" s="1013"/>
      <c r="R29" s="1013"/>
      <c r="S29" s="1013"/>
    </row>
    <row r="30" spans="2:19" s="73" customFormat="1" ht="15" customHeight="1"/>
    <row r="31" spans="2:19" s="73" customFormat="1" ht="15" customHeight="1"/>
    <row r="32" spans="2:19" s="73" customFormat="1" ht="15" customHeight="1"/>
    <row r="33" s="73" customFormat="1" ht="15" customHeight="1"/>
    <row r="34" s="73" customFormat="1" ht="15" customHeight="1"/>
    <row r="35" s="73" customFormat="1" ht="15" customHeight="1"/>
    <row r="36" s="73" customFormat="1" ht="15" customHeight="1"/>
    <row r="37" s="73" customFormat="1" ht="15" customHeight="1"/>
    <row r="38" s="73" customFormat="1" ht="15" customHeight="1"/>
    <row r="39" s="73" customFormat="1" ht="15" customHeight="1"/>
    <row r="40" s="73" customFormat="1" ht="15" customHeight="1"/>
    <row r="41" s="73" customFormat="1" ht="15" customHeight="1"/>
    <row r="42" s="73" customFormat="1" ht="15" customHeight="1"/>
    <row r="43" s="73" customFormat="1" ht="15" customHeight="1"/>
    <row r="44" s="73" customFormat="1" ht="15" customHeight="1"/>
    <row r="45" s="73" customFormat="1" ht="15" customHeight="1"/>
    <row r="46" s="73" customFormat="1" ht="15" customHeight="1"/>
    <row r="47" s="73" customFormat="1" ht="15" customHeight="1"/>
    <row r="48" s="73" customFormat="1" ht="15" customHeight="1"/>
    <row r="49" s="73" customFormat="1" ht="15" customHeight="1"/>
    <row r="50" s="73" customFormat="1" ht="15" customHeight="1"/>
    <row r="51" s="73" customFormat="1" ht="15" customHeight="1"/>
    <row r="52" s="73" customFormat="1" ht="15" customHeight="1"/>
    <row r="53" s="73" customFormat="1" ht="15" customHeight="1"/>
    <row r="54" s="73" customFormat="1" ht="15" customHeight="1"/>
    <row r="55" s="73" customFormat="1" ht="15" customHeight="1"/>
    <row r="56" s="73" customFormat="1" ht="15" customHeight="1"/>
    <row r="57" s="73" customFormat="1" ht="15" customHeight="1"/>
    <row r="58" s="73" customFormat="1" ht="15" customHeight="1"/>
    <row r="59" s="73" customFormat="1" ht="15" customHeight="1"/>
    <row r="60" s="73" customFormat="1" ht="15" customHeight="1"/>
    <row r="61" s="73" customFormat="1" ht="15" customHeight="1"/>
    <row r="62" s="73" customFormat="1" ht="15" customHeight="1"/>
    <row r="63" s="73" customFormat="1" ht="15" customHeight="1"/>
    <row r="64"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sheetData>
  <mergeCells count="25">
    <mergeCell ref="B23:C23"/>
    <mergeCell ref="D23:S23"/>
    <mergeCell ref="B29:C29"/>
    <mergeCell ref="D29:S29"/>
    <mergeCell ref="B26:C26"/>
    <mergeCell ref="D26:S26"/>
    <mergeCell ref="B27:C27"/>
    <mergeCell ref="D27:S27"/>
    <mergeCell ref="B28:C28"/>
    <mergeCell ref="D28:S28"/>
    <mergeCell ref="B2:I3"/>
    <mergeCell ref="K2:N2"/>
    <mergeCell ref="P2:S2"/>
    <mergeCell ref="K3:N3"/>
    <mergeCell ref="P3:S3"/>
    <mergeCell ref="B21:C21"/>
    <mergeCell ref="D21:S21"/>
    <mergeCell ref="B22:C22"/>
    <mergeCell ref="B5:H5"/>
    <mergeCell ref="I5:Q5"/>
    <mergeCell ref="R5:R7"/>
    <mergeCell ref="S5:S7"/>
    <mergeCell ref="C6:H6"/>
    <mergeCell ref="J6:Q6"/>
    <mergeCell ref="D22:S22"/>
  </mergeCells>
  <phoneticPr fontId="4" type="noConversion"/>
  <hyperlinks>
    <hyperlink ref="A1" location="List!A1" display="Top" xr:uid="{5FD69C0D-8EB6-4712-9D05-012446F5676C}"/>
  </hyperlinks>
  <pageMargins left="0.7" right="0.7" top="0.75" bottom="0.75" header="0.3" footer="0.3"/>
  <customProperties>
    <customPr name="_pios_id" r:id="rId1"/>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5273F-87AE-4032-888C-B3A257F853BE}">
  <dimension ref="A1:T71"/>
  <sheetViews>
    <sheetView showGridLines="0" zoomScale="85" zoomScaleNormal="85" workbookViewId="0">
      <selection activeCell="G21" sqref="G21"/>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0" ht="9.6" customHeight="1" thickBot="1">
      <c r="A1" s="67" t="s">
        <v>814</v>
      </c>
    </row>
    <row r="2" spans="1:20" ht="23.1" customHeight="1">
      <c r="B2" s="992" t="s">
        <v>2010</v>
      </c>
      <c r="C2" s="993"/>
      <c r="D2" s="993"/>
      <c r="E2" s="993"/>
      <c r="F2" s="993"/>
      <c r="G2" s="993"/>
      <c r="H2" s="993"/>
      <c r="I2" s="994"/>
      <c r="J2" s="70" t="s">
        <v>816</v>
      </c>
      <c r="K2" s="998" t="s">
        <v>145</v>
      </c>
      <c r="L2" s="999"/>
      <c r="M2" s="999"/>
      <c r="N2" s="1000"/>
      <c r="O2" s="70" t="s">
        <v>817</v>
      </c>
      <c r="P2" s="1001" t="s">
        <v>818</v>
      </c>
      <c r="Q2" s="1001"/>
      <c r="R2" s="1001"/>
      <c r="S2" s="1002"/>
      <c r="T2" s="71"/>
    </row>
    <row r="3" spans="1:20"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0" ht="26.1" customHeight="1" thickBot="1">
      <c r="B4" s="74" t="s">
        <v>822</v>
      </c>
      <c r="C4" s="73"/>
      <c r="D4" s="73"/>
      <c r="E4" s="73"/>
      <c r="F4" s="73"/>
      <c r="G4" s="73"/>
      <c r="H4" s="73"/>
      <c r="I4" s="73"/>
      <c r="J4" s="73"/>
      <c r="K4" s="73"/>
      <c r="L4" s="73"/>
      <c r="M4" s="73"/>
      <c r="N4" s="75"/>
      <c r="O4" s="75"/>
      <c r="P4" s="73"/>
      <c r="Q4" s="75"/>
      <c r="R4" s="75"/>
      <c r="S4" s="73"/>
      <c r="T4" s="73"/>
    </row>
    <row r="5" spans="1:20">
      <c r="B5" s="979" t="s">
        <v>823</v>
      </c>
      <c r="C5" s="980"/>
      <c r="D5" s="980"/>
      <c r="E5" s="980"/>
      <c r="F5" s="980"/>
      <c r="G5" s="980"/>
      <c r="H5" s="981"/>
      <c r="I5" s="982" t="s">
        <v>1390</v>
      </c>
      <c r="J5" s="980"/>
      <c r="K5" s="980"/>
      <c r="L5" s="980"/>
      <c r="M5" s="980"/>
      <c r="N5" s="980"/>
      <c r="O5" s="980"/>
      <c r="P5" s="980"/>
      <c r="Q5" s="980"/>
      <c r="R5" s="983" t="s">
        <v>825</v>
      </c>
      <c r="S5" s="985" t="s">
        <v>826</v>
      </c>
      <c r="T5" s="73"/>
    </row>
    <row r="6" spans="1:20" ht="32.1" customHeight="1">
      <c r="B6" s="78" t="s">
        <v>828</v>
      </c>
      <c r="C6" s="987"/>
      <c r="D6" s="984"/>
      <c r="E6" s="984"/>
      <c r="F6" s="984"/>
      <c r="G6" s="984"/>
      <c r="H6" s="986"/>
      <c r="I6" s="102" t="s">
        <v>829</v>
      </c>
      <c r="J6" s="988" t="s">
        <v>830</v>
      </c>
      <c r="K6" s="984"/>
      <c r="L6" s="984"/>
      <c r="M6" s="984"/>
      <c r="N6" s="984"/>
      <c r="O6" s="984"/>
      <c r="P6" s="984"/>
      <c r="Q6" s="984"/>
      <c r="R6" s="984"/>
      <c r="S6" s="986"/>
      <c r="T6" s="73"/>
    </row>
    <row r="7" spans="1:20"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row>
    <row r="8" spans="1:20" s="73" customFormat="1" ht="13.5">
      <c r="B8" s="104">
        <v>1</v>
      </c>
      <c r="C8" s="105" t="s">
        <v>1486</v>
      </c>
      <c r="D8" s="119"/>
      <c r="E8" s="107" t="s">
        <v>845</v>
      </c>
      <c r="F8" s="107">
        <v>5</v>
      </c>
      <c r="G8" s="108" t="s">
        <v>1487</v>
      </c>
      <c r="H8" s="109" t="s">
        <v>1487</v>
      </c>
      <c r="I8" s="110">
        <v>1</v>
      </c>
      <c r="J8" s="117"/>
      <c r="K8" s="112"/>
      <c r="L8" s="113"/>
      <c r="M8" s="112"/>
      <c r="N8" s="114"/>
      <c r="O8" s="114"/>
      <c r="P8" s="112"/>
      <c r="Q8" s="112"/>
      <c r="R8" s="114"/>
      <c r="S8" s="134"/>
    </row>
    <row r="9" spans="1:20" s="73" customFormat="1" ht="13.5">
      <c r="B9" s="104">
        <v>2</v>
      </c>
      <c r="C9" s="105" t="s">
        <v>2011</v>
      </c>
      <c r="D9" s="119" t="s">
        <v>42</v>
      </c>
      <c r="E9" s="107" t="s">
        <v>845</v>
      </c>
      <c r="F9" s="107">
        <v>1</v>
      </c>
      <c r="G9" s="108" t="s">
        <v>2012</v>
      </c>
      <c r="H9" s="109" t="s">
        <v>2013</v>
      </c>
      <c r="I9" s="110">
        <v>2</v>
      </c>
      <c r="J9" s="117" t="s">
        <v>2014</v>
      </c>
      <c r="K9" s="119" t="s">
        <v>42</v>
      </c>
      <c r="L9" s="113" t="s">
        <v>1354</v>
      </c>
      <c r="M9" s="112">
        <v>1000</v>
      </c>
      <c r="N9" s="114" t="s">
        <v>2012</v>
      </c>
      <c r="O9" s="114" t="s">
        <v>2013</v>
      </c>
      <c r="P9" s="112"/>
      <c r="Q9" s="112"/>
      <c r="R9" s="114"/>
      <c r="S9" s="134"/>
      <c r="T9" s="71"/>
    </row>
    <row r="10" spans="1:20" s="73" customFormat="1" ht="13.5">
      <c r="B10" s="104">
        <v>3</v>
      </c>
      <c r="C10" s="105" t="s">
        <v>2015</v>
      </c>
      <c r="D10" s="119" t="s">
        <v>42</v>
      </c>
      <c r="E10" s="107" t="s">
        <v>845</v>
      </c>
      <c r="F10" s="107">
        <v>2</v>
      </c>
      <c r="G10" s="108" t="s">
        <v>2016</v>
      </c>
      <c r="H10" s="109" t="s">
        <v>2017</v>
      </c>
      <c r="I10" s="110">
        <v>3</v>
      </c>
      <c r="J10" s="117" t="s">
        <v>2018</v>
      </c>
      <c r="K10" s="119" t="s">
        <v>42</v>
      </c>
      <c r="L10" s="113" t="s">
        <v>1354</v>
      </c>
      <c r="M10" s="112">
        <v>1000</v>
      </c>
      <c r="N10" s="114" t="s">
        <v>2016</v>
      </c>
      <c r="O10" s="114" t="s">
        <v>2017</v>
      </c>
      <c r="P10" s="112"/>
      <c r="Q10" s="112"/>
      <c r="R10" s="114"/>
      <c r="S10" s="134"/>
      <c r="T10" s="71"/>
    </row>
    <row r="11" spans="1:20" s="73" customFormat="1" ht="13.5">
      <c r="B11" s="104">
        <v>4</v>
      </c>
      <c r="C11" s="105" t="s">
        <v>2019</v>
      </c>
      <c r="D11" s="119" t="s">
        <v>42</v>
      </c>
      <c r="E11" s="107" t="s">
        <v>845</v>
      </c>
      <c r="F11" s="107">
        <v>10</v>
      </c>
      <c r="G11" s="108" t="s">
        <v>2020</v>
      </c>
      <c r="H11" s="109" t="s">
        <v>2021</v>
      </c>
      <c r="I11" s="110">
        <v>4</v>
      </c>
      <c r="J11" s="118" t="s">
        <v>2022</v>
      </c>
      <c r="K11" s="119" t="s">
        <v>42</v>
      </c>
      <c r="L11" s="113" t="s">
        <v>1354</v>
      </c>
      <c r="M11" s="112">
        <v>1000</v>
      </c>
      <c r="N11" s="108" t="s">
        <v>2020</v>
      </c>
      <c r="O11" s="108" t="s">
        <v>2021</v>
      </c>
      <c r="P11" s="119"/>
      <c r="Q11" s="119"/>
      <c r="R11" s="108"/>
      <c r="S11" s="134"/>
    </row>
    <row r="12" spans="1:20" s="73" customFormat="1" ht="13.5">
      <c r="B12" s="104">
        <v>5</v>
      </c>
      <c r="C12" s="105" t="s">
        <v>2023</v>
      </c>
      <c r="D12" s="119" t="s">
        <v>42</v>
      </c>
      <c r="E12" s="107" t="s">
        <v>2024</v>
      </c>
      <c r="F12" s="107">
        <v>6</v>
      </c>
      <c r="G12" s="108" t="s">
        <v>2025</v>
      </c>
      <c r="H12" s="109" t="s">
        <v>2026</v>
      </c>
      <c r="I12" s="110">
        <v>5</v>
      </c>
      <c r="J12" s="118" t="s">
        <v>2027</v>
      </c>
      <c r="K12" s="119" t="s">
        <v>42</v>
      </c>
      <c r="L12" s="113" t="s">
        <v>1354</v>
      </c>
      <c r="M12" s="112">
        <v>1000</v>
      </c>
      <c r="N12" s="108" t="s">
        <v>2025</v>
      </c>
      <c r="O12" s="108" t="s">
        <v>2026</v>
      </c>
      <c r="P12" s="119"/>
      <c r="Q12" s="119"/>
      <c r="R12" s="108"/>
      <c r="S12" s="134"/>
    </row>
    <row r="13" spans="1:20" s="73" customFormat="1" ht="13.5">
      <c r="B13" s="104">
        <v>6</v>
      </c>
      <c r="C13" s="105" t="s">
        <v>2028</v>
      </c>
      <c r="D13" s="119" t="s">
        <v>42</v>
      </c>
      <c r="E13" s="107" t="s">
        <v>845</v>
      </c>
      <c r="F13" s="107">
        <v>10</v>
      </c>
      <c r="G13" s="108" t="s">
        <v>2029</v>
      </c>
      <c r="H13" s="109" t="s">
        <v>2030</v>
      </c>
      <c r="I13" s="110">
        <v>6</v>
      </c>
      <c r="J13" s="118" t="s">
        <v>2031</v>
      </c>
      <c r="K13" s="119" t="s">
        <v>42</v>
      </c>
      <c r="L13" s="113" t="s">
        <v>1354</v>
      </c>
      <c r="M13" s="112">
        <v>1000</v>
      </c>
      <c r="N13" s="108" t="s">
        <v>2029</v>
      </c>
      <c r="O13" s="108" t="s">
        <v>2030</v>
      </c>
      <c r="P13" s="119"/>
      <c r="Q13" s="112"/>
      <c r="R13" s="114"/>
      <c r="S13" s="134"/>
    </row>
    <row r="14" spans="1:20" s="73" customFormat="1" ht="13.5">
      <c r="B14" s="104">
        <v>7</v>
      </c>
      <c r="C14" s="105" t="s">
        <v>2032</v>
      </c>
      <c r="D14" s="119" t="s">
        <v>42</v>
      </c>
      <c r="E14" s="107" t="s">
        <v>2024</v>
      </c>
      <c r="F14" s="107">
        <v>6</v>
      </c>
      <c r="G14" s="108" t="s">
        <v>2033</v>
      </c>
      <c r="H14" s="109" t="s">
        <v>2030</v>
      </c>
      <c r="I14" s="110">
        <v>7</v>
      </c>
      <c r="J14" s="118" t="s">
        <v>2034</v>
      </c>
      <c r="K14" s="119" t="s">
        <v>42</v>
      </c>
      <c r="L14" s="113" t="s">
        <v>1354</v>
      </c>
      <c r="M14" s="112">
        <v>1000</v>
      </c>
      <c r="N14" s="108" t="s">
        <v>2033</v>
      </c>
      <c r="O14" s="108" t="s">
        <v>2030</v>
      </c>
      <c r="P14" s="119"/>
      <c r="Q14" s="112"/>
      <c r="R14" s="114"/>
      <c r="S14" s="134"/>
    </row>
    <row r="15" spans="1:20" s="73" customFormat="1" ht="13.5">
      <c r="B15" s="104">
        <v>8</v>
      </c>
      <c r="C15" s="105" t="s">
        <v>2035</v>
      </c>
      <c r="D15" s="119" t="s">
        <v>42</v>
      </c>
      <c r="E15" s="107" t="s">
        <v>845</v>
      </c>
      <c r="F15" s="107">
        <v>10</v>
      </c>
      <c r="G15" s="108" t="s">
        <v>2036</v>
      </c>
      <c r="H15" s="109" t="s">
        <v>2037</v>
      </c>
      <c r="I15" s="110">
        <v>8</v>
      </c>
      <c r="J15" s="118" t="s">
        <v>2038</v>
      </c>
      <c r="K15" s="119" t="s">
        <v>42</v>
      </c>
      <c r="L15" s="113" t="s">
        <v>1354</v>
      </c>
      <c r="M15" s="112">
        <v>1000</v>
      </c>
      <c r="N15" s="108" t="s">
        <v>2036</v>
      </c>
      <c r="O15" s="108" t="s">
        <v>2037</v>
      </c>
      <c r="P15" s="119"/>
      <c r="Q15" s="112"/>
      <c r="R15" s="114"/>
      <c r="S15" s="134"/>
    </row>
    <row r="16" spans="1:20" s="73" customFormat="1" ht="13.5">
      <c r="B16" s="104">
        <v>9</v>
      </c>
      <c r="C16" s="105" t="s">
        <v>2039</v>
      </c>
      <c r="D16" s="119" t="s">
        <v>42</v>
      </c>
      <c r="E16" s="107" t="s">
        <v>2024</v>
      </c>
      <c r="F16" s="107">
        <v>4</v>
      </c>
      <c r="G16" s="108" t="s">
        <v>2040</v>
      </c>
      <c r="H16" s="109" t="s">
        <v>2041</v>
      </c>
      <c r="I16" s="110">
        <v>9</v>
      </c>
      <c r="J16" s="118" t="s">
        <v>2042</v>
      </c>
      <c r="K16" s="119" t="s">
        <v>42</v>
      </c>
      <c r="L16" s="113" t="s">
        <v>1354</v>
      </c>
      <c r="M16" s="112">
        <v>1000</v>
      </c>
      <c r="N16" s="108" t="s">
        <v>2040</v>
      </c>
      <c r="O16" s="108" t="s">
        <v>2041</v>
      </c>
      <c r="P16" s="119"/>
      <c r="Q16" s="112"/>
      <c r="R16" s="114"/>
      <c r="S16" s="134"/>
    </row>
    <row r="17" spans="2:19" s="73" customFormat="1" ht="13.5">
      <c r="B17" s="104">
        <v>10</v>
      </c>
      <c r="C17" s="105" t="s">
        <v>2043</v>
      </c>
      <c r="D17" s="119"/>
      <c r="E17" s="107" t="s">
        <v>913</v>
      </c>
      <c r="F17" s="107">
        <v>8</v>
      </c>
      <c r="G17" s="108" t="s">
        <v>914</v>
      </c>
      <c r="H17" s="109" t="s">
        <v>915</v>
      </c>
      <c r="I17" s="110">
        <v>10</v>
      </c>
      <c r="J17" s="117" t="s">
        <v>2044</v>
      </c>
      <c r="K17" s="112"/>
      <c r="L17" s="113" t="s">
        <v>1354</v>
      </c>
      <c r="M17" s="112">
        <v>1000</v>
      </c>
      <c r="N17" s="108" t="s">
        <v>914</v>
      </c>
      <c r="O17" s="108" t="s">
        <v>915</v>
      </c>
      <c r="P17" s="112"/>
      <c r="Q17" s="112"/>
      <c r="R17" s="114"/>
      <c r="S17" s="134"/>
    </row>
    <row r="18" spans="2:19" s="73" customFormat="1" ht="13.5">
      <c r="B18" s="104">
        <v>11</v>
      </c>
      <c r="C18" s="105" t="s">
        <v>2045</v>
      </c>
      <c r="D18" s="119"/>
      <c r="E18" s="107" t="s">
        <v>845</v>
      </c>
      <c r="F18" s="107">
        <v>15</v>
      </c>
      <c r="G18" s="108" t="s">
        <v>2046</v>
      </c>
      <c r="H18" s="109" t="s">
        <v>2047</v>
      </c>
      <c r="I18" s="110">
        <v>11</v>
      </c>
      <c r="J18" s="117" t="s">
        <v>2048</v>
      </c>
      <c r="K18" s="112"/>
      <c r="L18" s="113" t="s">
        <v>1354</v>
      </c>
      <c r="M18" s="112">
        <v>1000</v>
      </c>
      <c r="N18" s="114" t="s">
        <v>2046</v>
      </c>
      <c r="O18" s="114" t="s">
        <v>2047</v>
      </c>
      <c r="P18" s="112"/>
      <c r="Q18" s="112"/>
      <c r="R18" s="114"/>
      <c r="S18" s="134"/>
    </row>
    <row r="19" spans="2:19" s="73" customFormat="1" ht="13.5">
      <c r="B19" s="104">
        <v>12</v>
      </c>
      <c r="C19" s="121" t="s">
        <v>2049</v>
      </c>
      <c r="D19" s="119"/>
      <c r="E19" s="107" t="s">
        <v>913</v>
      </c>
      <c r="F19" s="107">
        <v>8</v>
      </c>
      <c r="G19" s="108" t="s">
        <v>914</v>
      </c>
      <c r="H19" s="109" t="s">
        <v>915</v>
      </c>
      <c r="I19" s="110">
        <v>12</v>
      </c>
      <c r="J19" s="117" t="s">
        <v>2050</v>
      </c>
      <c r="K19" s="112"/>
      <c r="L19" s="113" t="s">
        <v>1354</v>
      </c>
      <c r="M19" s="112">
        <v>1000</v>
      </c>
      <c r="N19" s="114" t="s">
        <v>914</v>
      </c>
      <c r="O19" s="114" t="s">
        <v>915</v>
      </c>
      <c r="P19" s="112"/>
      <c r="Q19" s="112"/>
      <c r="R19" s="114"/>
      <c r="S19" s="134"/>
    </row>
    <row r="20" spans="2:19" s="73" customFormat="1" ht="13.5">
      <c r="B20" s="104">
        <v>13</v>
      </c>
      <c r="C20" s="121" t="s">
        <v>2051</v>
      </c>
      <c r="D20" s="119"/>
      <c r="E20" s="107" t="s">
        <v>845</v>
      </c>
      <c r="F20" s="107">
        <v>15</v>
      </c>
      <c r="G20" s="108" t="s">
        <v>2052</v>
      </c>
      <c r="H20" s="109" t="s">
        <v>2053</v>
      </c>
      <c r="I20" s="110">
        <v>13</v>
      </c>
      <c r="J20" s="117" t="s">
        <v>2054</v>
      </c>
      <c r="K20" s="112"/>
      <c r="L20" s="113" t="s">
        <v>1354</v>
      </c>
      <c r="M20" s="112">
        <v>1000</v>
      </c>
      <c r="N20" s="114" t="s">
        <v>2052</v>
      </c>
      <c r="O20" s="114" t="s">
        <v>2053</v>
      </c>
      <c r="P20" s="112"/>
      <c r="Q20" s="112"/>
      <c r="R20" s="114"/>
      <c r="S20" s="134"/>
    </row>
    <row r="21" spans="2:19" s="73" customFormat="1" ht="40.5">
      <c r="B21" s="104">
        <v>14</v>
      </c>
      <c r="C21" s="121" t="s">
        <v>2055</v>
      </c>
      <c r="D21" s="119"/>
      <c r="E21" s="107" t="s">
        <v>845</v>
      </c>
      <c r="F21" s="107">
        <v>35</v>
      </c>
      <c r="G21" s="108" t="s">
        <v>2056</v>
      </c>
      <c r="H21" s="109" t="s">
        <v>2057</v>
      </c>
      <c r="I21" s="110">
        <v>14</v>
      </c>
      <c r="J21" s="118" t="s">
        <v>2058</v>
      </c>
      <c r="K21" s="119"/>
      <c r="L21" s="113" t="s">
        <v>1354</v>
      </c>
      <c r="M21" s="112">
        <v>1000</v>
      </c>
      <c r="N21" s="108" t="s">
        <v>2056</v>
      </c>
      <c r="O21" s="108" t="s">
        <v>2057</v>
      </c>
      <c r="P21" s="119"/>
      <c r="Q21" s="119"/>
      <c r="R21" s="108"/>
      <c r="S21" s="134"/>
    </row>
    <row r="22" spans="2:19" s="73" customFormat="1" ht="13.5">
      <c r="B22" s="104">
        <v>15</v>
      </c>
      <c r="C22" s="121" t="s">
        <v>2059</v>
      </c>
      <c r="D22" s="119"/>
      <c r="E22" s="107" t="s">
        <v>913</v>
      </c>
      <c r="F22" s="107">
        <v>8</v>
      </c>
      <c r="G22" s="108" t="s">
        <v>2060</v>
      </c>
      <c r="H22" s="109" t="s">
        <v>2061</v>
      </c>
      <c r="I22" s="110">
        <v>15</v>
      </c>
      <c r="J22" s="118" t="s">
        <v>2062</v>
      </c>
      <c r="K22" s="119"/>
      <c r="L22" s="113" t="s">
        <v>1354</v>
      </c>
      <c r="M22" s="112">
        <v>1000</v>
      </c>
      <c r="N22" s="108" t="s">
        <v>2060</v>
      </c>
      <c r="O22" s="108" t="s">
        <v>2061</v>
      </c>
      <c r="P22" s="119"/>
      <c r="Q22" s="119"/>
      <c r="R22" s="108"/>
      <c r="S22" s="134"/>
    </row>
    <row r="23" spans="2:19" s="73" customFormat="1" ht="13.5">
      <c r="B23" s="104">
        <v>16</v>
      </c>
      <c r="C23" s="121" t="s">
        <v>2063</v>
      </c>
      <c r="D23" s="119"/>
      <c r="E23" s="107" t="s">
        <v>845</v>
      </c>
      <c r="F23" s="107">
        <v>15</v>
      </c>
      <c r="G23" s="108" t="s">
        <v>2064</v>
      </c>
      <c r="H23" s="109" t="s">
        <v>2065</v>
      </c>
      <c r="I23" s="110">
        <v>16</v>
      </c>
      <c r="J23" s="105" t="s">
        <v>2066</v>
      </c>
      <c r="K23" s="119"/>
      <c r="L23" s="113" t="s">
        <v>1354</v>
      </c>
      <c r="M23" s="112">
        <v>1000</v>
      </c>
      <c r="N23" s="114" t="s">
        <v>2064</v>
      </c>
      <c r="O23" s="114" t="s">
        <v>2065</v>
      </c>
      <c r="P23" s="119"/>
      <c r="Q23" s="119"/>
      <c r="R23" s="108"/>
      <c r="S23" s="134"/>
    </row>
    <row r="24" spans="2:19" s="73" customFormat="1" ht="13.5">
      <c r="B24" s="104">
        <v>17</v>
      </c>
      <c r="C24" s="121" t="s">
        <v>1098</v>
      </c>
      <c r="D24" s="119"/>
      <c r="E24" s="107" t="s">
        <v>1581</v>
      </c>
      <c r="F24" s="107">
        <v>3</v>
      </c>
      <c r="G24" s="108" t="s">
        <v>2067</v>
      </c>
      <c r="H24" s="109" t="s">
        <v>1100</v>
      </c>
      <c r="I24" s="110">
        <v>17</v>
      </c>
      <c r="J24" s="105" t="s">
        <v>1101</v>
      </c>
      <c r="K24" s="119"/>
      <c r="L24" s="113" t="s">
        <v>1354</v>
      </c>
      <c r="M24" s="112">
        <v>1000</v>
      </c>
      <c r="N24" s="114" t="s">
        <v>2067</v>
      </c>
      <c r="O24" s="114" t="s">
        <v>1100</v>
      </c>
      <c r="P24" s="119"/>
      <c r="Q24" s="119"/>
      <c r="R24" s="108"/>
      <c r="S24" s="134"/>
    </row>
    <row r="25" spans="2:19" s="73" customFormat="1" ht="27">
      <c r="B25" s="104">
        <v>18</v>
      </c>
      <c r="C25" s="121" t="s">
        <v>2068</v>
      </c>
      <c r="D25" s="119"/>
      <c r="E25" s="107" t="s">
        <v>913</v>
      </c>
      <c r="F25" s="107">
        <v>8</v>
      </c>
      <c r="G25" s="108" t="s">
        <v>2069</v>
      </c>
      <c r="H25" s="109" t="s">
        <v>2070</v>
      </c>
      <c r="I25" s="110">
        <v>18</v>
      </c>
      <c r="J25" s="105" t="s">
        <v>2071</v>
      </c>
      <c r="K25" s="119"/>
      <c r="L25" s="113" t="s">
        <v>1354</v>
      </c>
      <c r="M25" s="112">
        <v>1000</v>
      </c>
      <c r="N25" s="114" t="s">
        <v>2069</v>
      </c>
      <c r="O25" s="114" t="s">
        <v>2070</v>
      </c>
      <c r="P25" s="119"/>
      <c r="Q25" s="119"/>
      <c r="R25" s="108"/>
      <c r="S25" s="134"/>
    </row>
    <row r="26" spans="2:19" s="73" customFormat="1" ht="13.5">
      <c r="B26" s="104">
        <v>19</v>
      </c>
      <c r="C26" s="121" t="s">
        <v>2072</v>
      </c>
      <c r="D26" s="119"/>
      <c r="E26" s="107" t="s">
        <v>913</v>
      </c>
      <c r="F26" s="107">
        <v>8</v>
      </c>
      <c r="G26" s="108" t="s">
        <v>2072</v>
      </c>
      <c r="H26" s="109" t="s">
        <v>2072</v>
      </c>
      <c r="I26" s="110">
        <v>19</v>
      </c>
      <c r="J26" s="105" t="s">
        <v>2072</v>
      </c>
      <c r="K26" s="119"/>
      <c r="L26" s="113" t="s">
        <v>1354</v>
      </c>
      <c r="M26" s="112">
        <v>1000</v>
      </c>
      <c r="N26" s="114" t="s">
        <v>2072</v>
      </c>
      <c r="O26" s="114" t="s">
        <v>2072</v>
      </c>
      <c r="P26" s="119"/>
      <c r="Q26" s="119"/>
      <c r="R26" s="108"/>
      <c r="S26" s="134"/>
    </row>
    <row r="27" spans="2:19" s="73" customFormat="1" ht="13.5">
      <c r="B27" s="104">
        <v>20</v>
      </c>
      <c r="C27" s="121" t="s">
        <v>2073</v>
      </c>
      <c r="D27" s="119"/>
      <c r="E27" s="107" t="s">
        <v>913</v>
      </c>
      <c r="F27" s="107">
        <v>8</v>
      </c>
      <c r="G27" s="108" t="s">
        <v>2073</v>
      </c>
      <c r="H27" s="109" t="s">
        <v>2073</v>
      </c>
      <c r="I27" s="110">
        <v>20</v>
      </c>
      <c r="J27" s="105" t="s">
        <v>2073</v>
      </c>
      <c r="K27" s="119"/>
      <c r="L27" s="113" t="s">
        <v>1354</v>
      </c>
      <c r="M27" s="112">
        <v>1000</v>
      </c>
      <c r="N27" s="114" t="s">
        <v>2073</v>
      </c>
      <c r="O27" s="114" t="s">
        <v>2073</v>
      </c>
      <c r="P27" s="119"/>
      <c r="Q27" s="119"/>
      <c r="R27" s="108"/>
      <c r="S27" s="134"/>
    </row>
    <row r="28" spans="2:19" s="73" customFormat="1" ht="13.5">
      <c r="B28" s="104">
        <v>21</v>
      </c>
      <c r="C28" s="121" t="s">
        <v>2074</v>
      </c>
      <c r="D28" s="119"/>
      <c r="E28" s="107" t="s">
        <v>913</v>
      </c>
      <c r="F28" s="107">
        <v>8</v>
      </c>
      <c r="G28" s="108" t="s">
        <v>2074</v>
      </c>
      <c r="H28" s="109" t="s">
        <v>2074</v>
      </c>
      <c r="I28" s="110">
        <v>21</v>
      </c>
      <c r="J28" s="105" t="s">
        <v>2074</v>
      </c>
      <c r="K28" s="119"/>
      <c r="L28" s="113" t="s">
        <v>1354</v>
      </c>
      <c r="M28" s="112">
        <v>1000</v>
      </c>
      <c r="N28" s="114" t="s">
        <v>2074</v>
      </c>
      <c r="O28" s="114" t="s">
        <v>2074</v>
      </c>
      <c r="P28" s="119"/>
      <c r="Q28" s="119"/>
      <c r="R28" s="108"/>
      <c r="S28" s="134"/>
    </row>
    <row r="29" spans="2:19" s="73" customFormat="1" ht="13.5">
      <c r="B29" s="104">
        <v>22</v>
      </c>
      <c r="C29" s="121" t="s">
        <v>2075</v>
      </c>
      <c r="D29" s="119"/>
      <c r="E29" s="107" t="s">
        <v>845</v>
      </c>
      <c r="F29" s="107">
        <v>35</v>
      </c>
      <c r="G29" s="108" t="s">
        <v>2076</v>
      </c>
      <c r="H29" s="109" t="s">
        <v>2077</v>
      </c>
      <c r="I29" s="110">
        <v>22</v>
      </c>
      <c r="J29" s="105" t="s">
        <v>2078</v>
      </c>
      <c r="K29" s="119"/>
      <c r="L29" s="113" t="s">
        <v>1354</v>
      </c>
      <c r="M29" s="112">
        <v>1000</v>
      </c>
      <c r="N29" s="114" t="s">
        <v>2076</v>
      </c>
      <c r="O29" s="114" t="s">
        <v>2077</v>
      </c>
      <c r="P29" s="119"/>
      <c r="Q29" s="119"/>
      <c r="R29" s="108"/>
      <c r="S29" s="134"/>
    </row>
    <row r="30" spans="2:19" s="73" customFormat="1" ht="13.5">
      <c r="B30" s="104">
        <v>23</v>
      </c>
      <c r="C30" s="121" t="s">
        <v>899</v>
      </c>
      <c r="D30" s="119"/>
      <c r="E30" s="107" t="s">
        <v>845</v>
      </c>
      <c r="F30" s="107">
        <v>1</v>
      </c>
      <c r="G30" s="108" t="s">
        <v>900</v>
      </c>
      <c r="H30" s="109" t="s">
        <v>901</v>
      </c>
      <c r="I30" s="110">
        <v>23</v>
      </c>
      <c r="J30" s="105" t="s">
        <v>2079</v>
      </c>
      <c r="K30" s="119"/>
      <c r="L30" s="113" t="s">
        <v>1354</v>
      </c>
      <c r="M30" s="112">
        <v>1000</v>
      </c>
      <c r="N30" s="114" t="s">
        <v>900</v>
      </c>
      <c r="O30" s="114" t="s">
        <v>901</v>
      </c>
      <c r="P30" s="119"/>
      <c r="Q30" s="119"/>
      <c r="R30" s="108"/>
      <c r="S30" s="134"/>
    </row>
    <row r="31" spans="2:19" s="73" customFormat="1" ht="13.5">
      <c r="B31" s="104">
        <v>24</v>
      </c>
      <c r="C31" s="121" t="s">
        <v>2080</v>
      </c>
      <c r="D31" s="119"/>
      <c r="E31" s="107" t="s">
        <v>845</v>
      </c>
      <c r="F31" s="107">
        <v>4</v>
      </c>
      <c r="G31" s="108" t="s">
        <v>2081</v>
      </c>
      <c r="H31" s="109" t="s">
        <v>2082</v>
      </c>
      <c r="I31" s="110">
        <v>24</v>
      </c>
      <c r="J31" s="105" t="s">
        <v>2083</v>
      </c>
      <c r="K31" s="119"/>
      <c r="L31" s="113" t="s">
        <v>1354</v>
      </c>
      <c r="M31" s="112">
        <v>1000</v>
      </c>
      <c r="N31" s="114" t="s">
        <v>2081</v>
      </c>
      <c r="O31" s="114" t="s">
        <v>2082</v>
      </c>
      <c r="P31" s="119"/>
      <c r="Q31" s="119"/>
      <c r="R31" s="108"/>
      <c r="S31" s="134"/>
    </row>
    <row r="32" spans="2:19" s="73" customFormat="1" ht="13.5">
      <c r="B32" s="104">
        <v>25</v>
      </c>
      <c r="C32" s="121" t="s">
        <v>2084</v>
      </c>
      <c r="D32" s="119"/>
      <c r="E32" s="107" t="s">
        <v>845</v>
      </c>
      <c r="F32" s="107">
        <v>18</v>
      </c>
      <c r="G32" s="108" t="s">
        <v>1069</v>
      </c>
      <c r="H32" s="109" t="s">
        <v>1070</v>
      </c>
      <c r="I32" s="110">
        <v>25</v>
      </c>
      <c r="J32" s="105" t="s">
        <v>1271</v>
      </c>
      <c r="K32" s="119"/>
      <c r="L32" s="113" t="s">
        <v>1354</v>
      </c>
      <c r="M32" s="112">
        <v>1000</v>
      </c>
      <c r="N32" s="114" t="s">
        <v>1597</v>
      </c>
      <c r="O32" s="114" t="s">
        <v>1070</v>
      </c>
      <c r="P32" s="119"/>
      <c r="Q32" s="119"/>
      <c r="R32" s="108"/>
      <c r="S32" s="134"/>
    </row>
    <row r="33" spans="2:20" s="73" customFormat="1" ht="13.5">
      <c r="B33" s="104">
        <v>26</v>
      </c>
      <c r="C33" s="121"/>
      <c r="D33" s="119"/>
      <c r="E33" s="107"/>
      <c r="F33" s="107"/>
      <c r="G33" s="108"/>
      <c r="H33" s="109"/>
      <c r="I33" s="110">
        <v>26</v>
      </c>
      <c r="J33" s="105"/>
      <c r="K33" s="119"/>
      <c r="L33" s="113"/>
      <c r="M33" s="112"/>
      <c r="N33" s="114"/>
      <c r="O33" s="114"/>
      <c r="P33" s="119"/>
      <c r="Q33" s="119"/>
      <c r="R33" s="108"/>
      <c r="S33" s="134"/>
    </row>
    <row r="34" spans="2:20" s="73" customFormat="1" ht="13.5">
      <c r="B34" s="104">
        <v>27</v>
      </c>
      <c r="C34" s="121"/>
      <c r="D34" s="119"/>
      <c r="E34" s="107" t="s">
        <v>845</v>
      </c>
      <c r="F34" s="107">
        <v>20</v>
      </c>
      <c r="G34" s="932" t="s">
        <v>2085</v>
      </c>
      <c r="H34" s="190" t="s">
        <v>2086</v>
      </c>
      <c r="I34" s="110">
        <v>27</v>
      </c>
      <c r="J34" s="105" t="s">
        <v>2087</v>
      </c>
      <c r="K34" s="119"/>
      <c r="L34" s="113" t="s">
        <v>1354</v>
      </c>
      <c r="M34" s="112">
        <v>1000</v>
      </c>
      <c r="N34" s="114" t="s">
        <v>2088</v>
      </c>
      <c r="O34" s="114"/>
      <c r="P34" s="119"/>
      <c r="Q34" s="119"/>
      <c r="R34" s="108"/>
      <c r="S34" s="134"/>
      <c r="T34" s="341" t="s">
        <v>2089</v>
      </c>
    </row>
    <row r="35" spans="2:20" s="73" customFormat="1" ht="13.5">
      <c r="B35" s="104">
        <v>28</v>
      </c>
      <c r="C35" s="121" t="s">
        <v>2090</v>
      </c>
      <c r="D35" s="119"/>
      <c r="E35" s="107" t="s">
        <v>1225</v>
      </c>
      <c r="F35" s="107">
        <v>4</v>
      </c>
      <c r="G35" s="932" t="s">
        <v>2091</v>
      </c>
      <c r="H35" s="190"/>
      <c r="I35" s="110">
        <v>28</v>
      </c>
      <c r="J35" s="105" t="s">
        <v>2092</v>
      </c>
      <c r="K35" s="119"/>
      <c r="L35" s="113" t="s">
        <v>1354</v>
      </c>
      <c r="M35" s="112"/>
      <c r="N35" s="114" t="s">
        <v>1274</v>
      </c>
      <c r="O35" s="114"/>
      <c r="P35" s="119"/>
      <c r="Q35" s="119"/>
      <c r="R35" s="108"/>
      <c r="S35" s="134"/>
      <c r="T35" s="341" t="s">
        <v>2089</v>
      </c>
    </row>
    <row r="36" spans="2:20" s="73" customFormat="1" ht="13.5">
      <c r="B36" s="104"/>
      <c r="C36" s="121" t="s">
        <v>2093</v>
      </c>
      <c r="D36" s="119"/>
      <c r="E36" s="107" t="s">
        <v>1225</v>
      </c>
      <c r="F36" s="107">
        <v>4</v>
      </c>
      <c r="G36" s="932" t="s">
        <v>2094</v>
      </c>
      <c r="H36" s="190"/>
      <c r="I36" s="110">
        <v>28</v>
      </c>
      <c r="J36" s="105" t="s">
        <v>2095</v>
      </c>
      <c r="K36" s="119"/>
      <c r="L36" s="113" t="s">
        <v>1354</v>
      </c>
      <c r="M36" s="112"/>
      <c r="N36" s="114" t="s">
        <v>1602</v>
      </c>
      <c r="O36" s="114"/>
      <c r="P36" s="119"/>
      <c r="Q36" s="119"/>
      <c r="R36" s="108"/>
      <c r="S36" s="134"/>
      <c r="T36" s="341" t="s">
        <v>2089</v>
      </c>
    </row>
    <row r="37" spans="2:20" s="73" customFormat="1" ht="13.5">
      <c r="B37" s="104">
        <v>29</v>
      </c>
      <c r="C37" s="121" t="s">
        <v>2096</v>
      </c>
      <c r="D37" s="119"/>
      <c r="E37" s="107" t="s">
        <v>1225</v>
      </c>
      <c r="F37" s="107">
        <v>10</v>
      </c>
      <c r="G37" s="932" t="s">
        <v>2097</v>
      </c>
      <c r="H37" s="190" t="s">
        <v>2098</v>
      </c>
      <c r="I37" s="110">
        <v>29</v>
      </c>
      <c r="J37" s="105" t="s">
        <v>2099</v>
      </c>
      <c r="K37" s="119"/>
      <c r="L37" s="113" t="s">
        <v>1354</v>
      </c>
      <c r="M37" s="112"/>
      <c r="N37" s="114" t="s">
        <v>2100</v>
      </c>
      <c r="O37" s="114"/>
      <c r="P37" s="119"/>
      <c r="Q37" s="119"/>
      <c r="R37" s="108"/>
      <c r="S37" s="134"/>
      <c r="T37" s="341" t="s">
        <v>2089</v>
      </c>
    </row>
    <row r="38" spans="2:20" s="73" customFormat="1" ht="13.5">
      <c r="B38" s="104">
        <v>30</v>
      </c>
      <c r="C38" s="934" t="s">
        <v>2101</v>
      </c>
      <c r="D38" s="935"/>
      <c r="E38" s="936" t="s">
        <v>2102</v>
      </c>
      <c r="F38" s="936">
        <v>5</v>
      </c>
      <c r="G38" s="937" t="s">
        <v>2103</v>
      </c>
      <c r="H38" s="938" t="s">
        <v>2098</v>
      </c>
      <c r="I38" s="939">
        <v>30</v>
      </c>
      <c r="J38" s="940" t="s">
        <v>2104</v>
      </c>
      <c r="K38" s="935"/>
      <c r="L38" s="941" t="s">
        <v>1354</v>
      </c>
      <c r="M38" s="942"/>
      <c r="N38" s="943" t="s">
        <v>2105</v>
      </c>
      <c r="O38" s="114" t="s">
        <v>2106</v>
      </c>
      <c r="P38" s="119"/>
      <c r="Q38" s="119"/>
      <c r="R38" s="108"/>
      <c r="S38" s="134"/>
      <c r="T38" s="341" t="s">
        <v>2089</v>
      </c>
    </row>
    <row r="39" spans="2:20" s="73" customFormat="1" ht="13.5">
      <c r="B39" s="104">
        <v>31</v>
      </c>
      <c r="C39" s="121"/>
      <c r="D39" s="119"/>
      <c r="E39" s="107"/>
      <c r="F39" s="107"/>
      <c r="G39" s="108"/>
      <c r="H39" s="109"/>
      <c r="I39" s="110">
        <v>31</v>
      </c>
      <c r="J39" s="105"/>
      <c r="K39" s="119"/>
      <c r="L39" s="113"/>
      <c r="M39" s="112"/>
      <c r="N39" s="114"/>
      <c r="O39" s="114"/>
      <c r="P39" s="119"/>
      <c r="Q39" s="119"/>
      <c r="R39" s="108"/>
      <c r="S39" s="134"/>
    </row>
    <row r="40" spans="2:20" s="73" customFormat="1" ht="14.25" thickBot="1">
      <c r="B40" s="129"/>
      <c r="C40" s="130"/>
      <c r="D40" s="131"/>
      <c r="E40" s="131"/>
      <c r="F40" s="131"/>
      <c r="G40" s="131"/>
      <c r="H40" s="132"/>
      <c r="I40" s="135"/>
      <c r="J40" s="130"/>
      <c r="K40" s="131"/>
      <c r="L40" s="130"/>
      <c r="M40" s="131"/>
      <c r="N40" s="131"/>
      <c r="O40" s="131"/>
      <c r="P40" s="131"/>
      <c r="Q40" s="131"/>
      <c r="R40" s="131"/>
      <c r="S40" s="136"/>
    </row>
    <row r="41" spans="2:20" ht="18.75" customHeight="1">
      <c r="B41" s="100"/>
      <c r="C41" s="100"/>
      <c r="D41" s="100"/>
      <c r="E41" s="100"/>
      <c r="F41" s="100"/>
      <c r="G41" s="100"/>
      <c r="H41" s="100"/>
      <c r="I41" s="100"/>
      <c r="J41" s="100"/>
      <c r="K41" s="100"/>
      <c r="L41" s="100"/>
      <c r="M41" s="100"/>
      <c r="N41" s="133"/>
      <c r="O41" s="133"/>
      <c r="P41" s="100"/>
      <c r="Q41" s="133"/>
      <c r="R41" s="133"/>
      <c r="S41" s="100"/>
      <c r="T41" s="100"/>
    </row>
    <row r="42" spans="2:20" ht="18.75" customHeight="1">
      <c r="B42" s="51" t="s">
        <v>1025</v>
      </c>
      <c r="C42" s="73"/>
      <c r="D42" s="73"/>
      <c r="E42" s="73"/>
      <c r="F42" s="73"/>
      <c r="G42" s="73"/>
      <c r="H42" s="73"/>
      <c r="I42" s="73"/>
      <c r="J42" s="73"/>
      <c r="K42" s="73"/>
      <c r="L42" s="73"/>
      <c r="M42" s="73"/>
      <c r="N42" s="75"/>
      <c r="O42" s="75"/>
      <c r="P42" s="73"/>
      <c r="Q42" s="75"/>
      <c r="R42" s="75"/>
      <c r="S42" s="73"/>
      <c r="T42" s="100"/>
    </row>
    <row r="43" spans="2:20" ht="18.75" customHeight="1">
      <c r="B43" s="976" t="s">
        <v>826</v>
      </c>
      <c r="C43" s="976"/>
      <c r="D43" s="976" t="s">
        <v>1029</v>
      </c>
      <c r="E43" s="976"/>
      <c r="F43" s="976"/>
      <c r="G43" s="976"/>
      <c r="H43" s="976"/>
      <c r="I43" s="976"/>
      <c r="J43" s="976"/>
      <c r="K43" s="976"/>
      <c r="L43" s="976"/>
      <c r="M43" s="976"/>
      <c r="N43" s="976"/>
      <c r="O43" s="976"/>
      <c r="P43" s="976"/>
      <c r="Q43" s="976"/>
      <c r="R43" s="976"/>
      <c r="S43" s="976"/>
      <c r="T43" s="100"/>
    </row>
    <row r="44" spans="2:20" ht="22.5" customHeight="1">
      <c r="B44" s="977" t="s">
        <v>1033</v>
      </c>
      <c r="C44" s="978"/>
      <c r="D44" s="989"/>
      <c r="E44" s="990"/>
      <c r="F44" s="990"/>
      <c r="G44" s="990"/>
      <c r="H44" s="990"/>
      <c r="I44" s="990"/>
      <c r="J44" s="990"/>
      <c r="K44" s="990"/>
      <c r="L44" s="990"/>
      <c r="M44" s="990"/>
      <c r="N44" s="990"/>
      <c r="O44" s="990"/>
      <c r="P44" s="990"/>
      <c r="Q44" s="990"/>
      <c r="R44" s="990"/>
      <c r="S44" s="991"/>
      <c r="T44" s="100"/>
    </row>
    <row r="45" spans="2:20" ht="24.75" customHeight="1">
      <c r="B45" s="1008" t="s">
        <v>1038</v>
      </c>
      <c r="C45" s="1009"/>
      <c r="D45" s="1010"/>
      <c r="E45" s="1011"/>
      <c r="F45" s="1011"/>
      <c r="G45" s="1011"/>
      <c r="H45" s="1011"/>
      <c r="I45" s="1011"/>
      <c r="J45" s="1011"/>
      <c r="K45" s="1011"/>
      <c r="L45" s="1011"/>
      <c r="M45" s="1011"/>
      <c r="N45" s="1011"/>
      <c r="O45" s="1011"/>
      <c r="P45" s="1011"/>
      <c r="Q45" s="1011"/>
      <c r="R45" s="1011"/>
      <c r="S45" s="1012"/>
      <c r="T45" s="100"/>
    </row>
    <row r="46" spans="2:20" ht="18.75" customHeight="1">
      <c r="B46" s="75"/>
      <c r="C46" s="75"/>
      <c r="D46" s="75"/>
      <c r="E46" s="75"/>
      <c r="F46" s="75"/>
      <c r="G46" s="75"/>
      <c r="H46" s="75"/>
      <c r="I46" s="75"/>
      <c r="J46" s="75"/>
      <c r="K46" s="75"/>
      <c r="L46" s="75"/>
      <c r="M46" s="75"/>
      <c r="N46" s="75"/>
      <c r="O46" s="75"/>
      <c r="P46" s="75"/>
      <c r="Q46" s="75"/>
      <c r="R46" s="75"/>
      <c r="S46" s="75"/>
      <c r="T46" s="100"/>
    </row>
    <row r="47" spans="2:20" ht="18.75" customHeight="1">
      <c r="B47" s="51" t="s">
        <v>1045</v>
      </c>
      <c r="C47" s="73"/>
      <c r="D47" s="73"/>
      <c r="E47" s="73"/>
      <c r="F47" s="73"/>
      <c r="G47" s="73"/>
      <c r="H47" s="73"/>
      <c r="I47" s="73"/>
      <c r="J47" s="73"/>
      <c r="K47" s="73"/>
      <c r="L47" s="73"/>
      <c r="M47" s="73"/>
      <c r="N47" s="75"/>
      <c r="O47" s="75"/>
      <c r="P47" s="73"/>
      <c r="Q47" s="75"/>
      <c r="R47" s="75"/>
      <c r="S47" s="73"/>
      <c r="T47" s="100"/>
    </row>
    <row r="48" spans="2:20" ht="54" customHeight="1">
      <c r="B48" s="1014" t="s">
        <v>1049</v>
      </c>
      <c r="C48" s="1014"/>
      <c r="D48" s="1013"/>
      <c r="E48" s="1013"/>
      <c r="F48" s="1013"/>
      <c r="G48" s="1013"/>
      <c r="H48" s="1013"/>
      <c r="I48" s="1013"/>
      <c r="J48" s="1013"/>
      <c r="K48" s="1013"/>
      <c r="L48" s="1013"/>
      <c r="M48" s="1013"/>
      <c r="N48" s="1013"/>
      <c r="O48" s="1013"/>
      <c r="P48" s="1013"/>
      <c r="Q48" s="1013"/>
      <c r="R48" s="1013"/>
      <c r="S48" s="1013"/>
    </row>
    <row r="49" spans="2:19" ht="33" customHeight="1">
      <c r="B49" s="976" t="s">
        <v>1053</v>
      </c>
      <c r="C49" s="976"/>
      <c r="D49" s="1013"/>
      <c r="E49" s="1013"/>
      <c r="F49" s="1013"/>
      <c r="G49" s="1013"/>
      <c r="H49" s="1013"/>
      <c r="I49" s="1013"/>
      <c r="J49" s="1013"/>
      <c r="K49" s="1013"/>
      <c r="L49" s="1013"/>
      <c r="M49" s="1013"/>
      <c r="N49" s="1013"/>
      <c r="O49" s="1013"/>
      <c r="P49" s="1013"/>
      <c r="Q49" s="1013"/>
      <c r="R49" s="1013"/>
      <c r="S49" s="1013"/>
    </row>
    <row r="50" spans="2:19" ht="71.25" customHeight="1">
      <c r="B50" s="976" t="s">
        <v>1057</v>
      </c>
      <c r="C50" s="976"/>
      <c r="D50" s="1013"/>
      <c r="E50" s="1013"/>
      <c r="F50" s="1013"/>
      <c r="G50" s="1013"/>
      <c r="H50" s="1013"/>
      <c r="I50" s="1013"/>
      <c r="J50" s="1013"/>
      <c r="K50" s="1013"/>
      <c r="L50" s="1013"/>
      <c r="M50" s="1013"/>
      <c r="N50" s="1013"/>
      <c r="O50" s="1013"/>
      <c r="P50" s="1013"/>
      <c r="Q50" s="1013"/>
      <c r="R50" s="1013"/>
      <c r="S50" s="1013"/>
    </row>
    <row r="51" spans="2:19" ht="38.25" customHeight="1">
      <c r="B51" s="976" t="s">
        <v>1061</v>
      </c>
      <c r="C51" s="976"/>
      <c r="D51" s="1013"/>
      <c r="E51" s="1013"/>
      <c r="F51" s="1013"/>
      <c r="G51" s="1013"/>
      <c r="H51" s="1013"/>
      <c r="I51" s="1013"/>
      <c r="J51" s="1013"/>
      <c r="K51" s="1013"/>
      <c r="L51" s="1013"/>
      <c r="M51" s="1013"/>
      <c r="N51" s="1013"/>
      <c r="O51" s="1013"/>
      <c r="P51" s="1013"/>
      <c r="Q51" s="1013"/>
      <c r="R51" s="1013"/>
      <c r="S51" s="1013"/>
    </row>
    <row r="52" spans="2:19" s="73" customFormat="1" ht="15" customHeight="1"/>
    <row r="53" spans="2:19" customFormat="1" ht="15" customHeight="1"/>
    <row r="54" spans="2:19" customFormat="1" ht="15" customHeight="1"/>
    <row r="55" spans="2:19" customFormat="1" ht="15" customHeight="1"/>
    <row r="56" spans="2:19" customFormat="1" ht="15" customHeight="1"/>
    <row r="57" spans="2:19" customFormat="1" ht="15" customHeight="1"/>
    <row r="58" spans="2:19" customFormat="1" ht="15" customHeight="1"/>
    <row r="59" spans="2:19" customFormat="1" ht="15" customHeight="1"/>
    <row r="60" spans="2:19" customFormat="1" ht="15" customHeight="1"/>
    <row r="61" spans="2:19" customFormat="1" ht="15" customHeight="1"/>
    <row r="62" spans="2:19" customFormat="1" ht="15" customHeight="1"/>
    <row r="63" spans="2:19" customFormat="1" ht="15" customHeight="1"/>
    <row r="64" spans="2:19" customFormat="1" ht="15" customHeight="1"/>
    <row r="65" customFormat="1" ht="15" customHeight="1"/>
    <row r="66" customFormat="1" ht="15" customHeight="1"/>
    <row r="67" customFormat="1" ht="15" customHeight="1"/>
    <row r="68" s="73" customFormat="1" ht="15" customHeight="1"/>
    <row r="69" s="73" customFormat="1" ht="15" customHeight="1"/>
    <row r="70" s="73" customFormat="1" ht="15" customHeight="1"/>
    <row r="71" s="73" customFormat="1" ht="15" customHeight="1"/>
  </sheetData>
  <mergeCells count="25">
    <mergeCell ref="B45:C45"/>
    <mergeCell ref="D45:S45"/>
    <mergeCell ref="B51:C51"/>
    <mergeCell ref="D51:S51"/>
    <mergeCell ref="B48:C48"/>
    <mergeCell ref="D48:S48"/>
    <mergeCell ref="B49:C49"/>
    <mergeCell ref="D49:S49"/>
    <mergeCell ref="B50:C50"/>
    <mergeCell ref="D50:S50"/>
    <mergeCell ref="B2:I3"/>
    <mergeCell ref="K2:N2"/>
    <mergeCell ref="P2:S2"/>
    <mergeCell ref="K3:N3"/>
    <mergeCell ref="P3:S3"/>
    <mergeCell ref="B43:C43"/>
    <mergeCell ref="D43:S43"/>
    <mergeCell ref="B44:C44"/>
    <mergeCell ref="B5:H5"/>
    <mergeCell ref="I5:Q5"/>
    <mergeCell ref="R5:R7"/>
    <mergeCell ref="S5:S7"/>
    <mergeCell ref="C6:H6"/>
    <mergeCell ref="J6:Q6"/>
    <mergeCell ref="D44:S44"/>
  </mergeCells>
  <phoneticPr fontId="4" type="noConversion"/>
  <hyperlinks>
    <hyperlink ref="A1" location="List!A1" display="Top" xr:uid="{79AD0AA9-04AD-47FF-8682-D9C883B4E925}"/>
  </hyperlinks>
  <pageMargins left="0.7" right="0.7" top="0.75" bottom="0.75" header="0.3" footer="0.3"/>
  <customProperties>
    <customPr name="_pios_id" r:id="rId1"/>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F7342-3DB9-48AE-9787-A2F454960E75}">
  <dimension ref="A1:S89"/>
  <sheetViews>
    <sheetView showGridLines="0" zoomScaleNormal="100" workbookViewId="0"/>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2107</v>
      </c>
      <c r="C2" s="993"/>
      <c r="D2" s="993"/>
      <c r="E2" s="993"/>
      <c r="F2" s="993"/>
      <c r="G2" s="993"/>
      <c r="H2" s="993"/>
      <c r="I2" s="994"/>
      <c r="J2" s="70" t="s">
        <v>816</v>
      </c>
      <c r="K2" s="998" t="s">
        <v>145</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823</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c r="D8" s="119"/>
      <c r="E8" s="107"/>
      <c r="F8" s="107"/>
      <c r="G8" s="108"/>
      <c r="H8" s="109"/>
      <c r="I8" s="110">
        <v>1</v>
      </c>
      <c r="J8" s="111" t="s">
        <v>855</v>
      </c>
      <c r="K8" s="112" t="s">
        <v>42</v>
      </c>
      <c r="L8" s="113" t="s">
        <v>1354</v>
      </c>
      <c r="M8" s="112">
        <v>1000</v>
      </c>
      <c r="N8" s="114" t="s">
        <v>853</v>
      </c>
      <c r="O8" s="114" t="s">
        <v>854</v>
      </c>
      <c r="P8" s="112"/>
      <c r="Q8" s="112"/>
      <c r="R8" s="114"/>
      <c r="S8" s="134"/>
    </row>
    <row r="9" spans="1:19" s="73" customFormat="1" ht="13.5">
      <c r="B9" s="104">
        <v>2</v>
      </c>
      <c r="C9" s="105"/>
      <c r="D9" s="119"/>
      <c r="E9" s="107"/>
      <c r="F9" s="107"/>
      <c r="G9" s="108"/>
      <c r="H9" s="109"/>
      <c r="I9" s="110">
        <v>2</v>
      </c>
      <c r="J9" s="111" t="s">
        <v>1595</v>
      </c>
      <c r="K9" s="119" t="s">
        <v>42</v>
      </c>
      <c r="L9" s="113" t="s">
        <v>1354</v>
      </c>
      <c r="M9" s="112">
        <v>1000</v>
      </c>
      <c r="N9" s="114" t="s">
        <v>1596</v>
      </c>
      <c r="O9" s="114" t="s">
        <v>1595</v>
      </c>
      <c r="P9" s="112"/>
      <c r="Q9" s="112"/>
      <c r="R9" s="114"/>
      <c r="S9" s="134"/>
    </row>
    <row r="10" spans="1:19" s="73" customFormat="1" ht="13.5">
      <c r="B10" s="104">
        <v>3</v>
      </c>
      <c r="C10" s="105"/>
      <c r="D10" s="119"/>
      <c r="E10" s="107"/>
      <c r="F10" s="107"/>
      <c r="G10" s="108"/>
      <c r="H10" s="109"/>
      <c r="I10" s="110">
        <v>3</v>
      </c>
      <c r="J10" s="111" t="s">
        <v>1271</v>
      </c>
      <c r="K10" s="119" t="s">
        <v>42</v>
      </c>
      <c r="L10" s="113" t="s">
        <v>1354</v>
      </c>
      <c r="M10" s="112">
        <v>1000</v>
      </c>
      <c r="N10" s="114" t="s">
        <v>1597</v>
      </c>
      <c r="O10" s="114" t="s">
        <v>1598</v>
      </c>
      <c r="P10" s="112"/>
      <c r="Q10" s="112"/>
      <c r="R10" s="114"/>
      <c r="S10" s="134"/>
    </row>
    <row r="11" spans="1:19" s="73" customFormat="1" ht="27">
      <c r="B11" s="104">
        <v>4</v>
      </c>
      <c r="C11" s="105"/>
      <c r="D11" s="119"/>
      <c r="E11" s="107"/>
      <c r="F11" s="107"/>
      <c r="G11" s="108"/>
      <c r="H11" s="109"/>
      <c r="I11" s="110">
        <v>4</v>
      </c>
      <c r="J11" s="147" t="s">
        <v>2108</v>
      </c>
      <c r="K11" s="119" t="s">
        <v>42</v>
      </c>
      <c r="L11" s="113" t="s">
        <v>1354</v>
      </c>
      <c r="M11" s="112">
        <v>1000</v>
      </c>
      <c r="N11" s="108" t="s">
        <v>2109</v>
      </c>
      <c r="O11" s="108" t="s">
        <v>2110</v>
      </c>
      <c r="P11" s="119"/>
      <c r="Q11" s="119"/>
      <c r="R11" s="108"/>
      <c r="S11" s="134"/>
    </row>
    <row r="12" spans="1:19" s="73" customFormat="1" ht="13.5">
      <c r="B12" s="104">
        <v>5</v>
      </c>
      <c r="C12" s="105"/>
      <c r="D12" s="119"/>
      <c r="E12" s="107"/>
      <c r="F12" s="107"/>
      <c r="G12" s="108"/>
      <c r="H12" s="109"/>
      <c r="I12" s="110">
        <v>5</v>
      </c>
      <c r="J12" s="118" t="s">
        <v>1101</v>
      </c>
      <c r="K12" s="119"/>
      <c r="L12" s="113" t="s">
        <v>1354</v>
      </c>
      <c r="M12" s="112">
        <v>1000</v>
      </c>
      <c r="N12" s="108" t="s">
        <v>1604</v>
      </c>
      <c r="O12" s="108" t="s">
        <v>1605</v>
      </c>
      <c r="P12" s="119"/>
      <c r="Q12" s="119"/>
      <c r="R12" s="108"/>
      <c r="S12" s="134"/>
    </row>
    <row r="13" spans="1:19" s="73" customFormat="1" ht="13.5">
      <c r="B13" s="104">
        <v>6</v>
      </c>
      <c r="C13" s="105"/>
      <c r="D13" s="119"/>
      <c r="E13" s="107"/>
      <c r="F13" s="107"/>
      <c r="G13" s="108"/>
      <c r="H13" s="109"/>
      <c r="I13" s="110">
        <v>6</v>
      </c>
      <c r="J13" s="118" t="s">
        <v>1607</v>
      </c>
      <c r="K13" s="119"/>
      <c r="L13" s="113" t="s">
        <v>1354</v>
      </c>
      <c r="M13" s="112">
        <v>1000</v>
      </c>
      <c r="N13" s="108" t="s">
        <v>1608</v>
      </c>
      <c r="O13" s="108" t="s">
        <v>1609</v>
      </c>
      <c r="P13" s="119"/>
      <c r="Q13" s="112"/>
      <c r="R13" s="114"/>
      <c r="S13" s="134"/>
    </row>
    <row r="14" spans="1:19" s="73" customFormat="1" ht="13.5">
      <c r="B14" s="104">
        <v>7</v>
      </c>
      <c r="C14" s="105"/>
      <c r="D14" s="119"/>
      <c r="E14" s="107"/>
      <c r="F14" s="107"/>
      <c r="G14" s="108"/>
      <c r="H14" s="109"/>
      <c r="I14" s="110">
        <v>7</v>
      </c>
      <c r="J14" s="118" t="s">
        <v>1611</v>
      </c>
      <c r="K14" s="106"/>
      <c r="L14" s="113" t="s">
        <v>1354</v>
      </c>
      <c r="M14" s="112">
        <v>1000</v>
      </c>
      <c r="N14" s="108" t="s">
        <v>1612</v>
      </c>
      <c r="O14" s="108" t="s">
        <v>2111</v>
      </c>
      <c r="P14" s="119"/>
      <c r="Q14" s="112"/>
      <c r="R14" s="114"/>
      <c r="S14" s="134"/>
    </row>
    <row r="15" spans="1:19" s="73" customFormat="1" ht="13.5">
      <c r="B15" s="104">
        <v>8</v>
      </c>
      <c r="C15" s="105"/>
      <c r="D15" s="119"/>
      <c r="E15" s="107"/>
      <c r="F15" s="107"/>
      <c r="G15" s="108"/>
      <c r="H15" s="109"/>
      <c r="I15" s="110">
        <v>8</v>
      </c>
      <c r="J15" s="118" t="s">
        <v>1615</v>
      </c>
      <c r="K15" s="106"/>
      <c r="L15" s="113" t="s">
        <v>1354</v>
      </c>
      <c r="M15" s="112">
        <v>1000</v>
      </c>
      <c r="N15" s="108" t="s">
        <v>1616</v>
      </c>
      <c r="O15" s="108" t="s">
        <v>2112</v>
      </c>
      <c r="P15" s="119"/>
      <c r="Q15" s="112"/>
      <c r="R15" s="114"/>
      <c r="S15" s="134"/>
    </row>
    <row r="16" spans="1:19" s="73" customFormat="1" ht="13.5">
      <c r="B16" s="104">
        <v>9</v>
      </c>
      <c r="C16" s="105"/>
      <c r="D16" s="119"/>
      <c r="E16" s="107"/>
      <c r="F16" s="107"/>
      <c r="G16" s="108"/>
      <c r="H16" s="109"/>
      <c r="I16" s="110">
        <v>9</v>
      </c>
      <c r="J16" s="118" t="s">
        <v>1619</v>
      </c>
      <c r="K16" s="106"/>
      <c r="L16" s="113" t="s">
        <v>1354</v>
      </c>
      <c r="M16" s="112">
        <v>1000</v>
      </c>
      <c r="N16" s="108" t="s">
        <v>1620</v>
      </c>
      <c r="O16" s="108" t="s">
        <v>2113</v>
      </c>
      <c r="P16" s="119"/>
      <c r="Q16" s="112"/>
      <c r="R16" s="114"/>
      <c r="S16" s="134"/>
    </row>
    <row r="17" spans="2:19" s="73" customFormat="1" ht="13.5">
      <c r="B17" s="104">
        <v>10</v>
      </c>
      <c r="C17" s="105"/>
      <c r="D17" s="119"/>
      <c r="E17" s="107"/>
      <c r="F17" s="107"/>
      <c r="G17" s="108"/>
      <c r="H17" s="109"/>
      <c r="I17" s="110">
        <v>10</v>
      </c>
      <c r="J17" s="117" t="s">
        <v>1623</v>
      </c>
      <c r="K17" s="120"/>
      <c r="L17" s="113" t="s">
        <v>1354</v>
      </c>
      <c r="M17" s="112">
        <v>1000</v>
      </c>
      <c r="N17" s="108" t="s">
        <v>1624</v>
      </c>
      <c r="O17" s="108" t="s">
        <v>2114</v>
      </c>
      <c r="P17" s="112"/>
      <c r="Q17" s="112"/>
      <c r="R17" s="114"/>
      <c r="S17" s="134"/>
    </row>
    <row r="18" spans="2:19" s="73" customFormat="1" ht="13.5">
      <c r="B18" s="104">
        <v>11</v>
      </c>
      <c r="C18" s="105"/>
      <c r="D18" s="119"/>
      <c r="E18" s="107"/>
      <c r="F18" s="107"/>
      <c r="G18" s="108"/>
      <c r="H18" s="109"/>
      <c r="I18" s="110">
        <v>11</v>
      </c>
      <c r="J18" s="117" t="s">
        <v>1627</v>
      </c>
      <c r="K18" s="112"/>
      <c r="L18" s="113" t="s">
        <v>1354</v>
      </c>
      <c r="M18" s="112">
        <v>1000</v>
      </c>
      <c r="N18" s="114" t="s">
        <v>1628</v>
      </c>
      <c r="O18" s="114" t="s">
        <v>1629</v>
      </c>
      <c r="P18" s="112"/>
      <c r="Q18" s="112"/>
      <c r="R18" s="114"/>
      <c r="S18" s="134"/>
    </row>
    <row r="19" spans="2:19" s="73" customFormat="1" ht="13.5">
      <c r="B19" s="104">
        <v>12</v>
      </c>
      <c r="C19" s="121"/>
      <c r="D19" s="119"/>
      <c r="E19" s="107"/>
      <c r="F19" s="107"/>
      <c r="G19" s="108"/>
      <c r="H19" s="109"/>
      <c r="I19" s="110">
        <v>12</v>
      </c>
      <c r="J19" s="117" t="s">
        <v>1631</v>
      </c>
      <c r="K19" s="120"/>
      <c r="L19" s="113" t="s">
        <v>1354</v>
      </c>
      <c r="M19" s="112">
        <v>1000</v>
      </c>
      <c r="N19" s="114" t="s">
        <v>1632</v>
      </c>
      <c r="O19" s="114" t="s">
        <v>2115</v>
      </c>
      <c r="P19" s="112"/>
      <c r="Q19" s="112"/>
      <c r="R19" s="114"/>
      <c r="S19" s="134"/>
    </row>
    <row r="20" spans="2:19" s="73" customFormat="1" ht="13.5">
      <c r="B20" s="104">
        <v>13</v>
      </c>
      <c r="C20" s="121"/>
      <c r="D20" s="119"/>
      <c r="E20" s="107"/>
      <c r="F20" s="107"/>
      <c r="G20" s="108"/>
      <c r="H20" s="109"/>
      <c r="I20" s="110">
        <v>13</v>
      </c>
      <c r="J20" s="117" t="s">
        <v>1635</v>
      </c>
      <c r="K20" s="120"/>
      <c r="L20" s="113" t="s">
        <v>1354</v>
      </c>
      <c r="M20" s="112">
        <v>1000</v>
      </c>
      <c r="N20" s="114" t="s">
        <v>1636</v>
      </c>
      <c r="O20" s="114" t="s">
        <v>2116</v>
      </c>
      <c r="P20" s="112"/>
      <c r="Q20" s="112"/>
      <c r="R20" s="114"/>
      <c r="S20" s="134"/>
    </row>
    <row r="21" spans="2:19" s="73" customFormat="1" ht="13.5">
      <c r="B21" s="104">
        <v>14</v>
      </c>
      <c r="C21" s="121"/>
      <c r="D21" s="119"/>
      <c r="E21" s="107"/>
      <c r="F21" s="107"/>
      <c r="G21" s="108"/>
      <c r="H21" s="109"/>
      <c r="I21" s="110">
        <v>14</v>
      </c>
      <c r="J21" s="118" t="s">
        <v>1639</v>
      </c>
      <c r="K21" s="119"/>
      <c r="L21" s="113" t="s">
        <v>1354</v>
      </c>
      <c r="M21" s="112">
        <v>1000</v>
      </c>
      <c r="N21" s="108" t="s">
        <v>1640</v>
      </c>
      <c r="O21" s="108" t="s">
        <v>2117</v>
      </c>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5" customHeight="1"/>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c r="C55" s="21"/>
      <c r="D55" s="20"/>
      <c r="E55" s="20"/>
      <c r="F55" s="20"/>
      <c r="G55" s="20"/>
      <c r="H55" s="20"/>
      <c r="I55" s="20"/>
      <c r="J55" s="20"/>
      <c r="K55" s="20"/>
      <c r="L55" s="20"/>
      <c r="M55" s="20"/>
      <c r="N55" s="20"/>
      <c r="O55" s="21"/>
      <c r="P55" s="21"/>
      <c r="Q55" s="20"/>
      <c r="R55" s="21"/>
      <c r="S55" s="21"/>
    </row>
    <row r="56" spans="2:19" customFormat="1" ht="19.5" customHeight="1">
      <c r="C56" s="21"/>
      <c r="D56" s="20"/>
      <c r="E56" s="20"/>
      <c r="F56" s="20"/>
      <c r="G56" s="20"/>
      <c r="H56" s="20"/>
      <c r="I56" s="20"/>
      <c r="J56" s="20"/>
      <c r="K56" s="20"/>
      <c r="L56" s="20"/>
      <c r="M56" s="20"/>
      <c r="N56" s="20"/>
      <c r="O56" s="21"/>
      <c r="P56" s="21"/>
      <c r="Q56" s="20"/>
      <c r="R56" s="21"/>
      <c r="S56" s="21"/>
    </row>
    <row r="57" spans="2:19" customFormat="1" ht="19.5" customHeight="1">
      <c r="C57" s="21"/>
      <c r="D57" s="20"/>
      <c r="E57" s="20"/>
      <c r="F57" s="20"/>
      <c r="G57" s="20"/>
      <c r="H57" s="20"/>
      <c r="I57" s="20"/>
      <c r="J57" s="20"/>
      <c r="K57" s="20"/>
      <c r="L57" s="20"/>
      <c r="M57" s="20"/>
      <c r="N57" s="20"/>
      <c r="O57" s="21"/>
      <c r="P57" s="21"/>
      <c r="Q57" s="20"/>
      <c r="R57" s="21"/>
      <c r="S57" s="21"/>
    </row>
    <row r="58" spans="2:19" customFormat="1" ht="19.5" customHeight="1">
      <c r="C58" s="21"/>
      <c r="D58" s="20"/>
      <c r="E58" s="20"/>
      <c r="F58" s="20"/>
      <c r="G58" s="20"/>
      <c r="H58" s="20"/>
      <c r="I58" s="20"/>
      <c r="J58" s="20"/>
      <c r="K58" s="20"/>
      <c r="L58" s="20"/>
      <c r="M58" s="20"/>
      <c r="N58" s="20"/>
      <c r="O58" s="21"/>
      <c r="P58" s="21"/>
      <c r="Q58" s="20"/>
      <c r="R58" s="21"/>
      <c r="S58" s="21"/>
    </row>
    <row r="59" spans="2:19" customFormat="1" ht="19.5" customHeight="1">
      <c r="C59" s="21"/>
      <c r="D59" s="20"/>
      <c r="E59" s="20"/>
      <c r="F59" s="20"/>
      <c r="G59" s="20"/>
      <c r="H59" s="20"/>
      <c r="I59" s="20"/>
      <c r="J59" s="20"/>
      <c r="K59" s="20"/>
      <c r="L59" s="20"/>
      <c r="M59" s="20"/>
      <c r="N59" s="20"/>
      <c r="O59" s="21"/>
      <c r="P59" s="21"/>
      <c r="Q59" s="20"/>
      <c r="R59" s="21"/>
      <c r="S59" s="21"/>
    </row>
    <row r="60" spans="2:19" customFormat="1" ht="19.5" customHeight="1">
      <c r="C60" s="21"/>
      <c r="D60" s="20"/>
      <c r="E60" s="20"/>
      <c r="F60" s="20"/>
      <c r="G60" s="20"/>
      <c r="H60" s="20"/>
      <c r="I60" s="20"/>
      <c r="J60" s="20"/>
      <c r="K60" s="20"/>
      <c r="L60" s="20"/>
      <c r="M60" s="20"/>
      <c r="N60" s="20"/>
      <c r="O60" s="21"/>
      <c r="P60" s="21"/>
      <c r="Q60" s="20"/>
      <c r="R60" s="21"/>
      <c r="S60" s="21"/>
    </row>
    <row r="61" spans="2:19" customFormat="1" ht="19.5" customHeight="1">
      <c r="C61" s="21"/>
      <c r="D61" s="20"/>
      <c r="E61" s="20"/>
      <c r="F61" s="20"/>
      <c r="G61" s="20"/>
      <c r="H61" s="20"/>
      <c r="I61" s="20"/>
      <c r="J61" s="20"/>
      <c r="K61" s="20"/>
      <c r="L61" s="20"/>
      <c r="M61" s="20"/>
      <c r="N61" s="20"/>
      <c r="O61" s="21"/>
      <c r="P61" s="21"/>
      <c r="Q61" s="20"/>
      <c r="R61" s="21"/>
      <c r="S61" s="21"/>
    </row>
    <row r="62" spans="2:19" customFormat="1" ht="19.5" customHeight="1"/>
    <row r="63" spans="2:19" customFormat="1" ht="19.5" customHeight="1"/>
    <row r="64" spans="2:19" customFormat="1" ht="19.5" customHeight="1"/>
    <row r="65" customFormat="1" ht="19.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customFormat="1" ht="15" customHeight="1"/>
    <row r="82" customFormat="1" ht="15" customHeight="1"/>
    <row r="83" customFormat="1" ht="15" customHeight="1"/>
    <row r="84" customFormat="1" ht="15" customHeight="1"/>
    <row r="85" customFormat="1" ht="15" customHeight="1"/>
    <row r="86" s="73" customFormat="1" ht="15" customHeight="1"/>
    <row r="87" s="73" customFormat="1" ht="15" customHeight="1"/>
    <row r="88" s="73" customFormat="1" ht="15" customHeight="1"/>
    <row r="89"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A65CE10D-40C2-4052-8DD8-82D3589C2319}"/>
  </hyperlinks>
  <pageMargins left="0.7" right="0.7" top="0.75" bottom="0.75" header="0.3" footer="0.3"/>
  <customProperties>
    <customPr name="_pios_id" r:id="rId1"/>
  </customPropertie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9913D-D1AA-4FF4-A4C4-375004D048E6}">
  <dimension ref="A1:S87"/>
  <sheetViews>
    <sheetView showGridLines="0" zoomScaleNormal="100" workbookViewId="0">
      <selection activeCell="G25" sqref="G25"/>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2118</v>
      </c>
      <c r="C2" s="993"/>
      <c r="D2" s="993"/>
      <c r="E2" s="993"/>
      <c r="F2" s="993"/>
      <c r="G2" s="993"/>
      <c r="H2" s="993"/>
      <c r="I2" s="994"/>
      <c r="J2" s="70" t="s">
        <v>816</v>
      </c>
      <c r="K2" s="998" t="s">
        <v>145</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823</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27">
      <c r="B8" s="104">
        <v>1</v>
      </c>
      <c r="C8" s="105" t="s">
        <v>2119</v>
      </c>
      <c r="D8" s="119"/>
      <c r="E8" s="107"/>
      <c r="F8" s="107"/>
      <c r="G8" s="108"/>
      <c r="H8" s="109"/>
      <c r="I8" s="110">
        <v>1</v>
      </c>
      <c r="J8" s="343" t="s">
        <v>2120</v>
      </c>
      <c r="K8" s="112"/>
      <c r="L8" s="113" t="s">
        <v>1354</v>
      </c>
      <c r="M8" s="112">
        <v>1000</v>
      </c>
      <c r="N8" s="114" t="s">
        <v>2121</v>
      </c>
      <c r="O8" s="114" t="s">
        <v>2122</v>
      </c>
      <c r="P8" s="112"/>
      <c r="Q8" s="112"/>
      <c r="R8" s="114"/>
      <c r="S8" s="134"/>
    </row>
    <row r="9" spans="1:19" s="73" customFormat="1" ht="27">
      <c r="B9" s="104">
        <v>2</v>
      </c>
      <c r="C9" s="105" t="s">
        <v>2123</v>
      </c>
      <c r="D9" s="119"/>
      <c r="E9" s="107"/>
      <c r="F9" s="107"/>
      <c r="G9" s="108"/>
      <c r="H9" s="109"/>
      <c r="I9" s="110">
        <v>2</v>
      </c>
      <c r="J9" s="343" t="s">
        <v>2124</v>
      </c>
      <c r="K9" s="119"/>
      <c r="L9" s="113" t="s">
        <v>1354</v>
      </c>
      <c r="M9" s="112">
        <v>1000</v>
      </c>
      <c r="N9" s="114" t="s">
        <v>2125</v>
      </c>
      <c r="O9" s="114" t="s">
        <v>2126</v>
      </c>
      <c r="P9" s="112"/>
      <c r="Q9" s="112"/>
      <c r="R9" s="114"/>
      <c r="S9" s="134"/>
    </row>
    <row r="10" spans="1:19" s="73" customFormat="1" ht="13.5">
      <c r="B10" s="104">
        <v>3</v>
      </c>
      <c r="C10" s="105" t="s">
        <v>1547</v>
      </c>
      <c r="D10" s="119"/>
      <c r="E10" s="107"/>
      <c r="F10" s="107"/>
      <c r="G10" s="108"/>
      <c r="H10" s="109"/>
      <c r="I10" s="110">
        <v>3</v>
      </c>
      <c r="J10" s="117" t="s">
        <v>1271</v>
      </c>
      <c r="K10" s="119"/>
      <c r="L10" s="113" t="s">
        <v>1354</v>
      </c>
      <c r="M10" s="112">
        <v>1000</v>
      </c>
      <c r="N10" s="114" t="s">
        <v>1548</v>
      </c>
      <c r="O10" s="114" t="s">
        <v>1070</v>
      </c>
      <c r="P10" s="112"/>
      <c r="Q10" s="112"/>
      <c r="R10" s="114"/>
      <c r="S10" s="134"/>
    </row>
    <row r="11" spans="1:19" s="73" customFormat="1" ht="13.5">
      <c r="B11" s="104">
        <v>4</v>
      </c>
      <c r="C11" s="105" t="s">
        <v>1538</v>
      </c>
      <c r="D11" s="119"/>
      <c r="E11" s="107"/>
      <c r="F11" s="107"/>
      <c r="G11" s="108"/>
      <c r="H11" s="109"/>
      <c r="I11" s="110">
        <v>4</v>
      </c>
      <c r="J11" s="118" t="s">
        <v>864</v>
      </c>
      <c r="K11" s="119"/>
      <c r="L11" s="113" t="s">
        <v>1354</v>
      </c>
      <c r="M11" s="112">
        <v>1000</v>
      </c>
      <c r="N11" s="108" t="s">
        <v>862</v>
      </c>
      <c r="O11" s="108" t="s">
        <v>863</v>
      </c>
      <c r="P11" s="119"/>
      <c r="Q11" s="119"/>
      <c r="R11" s="108"/>
      <c r="S11" s="134"/>
    </row>
    <row r="12" spans="1:19" s="73" customFormat="1" ht="13.5">
      <c r="B12" s="104">
        <v>5</v>
      </c>
      <c r="C12" s="105" t="s">
        <v>2127</v>
      </c>
      <c r="D12" s="119"/>
      <c r="E12" s="107"/>
      <c r="F12" s="107"/>
      <c r="G12" s="108"/>
      <c r="H12" s="109"/>
      <c r="I12" s="110">
        <v>5</v>
      </c>
      <c r="J12" s="118" t="s">
        <v>2128</v>
      </c>
      <c r="K12" s="119"/>
      <c r="L12" s="113" t="s">
        <v>1354</v>
      </c>
      <c r="M12" s="112">
        <v>1000</v>
      </c>
      <c r="N12" s="108" t="s">
        <v>1667</v>
      </c>
      <c r="O12" s="108" t="s">
        <v>1668</v>
      </c>
      <c r="P12" s="119"/>
      <c r="Q12" s="119"/>
      <c r="R12" s="108"/>
      <c r="S12" s="134"/>
    </row>
    <row r="13" spans="1:19" s="73" customFormat="1" ht="13.5">
      <c r="B13" s="104">
        <v>6</v>
      </c>
      <c r="C13" s="105" t="s">
        <v>2129</v>
      </c>
      <c r="D13" s="119"/>
      <c r="E13" s="107"/>
      <c r="F13" s="107"/>
      <c r="G13" s="108" t="s">
        <v>2130</v>
      </c>
      <c r="H13" s="109"/>
      <c r="I13" s="110">
        <v>6</v>
      </c>
      <c r="J13" s="118" t="s">
        <v>1101</v>
      </c>
      <c r="K13" s="119"/>
      <c r="L13" s="113" t="s">
        <v>1354</v>
      </c>
      <c r="M13" s="112">
        <v>1000</v>
      </c>
      <c r="N13" s="108" t="s">
        <v>1101</v>
      </c>
      <c r="O13" s="108" t="s">
        <v>1101</v>
      </c>
      <c r="P13" s="119"/>
      <c r="Q13" s="112"/>
      <c r="R13" s="114"/>
      <c r="S13" s="134"/>
    </row>
    <row r="14" spans="1:19" s="73" customFormat="1" ht="13.5">
      <c r="B14" s="104">
        <v>7</v>
      </c>
      <c r="C14" s="105" t="s">
        <v>2131</v>
      </c>
      <c r="D14" s="119"/>
      <c r="E14" s="107"/>
      <c r="F14" s="107"/>
      <c r="G14" s="108" t="s">
        <v>2132</v>
      </c>
      <c r="H14" s="109"/>
      <c r="I14" s="110">
        <v>7</v>
      </c>
      <c r="J14" s="118" t="s">
        <v>1405</v>
      </c>
      <c r="K14" s="106"/>
      <c r="L14" s="113" t="s">
        <v>1354</v>
      </c>
      <c r="M14" s="112">
        <v>1000</v>
      </c>
      <c r="N14" s="108" t="s">
        <v>2132</v>
      </c>
      <c r="O14" s="108" t="s">
        <v>1405</v>
      </c>
      <c r="P14" s="119"/>
      <c r="Q14" s="112"/>
      <c r="R14" s="114"/>
      <c r="S14" s="134"/>
    </row>
    <row r="15" spans="1:19" s="73" customFormat="1" ht="13.5">
      <c r="B15" s="104">
        <v>8</v>
      </c>
      <c r="C15" s="105" t="s">
        <v>2133</v>
      </c>
      <c r="D15" s="119"/>
      <c r="E15" s="107"/>
      <c r="F15" s="107"/>
      <c r="G15" s="108" t="s">
        <v>2130</v>
      </c>
      <c r="H15" s="109"/>
      <c r="I15" s="110">
        <v>8</v>
      </c>
      <c r="J15" s="118" t="s">
        <v>2134</v>
      </c>
      <c r="K15" s="106"/>
      <c r="L15" s="113" t="s">
        <v>1354</v>
      </c>
      <c r="M15" s="112">
        <v>1000</v>
      </c>
      <c r="N15" s="108" t="s">
        <v>2135</v>
      </c>
      <c r="O15" s="108" t="s">
        <v>2136</v>
      </c>
      <c r="P15" s="119"/>
      <c r="Q15" s="112"/>
      <c r="R15" s="114"/>
      <c r="S15" s="134"/>
    </row>
    <row r="16" spans="1:19" s="73" customFormat="1" ht="13.5">
      <c r="B16" s="104">
        <v>9</v>
      </c>
      <c r="C16" s="105" t="s">
        <v>2137</v>
      </c>
      <c r="D16" s="119"/>
      <c r="E16" s="107"/>
      <c r="F16" s="107"/>
      <c r="G16" s="108" t="s">
        <v>2138</v>
      </c>
      <c r="H16" s="109"/>
      <c r="I16" s="110">
        <v>9</v>
      </c>
      <c r="J16" s="118" t="s">
        <v>1647</v>
      </c>
      <c r="K16" s="106"/>
      <c r="L16" s="113" t="s">
        <v>1354</v>
      </c>
      <c r="M16" s="112">
        <v>1000</v>
      </c>
      <c r="N16" s="108" t="s">
        <v>2139</v>
      </c>
      <c r="O16" s="108" t="s">
        <v>1647</v>
      </c>
      <c r="P16" s="119"/>
      <c r="Q16" s="112"/>
      <c r="R16" s="114"/>
      <c r="S16" s="134"/>
    </row>
    <row r="17" spans="2:19" s="73" customFormat="1" ht="13.5">
      <c r="B17" s="104">
        <v>10</v>
      </c>
      <c r="C17" s="105"/>
      <c r="D17" s="119"/>
      <c r="E17" s="107"/>
      <c r="F17" s="107"/>
      <c r="G17" s="108"/>
      <c r="H17" s="109"/>
      <c r="I17" s="110">
        <v>10</v>
      </c>
      <c r="J17" s="117"/>
      <c r="K17" s="120"/>
      <c r="L17" s="113"/>
      <c r="M17" s="112"/>
      <c r="N17" s="108"/>
      <c r="O17" s="108"/>
      <c r="P17" s="112"/>
      <c r="Q17" s="112"/>
      <c r="R17" s="114"/>
      <c r="S17" s="134"/>
    </row>
    <row r="18" spans="2:19" s="73" customFormat="1" ht="13.5">
      <c r="B18" s="104">
        <v>11</v>
      </c>
      <c r="C18" s="105"/>
      <c r="D18" s="119"/>
      <c r="E18" s="107"/>
      <c r="F18" s="107"/>
      <c r="G18" s="108"/>
      <c r="H18" s="109"/>
      <c r="I18" s="110">
        <v>11</v>
      </c>
      <c r="J18" s="117"/>
      <c r="K18" s="112"/>
      <c r="L18" s="113"/>
      <c r="M18" s="112"/>
      <c r="N18" s="114"/>
      <c r="O18" s="114"/>
      <c r="P18" s="112"/>
      <c r="Q18" s="112"/>
      <c r="R18" s="114"/>
      <c r="S18" s="134"/>
    </row>
    <row r="19" spans="2:19" s="73" customFormat="1" ht="13.5">
      <c r="B19" s="104">
        <v>12</v>
      </c>
      <c r="C19" s="121"/>
      <c r="D19" s="119"/>
      <c r="E19" s="107"/>
      <c r="F19" s="107"/>
      <c r="G19" s="108"/>
      <c r="H19" s="109"/>
      <c r="I19" s="110">
        <v>12</v>
      </c>
      <c r="J19" s="117"/>
      <c r="K19" s="120"/>
      <c r="L19" s="113"/>
      <c r="M19" s="112"/>
      <c r="N19" s="114"/>
      <c r="O19" s="114"/>
      <c r="P19" s="112"/>
      <c r="Q19" s="112"/>
      <c r="R19" s="114"/>
      <c r="S19" s="134"/>
    </row>
    <row r="20" spans="2:19" s="73" customFormat="1" ht="13.5">
      <c r="B20" s="104">
        <v>13</v>
      </c>
      <c r="C20" s="121"/>
      <c r="D20" s="119"/>
      <c r="E20" s="107"/>
      <c r="F20" s="107"/>
      <c r="G20" s="108"/>
      <c r="H20" s="109"/>
      <c r="I20" s="110">
        <v>13</v>
      </c>
      <c r="J20" s="117"/>
      <c r="K20" s="120"/>
      <c r="L20" s="113"/>
      <c r="M20" s="112"/>
      <c r="N20" s="114"/>
      <c r="O20" s="114"/>
      <c r="P20" s="112"/>
      <c r="Q20" s="112"/>
      <c r="R20" s="114"/>
      <c r="S20" s="134"/>
    </row>
    <row r="21" spans="2:19" s="73" customFormat="1" ht="13.5">
      <c r="B21" s="104">
        <v>14</v>
      </c>
      <c r="C21" s="121"/>
      <c r="D21" s="119"/>
      <c r="E21" s="107"/>
      <c r="F21" s="107"/>
      <c r="G21" s="108"/>
      <c r="H21" s="109"/>
      <c r="I21" s="110">
        <v>14</v>
      </c>
      <c r="J21" s="118"/>
      <c r="K21" s="119"/>
      <c r="L21" s="113"/>
      <c r="M21" s="112"/>
      <c r="N21" s="108"/>
      <c r="O21" s="108"/>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5" customHeight="1"/>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c r="C55" s="21"/>
      <c r="D55" s="20"/>
      <c r="E55" s="20"/>
      <c r="F55" s="20"/>
      <c r="G55" s="20"/>
      <c r="H55" s="20"/>
      <c r="I55" s="20"/>
      <c r="J55" s="20"/>
      <c r="K55" s="20"/>
      <c r="L55" s="20"/>
      <c r="M55" s="20"/>
      <c r="N55" s="20"/>
      <c r="O55" s="21"/>
      <c r="P55" s="21"/>
      <c r="Q55" s="20"/>
      <c r="R55" s="21"/>
      <c r="S55" s="21"/>
    </row>
    <row r="56" spans="2:19" customFormat="1" ht="19.5" customHeight="1">
      <c r="C56" s="21"/>
      <c r="D56" s="20"/>
      <c r="E56" s="20"/>
      <c r="F56" s="20"/>
      <c r="G56" s="20"/>
      <c r="H56" s="20"/>
      <c r="I56" s="20"/>
      <c r="J56" s="20"/>
      <c r="K56" s="20"/>
      <c r="L56" s="20"/>
      <c r="M56" s="20"/>
      <c r="N56" s="20"/>
      <c r="O56" s="21"/>
      <c r="P56" s="21"/>
      <c r="Q56" s="20"/>
      <c r="R56" s="21"/>
      <c r="S56" s="21"/>
    </row>
    <row r="57" spans="2:19" customFormat="1" ht="19.5" customHeight="1">
      <c r="C57" s="21"/>
      <c r="D57" s="20"/>
      <c r="E57" s="20"/>
      <c r="F57" s="20"/>
      <c r="G57" s="20"/>
      <c r="H57" s="20"/>
      <c r="I57" s="20"/>
      <c r="J57" s="20"/>
      <c r="K57" s="20"/>
      <c r="L57" s="20"/>
      <c r="M57" s="20"/>
      <c r="N57" s="20"/>
      <c r="O57" s="21"/>
      <c r="P57" s="21"/>
      <c r="Q57" s="20"/>
      <c r="R57" s="21"/>
      <c r="S57" s="21"/>
    </row>
    <row r="58" spans="2:19" customFormat="1" ht="19.5" customHeight="1">
      <c r="C58" s="21"/>
      <c r="D58" s="20"/>
      <c r="E58" s="20"/>
      <c r="F58" s="20"/>
      <c r="G58" s="20"/>
      <c r="H58" s="20"/>
      <c r="I58" s="20"/>
      <c r="J58" s="20"/>
      <c r="K58" s="20"/>
      <c r="L58" s="20"/>
      <c r="M58" s="20"/>
      <c r="N58" s="20"/>
      <c r="O58" s="21"/>
      <c r="P58" s="21"/>
      <c r="Q58" s="20"/>
      <c r="R58" s="21"/>
      <c r="S58" s="21"/>
    </row>
    <row r="59" spans="2:19" customFormat="1" ht="19.5" customHeight="1">
      <c r="C59" s="21"/>
      <c r="D59" s="20"/>
      <c r="E59" s="20"/>
      <c r="F59" s="20"/>
      <c r="G59" s="20"/>
      <c r="H59" s="20"/>
      <c r="I59" s="20"/>
      <c r="J59" s="20"/>
      <c r="K59" s="20"/>
      <c r="L59" s="20"/>
      <c r="M59" s="20"/>
      <c r="N59" s="20"/>
      <c r="O59" s="21"/>
      <c r="P59" s="21"/>
      <c r="Q59" s="20"/>
      <c r="R59" s="21"/>
      <c r="S59" s="21"/>
    </row>
    <row r="60" spans="2:19" customFormat="1" ht="19.5" customHeight="1"/>
    <row r="61" spans="2:19" customFormat="1" ht="19.5" customHeight="1"/>
    <row r="62" spans="2:19" customFormat="1" ht="19.5" customHeight="1"/>
    <row r="63" spans="2:19" customFormat="1" ht="19.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customFormat="1" ht="15" customHeight="1"/>
    <row r="82" customFormat="1" ht="15" customHeight="1"/>
    <row r="83" customFormat="1" ht="15" customHeight="1"/>
    <row r="84" s="73" customFormat="1" ht="15" customHeight="1"/>
    <row r="85" s="73" customFormat="1" ht="15" customHeight="1"/>
    <row r="86" s="73" customFormat="1" ht="15" customHeight="1"/>
    <row r="87"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7A4342F1-57F3-4104-992B-3B6C001C1A1F}"/>
  </hyperlinks>
  <pageMargins left="0.7" right="0.7" top="0.75" bottom="0.75" header="0.3" footer="0.3"/>
  <customProperties>
    <customPr name="_pios_id" r:id="rId1"/>
  </customPropertie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3978-2938-4825-9121-6CED6F66421F}">
  <sheetPr>
    <tabColor rgb="FFFFFF00"/>
  </sheetPr>
  <dimension ref="A1:S87"/>
  <sheetViews>
    <sheetView showGridLines="0" zoomScaleNormal="100" workbookViewId="0">
      <selection activeCell="G9" sqref="G9"/>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6.125" style="69" bestFit="1" customWidth="1"/>
    <col min="6" max="6" width="5" style="69" bestFit="1" customWidth="1"/>
    <col min="7" max="7" width="22.625" style="69" bestFit="1"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4.625" style="69" bestFit="1" customWidth="1"/>
    <col min="20" max="16384" width="12.625" style="69"/>
  </cols>
  <sheetData>
    <row r="1" spans="1:19" ht="9.6" customHeight="1" thickBot="1">
      <c r="A1" s="67" t="s">
        <v>2140</v>
      </c>
    </row>
    <row r="2" spans="1:19" ht="23.1" customHeight="1">
      <c r="B2" s="992" t="s">
        <v>2141</v>
      </c>
      <c r="C2" s="993"/>
      <c r="D2" s="993"/>
      <c r="E2" s="993"/>
      <c r="F2" s="993"/>
      <c r="G2" s="993"/>
      <c r="H2" s="993"/>
      <c r="I2" s="994"/>
      <c r="J2" s="70" t="s">
        <v>816</v>
      </c>
      <c r="K2" s="998" t="s">
        <v>128</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823</v>
      </c>
      <c r="C5" s="980"/>
      <c r="D5" s="980"/>
      <c r="E5" s="980"/>
      <c r="F5" s="980"/>
      <c r="G5" s="980"/>
      <c r="H5" s="981"/>
      <c r="I5" s="982" t="s">
        <v>1390</v>
      </c>
      <c r="J5" s="980"/>
      <c r="K5" s="980"/>
      <c r="L5" s="980"/>
      <c r="M5" s="980"/>
      <c r="N5" s="980"/>
      <c r="O5" s="980"/>
      <c r="P5" s="980"/>
      <c r="Q5" s="980"/>
      <c r="R5" s="983" t="s">
        <v>825</v>
      </c>
      <c r="S5" s="985" t="s">
        <v>1067</v>
      </c>
    </row>
    <row r="6" spans="1:19" ht="32.1" customHeight="1">
      <c r="B6" s="78" t="s">
        <v>828</v>
      </c>
      <c r="C6" s="987" t="s">
        <v>3713</v>
      </c>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1068</v>
      </c>
      <c r="D8" s="119" t="s">
        <v>42</v>
      </c>
      <c r="E8" s="107" t="s">
        <v>845</v>
      </c>
      <c r="F8" s="107">
        <v>18</v>
      </c>
      <c r="G8" s="108" t="s">
        <v>2142</v>
      </c>
      <c r="H8" s="109" t="s">
        <v>2143</v>
      </c>
      <c r="I8" s="110">
        <v>1</v>
      </c>
      <c r="J8" s="117" t="s">
        <v>1271</v>
      </c>
      <c r="K8" s="119" t="s">
        <v>42</v>
      </c>
      <c r="L8" s="113" t="s">
        <v>1354</v>
      </c>
      <c r="M8" s="112">
        <v>1000</v>
      </c>
      <c r="N8" s="114" t="s">
        <v>2142</v>
      </c>
      <c r="O8" s="114" t="s">
        <v>2143</v>
      </c>
      <c r="P8" s="112"/>
      <c r="Q8" s="112"/>
      <c r="R8" s="114"/>
      <c r="S8" s="134"/>
    </row>
    <row r="9" spans="1:19" s="73" customFormat="1" ht="13.5">
      <c r="B9" s="104">
        <v>2</v>
      </c>
      <c r="C9" s="105" t="s">
        <v>1273</v>
      </c>
      <c r="D9" s="119" t="s">
        <v>42</v>
      </c>
      <c r="E9" s="107" t="s">
        <v>845</v>
      </c>
      <c r="F9" s="107">
        <v>4</v>
      </c>
      <c r="G9" s="108" t="s">
        <v>1274</v>
      </c>
      <c r="H9" s="109" t="s">
        <v>1599</v>
      </c>
      <c r="I9" s="110">
        <v>2</v>
      </c>
      <c r="J9" s="117" t="s">
        <v>1144</v>
      </c>
      <c r="K9" s="119" t="s">
        <v>42</v>
      </c>
      <c r="L9" s="113" t="s">
        <v>1354</v>
      </c>
      <c r="M9" s="112">
        <v>1000</v>
      </c>
      <c r="N9" s="114" t="s">
        <v>1274</v>
      </c>
      <c r="O9" s="114" t="s">
        <v>1599</v>
      </c>
      <c r="P9" s="112"/>
      <c r="Q9" s="112"/>
      <c r="R9" s="114"/>
      <c r="S9" s="134"/>
    </row>
    <row r="10" spans="1:19" s="73" customFormat="1" ht="13.5">
      <c r="B10" s="104">
        <v>3</v>
      </c>
      <c r="C10" s="105" t="s">
        <v>2144</v>
      </c>
      <c r="D10" s="119" t="s">
        <v>42</v>
      </c>
      <c r="E10" s="107" t="s">
        <v>845</v>
      </c>
      <c r="F10" s="107">
        <v>1</v>
      </c>
      <c r="G10" s="108" t="s">
        <v>2145</v>
      </c>
      <c r="H10" s="109" t="s">
        <v>2146</v>
      </c>
      <c r="I10" s="110">
        <v>3</v>
      </c>
      <c r="J10" s="117" t="s">
        <v>2147</v>
      </c>
      <c r="K10" s="119" t="s">
        <v>42</v>
      </c>
      <c r="L10" s="113" t="s">
        <v>1354</v>
      </c>
      <c r="M10" s="112">
        <v>1000</v>
      </c>
      <c r="N10" s="114" t="s">
        <v>2145</v>
      </c>
      <c r="O10" s="114" t="s">
        <v>2146</v>
      </c>
      <c r="P10" s="112"/>
      <c r="Q10" s="112"/>
      <c r="R10" s="114"/>
      <c r="S10" s="134"/>
    </row>
    <row r="11" spans="1:19" s="73" customFormat="1" ht="13.5">
      <c r="B11" s="104">
        <v>4</v>
      </c>
      <c r="C11" s="105" t="s">
        <v>2148</v>
      </c>
      <c r="D11" s="119" t="s">
        <v>42</v>
      </c>
      <c r="E11" s="107" t="s">
        <v>845</v>
      </c>
      <c r="F11" s="107">
        <v>2</v>
      </c>
      <c r="G11" s="108" t="s">
        <v>2149</v>
      </c>
      <c r="H11" s="109" t="s">
        <v>2150</v>
      </c>
      <c r="I11" s="110">
        <v>4</v>
      </c>
      <c r="J11" s="118" t="s">
        <v>2151</v>
      </c>
      <c r="K11" s="119" t="s">
        <v>42</v>
      </c>
      <c r="L11" s="113" t="s">
        <v>1354</v>
      </c>
      <c r="M11" s="112">
        <v>1000</v>
      </c>
      <c r="N11" s="108" t="s">
        <v>2149</v>
      </c>
      <c r="O11" s="108" t="s">
        <v>2150</v>
      </c>
      <c r="P11" s="119"/>
      <c r="Q11" s="119"/>
      <c r="R11" s="108"/>
      <c r="S11" s="134"/>
    </row>
    <row r="12" spans="1:19" s="73" customFormat="1" ht="13.5">
      <c r="B12" s="104">
        <v>5</v>
      </c>
      <c r="C12" s="105" t="s">
        <v>2152</v>
      </c>
      <c r="D12" s="119"/>
      <c r="E12" s="107" t="s">
        <v>845</v>
      </c>
      <c r="F12" s="107">
        <v>4</v>
      </c>
      <c r="G12" s="108" t="s">
        <v>2153</v>
      </c>
      <c r="H12" s="109" t="s">
        <v>2154</v>
      </c>
      <c r="I12" s="110">
        <v>5</v>
      </c>
      <c r="J12" s="118" t="s">
        <v>2155</v>
      </c>
      <c r="K12" s="119"/>
      <c r="L12" s="113" t="s">
        <v>1354</v>
      </c>
      <c r="M12" s="112">
        <v>1000</v>
      </c>
      <c r="N12" s="108" t="s">
        <v>2153</v>
      </c>
      <c r="O12" s="108" t="s">
        <v>2154</v>
      </c>
      <c r="P12" s="119"/>
      <c r="Q12" s="119"/>
      <c r="R12" s="108"/>
      <c r="S12" s="134"/>
    </row>
    <row r="13" spans="1:19" s="73" customFormat="1" ht="13.5">
      <c r="B13" s="104">
        <v>6</v>
      </c>
      <c r="C13" s="105" t="s">
        <v>2156</v>
      </c>
      <c r="D13" s="119" t="s">
        <v>42</v>
      </c>
      <c r="E13" s="107" t="s">
        <v>845</v>
      </c>
      <c r="F13" s="107">
        <v>18</v>
      </c>
      <c r="G13" s="108" t="s">
        <v>2157</v>
      </c>
      <c r="H13" s="109" t="s">
        <v>2158</v>
      </c>
      <c r="I13" s="110">
        <v>6</v>
      </c>
      <c r="J13" s="118" t="s">
        <v>1494</v>
      </c>
      <c r="K13" s="119" t="s">
        <v>42</v>
      </c>
      <c r="L13" s="113" t="s">
        <v>1354</v>
      </c>
      <c r="M13" s="112">
        <v>1000</v>
      </c>
      <c r="N13" s="108" t="s">
        <v>2157</v>
      </c>
      <c r="O13" s="108" t="s">
        <v>2158</v>
      </c>
      <c r="P13" s="119"/>
      <c r="Q13" s="112"/>
      <c r="R13" s="114"/>
      <c r="S13" s="134"/>
    </row>
    <row r="14" spans="1:19" s="73" customFormat="1" ht="27">
      <c r="B14" s="104">
        <v>7</v>
      </c>
      <c r="C14" s="105" t="s">
        <v>2159</v>
      </c>
      <c r="D14" s="119"/>
      <c r="E14" s="107" t="s">
        <v>1586</v>
      </c>
      <c r="F14" s="107">
        <v>2</v>
      </c>
      <c r="G14" s="108" t="s">
        <v>2160</v>
      </c>
      <c r="H14" s="109" t="s">
        <v>2161</v>
      </c>
      <c r="I14" s="110">
        <v>7</v>
      </c>
      <c r="J14" s="118" t="s">
        <v>2162</v>
      </c>
      <c r="K14" s="106"/>
      <c r="L14" s="113" t="s">
        <v>1354</v>
      </c>
      <c r="M14" s="112">
        <v>1000</v>
      </c>
      <c r="N14" s="108" t="s">
        <v>2160</v>
      </c>
      <c r="O14" s="108" t="s">
        <v>2161</v>
      </c>
      <c r="P14" s="119"/>
      <c r="Q14" s="112"/>
      <c r="R14" s="114"/>
      <c r="S14" s="134"/>
    </row>
    <row r="15" spans="1:19" s="73" customFormat="1" ht="13.5">
      <c r="B15" s="104">
        <v>8</v>
      </c>
      <c r="C15" s="105" t="s">
        <v>2163</v>
      </c>
      <c r="D15" s="119"/>
      <c r="E15" s="107" t="s">
        <v>1306</v>
      </c>
      <c r="F15" s="107">
        <v>13.3</v>
      </c>
      <c r="G15" s="108" t="s">
        <v>2164</v>
      </c>
      <c r="H15" s="109" t="s">
        <v>2165</v>
      </c>
      <c r="I15" s="110">
        <v>8</v>
      </c>
      <c r="J15" s="118" t="s">
        <v>2166</v>
      </c>
      <c r="K15" s="106"/>
      <c r="L15" s="113" t="s">
        <v>1354</v>
      </c>
      <c r="M15" s="112">
        <v>1000</v>
      </c>
      <c r="N15" s="108" t="s">
        <v>2164</v>
      </c>
      <c r="O15" s="108" t="s">
        <v>2165</v>
      </c>
      <c r="P15" s="119"/>
      <c r="Q15" s="112"/>
      <c r="R15" s="114"/>
      <c r="S15" s="134"/>
    </row>
    <row r="16" spans="1:19" s="73" customFormat="1" ht="13.5">
      <c r="B16" s="104">
        <v>9</v>
      </c>
      <c r="C16" s="105" t="s">
        <v>1098</v>
      </c>
      <c r="D16" s="119"/>
      <c r="E16" s="107" t="s">
        <v>1581</v>
      </c>
      <c r="F16" s="107">
        <v>3</v>
      </c>
      <c r="G16" s="108" t="s">
        <v>2167</v>
      </c>
      <c r="H16" s="109" t="s">
        <v>2168</v>
      </c>
      <c r="I16" s="110">
        <v>9</v>
      </c>
      <c r="J16" s="118" t="s">
        <v>1101</v>
      </c>
      <c r="K16" s="106"/>
      <c r="L16" s="113" t="s">
        <v>1354</v>
      </c>
      <c r="M16" s="112">
        <v>1000</v>
      </c>
      <c r="N16" s="108" t="s">
        <v>2167</v>
      </c>
      <c r="O16" s="108" t="s">
        <v>2168</v>
      </c>
      <c r="P16" s="119"/>
      <c r="Q16" s="112"/>
      <c r="R16" s="114"/>
      <c r="S16" s="134"/>
    </row>
    <row r="17" spans="2:19" s="73" customFormat="1" ht="13.5">
      <c r="B17" s="104">
        <v>10</v>
      </c>
      <c r="C17" s="105" t="s">
        <v>2169</v>
      </c>
      <c r="D17" s="119"/>
      <c r="E17" s="107" t="s">
        <v>913</v>
      </c>
      <c r="F17" s="107">
        <v>8</v>
      </c>
      <c r="G17" s="108" t="s">
        <v>2170</v>
      </c>
      <c r="H17" s="109" t="s">
        <v>2171</v>
      </c>
      <c r="I17" s="110">
        <v>10</v>
      </c>
      <c r="J17" s="117" t="s">
        <v>1419</v>
      </c>
      <c r="K17" s="120"/>
      <c r="L17" s="113" t="s">
        <v>1354</v>
      </c>
      <c r="M17" s="112">
        <v>1000</v>
      </c>
      <c r="N17" s="108" t="s">
        <v>2170</v>
      </c>
      <c r="O17" s="108" t="s">
        <v>2171</v>
      </c>
      <c r="P17" s="112"/>
      <c r="Q17" s="112"/>
      <c r="R17" s="114"/>
      <c r="S17" s="134"/>
    </row>
    <row r="18" spans="2:19" s="73" customFormat="1" ht="13.5">
      <c r="B18" s="104">
        <v>11</v>
      </c>
      <c r="C18" s="105" t="s">
        <v>2172</v>
      </c>
      <c r="D18" s="119"/>
      <c r="E18" s="107" t="s">
        <v>913</v>
      </c>
      <c r="F18" s="107">
        <v>8</v>
      </c>
      <c r="G18" s="108" t="s">
        <v>2173</v>
      </c>
      <c r="H18" s="109" t="s">
        <v>2174</v>
      </c>
      <c r="I18" s="110">
        <v>11</v>
      </c>
      <c r="J18" s="117" t="s">
        <v>1415</v>
      </c>
      <c r="K18" s="112"/>
      <c r="L18" s="113" t="s">
        <v>1354</v>
      </c>
      <c r="M18" s="112">
        <v>1000</v>
      </c>
      <c r="N18" s="114" t="s">
        <v>2173</v>
      </c>
      <c r="O18" s="114" t="s">
        <v>2174</v>
      </c>
      <c r="P18" s="112"/>
      <c r="Q18" s="112"/>
      <c r="R18" s="114"/>
      <c r="S18" s="134"/>
    </row>
    <row r="19" spans="2:19" s="73" customFormat="1" ht="13.5">
      <c r="B19" s="104">
        <v>12</v>
      </c>
      <c r="C19" s="121"/>
      <c r="D19" s="119"/>
      <c r="E19" s="107"/>
      <c r="F19" s="107"/>
      <c r="G19" s="108"/>
      <c r="H19" s="109"/>
      <c r="I19" s="110">
        <v>12</v>
      </c>
      <c r="J19" s="117"/>
      <c r="K19" s="120"/>
      <c r="L19" s="113"/>
      <c r="M19" s="112"/>
      <c r="N19" s="114"/>
      <c r="O19" s="114"/>
      <c r="P19" s="112"/>
      <c r="Q19" s="112"/>
      <c r="R19" s="114"/>
      <c r="S19" s="134"/>
    </row>
    <row r="20" spans="2:19" s="73" customFormat="1" ht="13.5">
      <c r="B20" s="104">
        <v>13</v>
      </c>
      <c r="C20" s="121"/>
      <c r="D20" s="119"/>
      <c r="E20" s="107"/>
      <c r="F20" s="107"/>
      <c r="G20" s="108"/>
      <c r="H20" s="109"/>
      <c r="I20" s="110">
        <v>13</v>
      </c>
      <c r="J20" s="117"/>
      <c r="K20" s="120"/>
      <c r="L20" s="113"/>
      <c r="M20" s="112"/>
      <c r="N20" s="114"/>
      <c r="O20" s="114"/>
      <c r="P20" s="112"/>
      <c r="Q20" s="112"/>
      <c r="R20" s="114"/>
      <c r="S20" s="134"/>
    </row>
    <row r="21" spans="2:19" s="73" customFormat="1" ht="13.5">
      <c r="B21" s="104">
        <v>14</v>
      </c>
      <c r="C21" s="121"/>
      <c r="D21" s="119"/>
      <c r="E21" s="107"/>
      <c r="F21" s="107"/>
      <c r="G21" s="108"/>
      <c r="H21" s="109"/>
      <c r="I21" s="110">
        <v>14</v>
      </c>
      <c r="J21" s="118"/>
      <c r="K21" s="119"/>
      <c r="L21" s="113"/>
      <c r="M21" s="112"/>
      <c r="N21" s="108"/>
      <c r="O21" s="108"/>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9.5" customHeight="1">
      <c r="C52" s="21"/>
      <c r="D52" s="20"/>
      <c r="E52" s="20"/>
      <c r="F52" s="20"/>
      <c r="G52" s="20"/>
      <c r="H52" s="20"/>
      <c r="I52" s="20"/>
      <c r="J52" s="20"/>
      <c r="K52" s="20"/>
      <c r="L52" s="20"/>
      <c r="M52" s="20"/>
      <c r="N52" s="20"/>
      <c r="O52" s="21"/>
      <c r="P52" s="21"/>
      <c r="Q52" s="20"/>
      <c r="R52" s="21"/>
      <c r="S52" s="21"/>
    </row>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c r="C55" s="21"/>
      <c r="D55" s="20"/>
      <c r="E55" s="20"/>
      <c r="F55" s="20"/>
      <c r="G55" s="20"/>
      <c r="H55" s="20"/>
      <c r="I55" s="20"/>
      <c r="J55" s="20"/>
      <c r="K55" s="20"/>
      <c r="L55" s="20"/>
      <c r="M55" s="20"/>
      <c r="N55" s="20"/>
      <c r="O55" s="21"/>
      <c r="P55" s="21"/>
      <c r="Q55" s="20"/>
      <c r="R55" s="21"/>
      <c r="S55" s="21"/>
    </row>
    <row r="56" spans="2:19" customFormat="1" ht="19.5" customHeight="1">
      <c r="C56" s="21"/>
      <c r="D56" s="20"/>
      <c r="E56" s="20"/>
      <c r="F56" s="20"/>
      <c r="G56" s="20"/>
      <c r="H56" s="20"/>
      <c r="I56" s="20"/>
      <c r="J56" s="20"/>
      <c r="K56" s="20"/>
      <c r="L56" s="20"/>
      <c r="M56" s="20"/>
      <c r="N56" s="20"/>
      <c r="O56" s="21"/>
      <c r="P56" s="21"/>
      <c r="Q56" s="20"/>
      <c r="R56" s="21"/>
      <c r="S56" s="21"/>
    </row>
    <row r="57" spans="2:19" customFormat="1" ht="19.5" customHeight="1">
      <c r="C57" s="21"/>
      <c r="D57" s="20"/>
      <c r="E57" s="20"/>
      <c r="F57" s="20"/>
      <c r="G57" s="20"/>
      <c r="H57" s="20"/>
      <c r="I57" s="20"/>
      <c r="J57" s="20"/>
      <c r="K57" s="20"/>
      <c r="L57" s="20"/>
      <c r="M57" s="20"/>
      <c r="N57" s="20"/>
      <c r="O57" s="21"/>
      <c r="P57" s="21"/>
      <c r="Q57" s="20"/>
      <c r="R57" s="21"/>
      <c r="S57" s="21"/>
    </row>
    <row r="58" spans="2:19" customFormat="1" ht="19.5" customHeight="1">
      <c r="C58" s="21"/>
      <c r="D58" s="20"/>
      <c r="E58" s="20"/>
      <c r="F58" s="20"/>
      <c r="G58" s="20"/>
      <c r="H58" s="20"/>
      <c r="I58" s="20"/>
      <c r="J58" s="20"/>
      <c r="K58" s="20"/>
      <c r="L58" s="20"/>
      <c r="M58" s="20"/>
      <c r="N58" s="20"/>
      <c r="O58" s="21"/>
      <c r="P58" s="21"/>
      <c r="Q58" s="20"/>
      <c r="R58" s="21"/>
      <c r="S58" s="21"/>
    </row>
    <row r="59" spans="2:19" customFormat="1" ht="19.5" customHeight="1">
      <c r="C59" s="21"/>
      <c r="D59" s="20"/>
      <c r="E59" s="20"/>
      <c r="F59" s="20"/>
      <c r="G59" s="20"/>
      <c r="H59" s="20"/>
      <c r="I59" s="20"/>
      <c r="J59" s="20"/>
      <c r="K59" s="20"/>
      <c r="L59" s="20"/>
      <c r="M59" s="20"/>
      <c r="N59" s="20"/>
      <c r="O59" s="21"/>
      <c r="P59" s="21"/>
      <c r="Q59" s="20"/>
      <c r="R59" s="21"/>
      <c r="S59" s="21"/>
    </row>
    <row r="60" spans="2:19" customFormat="1" ht="19.5" customHeight="1"/>
    <row r="61" spans="2:19" customFormat="1" ht="19.5" customHeight="1"/>
    <row r="62" spans="2:19" customFormat="1" ht="19.5" customHeight="1"/>
    <row r="63" spans="2:19" customFormat="1" ht="19.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customFormat="1" ht="15" customHeight="1"/>
    <row r="82" customFormat="1" ht="15" customHeight="1"/>
    <row r="83" customFormat="1" ht="15" customHeight="1"/>
    <row r="84" s="73" customFormat="1" ht="15" customHeight="1"/>
    <row r="85" s="73" customFormat="1" ht="15" customHeight="1"/>
    <row r="86" s="73" customFormat="1" ht="15" customHeight="1"/>
    <row r="87"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EE473724-588D-443E-9B10-B445FF65B371}"/>
  </hyperlinks>
  <pageMargins left="0.7" right="0.7" top="0.75" bottom="0.75" header="0.3" footer="0.3"/>
  <customProperties>
    <customPr name="_pios_id" r:id="rId1"/>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4720-3D8D-4897-9963-45050A3127D2}">
  <sheetPr>
    <tabColor rgb="FFFFFF00"/>
  </sheetPr>
  <dimension ref="A1:S81"/>
  <sheetViews>
    <sheetView zoomScaleNormal="100" workbookViewId="0"/>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2175</v>
      </c>
      <c r="C2" s="993"/>
      <c r="D2" s="993"/>
      <c r="E2" s="993"/>
      <c r="F2" s="993"/>
      <c r="G2" s="993"/>
      <c r="H2" s="993"/>
      <c r="I2" s="994"/>
      <c r="J2" s="70" t="s">
        <v>816</v>
      </c>
      <c r="K2" s="998" t="s">
        <v>128</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823</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2176</v>
      </c>
      <c r="D8" s="119" t="s">
        <v>42</v>
      </c>
      <c r="E8" s="107" t="s">
        <v>845</v>
      </c>
      <c r="F8" s="107">
        <v>12</v>
      </c>
      <c r="G8" s="108" t="s">
        <v>2177</v>
      </c>
      <c r="H8" s="109" t="s">
        <v>2178</v>
      </c>
      <c r="I8" s="110">
        <v>1</v>
      </c>
      <c r="J8" s="117" t="s">
        <v>2179</v>
      </c>
      <c r="K8" s="112" t="s">
        <v>42</v>
      </c>
      <c r="L8" s="113" t="s">
        <v>1354</v>
      </c>
      <c r="M8" s="112">
        <v>1000</v>
      </c>
      <c r="N8" s="114" t="s">
        <v>2180</v>
      </c>
      <c r="O8" s="114" t="s">
        <v>2178</v>
      </c>
      <c r="P8" s="112"/>
      <c r="Q8" s="112"/>
      <c r="R8" s="114"/>
      <c r="S8" s="134"/>
    </row>
    <row r="9" spans="1:19" s="73" customFormat="1" ht="13.5">
      <c r="B9" s="104">
        <v>2</v>
      </c>
      <c r="C9" s="105" t="s">
        <v>1068</v>
      </c>
      <c r="D9" s="119"/>
      <c r="E9" s="107" t="s">
        <v>845</v>
      </c>
      <c r="F9" s="107">
        <v>18</v>
      </c>
      <c r="G9" s="108" t="s">
        <v>1069</v>
      </c>
      <c r="H9" s="109" t="s">
        <v>1070</v>
      </c>
      <c r="I9" s="110">
        <v>2</v>
      </c>
      <c r="J9" s="117" t="s">
        <v>1271</v>
      </c>
      <c r="K9" s="119"/>
      <c r="L9" s="113" t="s">
        <v>1354</v>
      </c>
      <c r="M9" s="112">
        <v>1000</v>
      </c>
      <c r="N9" s="114" t="s">
        <v>1069</v>
      </c>
      <c r="O9" s="114" t="s">
        <v>1070</v>
      </c>
      <c r="P9" s="112"/>
      <c r="Q9" s="112"/>
      <c r="R9" s="114"/>
      <c r="S9" s="134"/>
    </row>
    <row r="10" spans="1:19" s="73" customFormat="1" ht="13.5">
      <c r="B10" s="104">
        <v>3</v>
      </c>
      <c r="C10" s="105" t="s">
        <v>2181</v>
      </c>
      <c r="D10" s="119"/>
      <c r="E10" s="107" t="s">
        <v>845</v>
      </c>
      <c r="F10" s="107">
        <v>8</v>
      </c>
      <c r="G10" s="108" t="s">
        <v>2182</v>
      </c>
      <c r="H10" s="109" t="s">
        <v>2183</v>
      </c>
      <c r="I10" s="110">
        <v>3</v>
      </c>
      <c r="J10" s="117" t="s">
        <v>2184</v>
      </c>
      <c r="K10" s="119"/>
      <c r="L10" s="113" t="s">
        <v>1354</v>
      </c>
      <c r="M10" s="112">
        <v>1000</v>
      </c>
      <c r="N10" s="114" t="s">
        <v>2185</v>
      </c>
      <c r="O10" s="114" t="s">
        <v>2183</v>
      </c>
      <c r="P10" s="112"/>
      <c r="Q10" s="112"/>
      <c r="R10" s="114"/>
      <c r="S10" s="134"/>
    </row>
    <row r="11" spans="1:19" s="73" customFormat="1" ht="13.5">
      <c r="B11" s="104">
        <v>4</v>
      </c>
      <c r="C11" s="105" t="s">
        <v>2186</v>
      </c>
      <c r="D11" s="119"/>
      <c r="E11" s="107" t="s">
        <v>1306</v>
      </c>
      <c r="F11" s="107">
        <v>13.3</v>
      </c>
      <c r="G11" s="108" t="s">
        <v>2187</v>
      </c>
      <c r="H11" s="109" t="s">
        <v>2188</v>
      </c>
      <c r="I11" s="110">
        <v>4</v>
      </c>
      <c r="J11" s="118" t="s">
        <v>2189</v>
      </c>
      <c r="K11" s="119"/>
      <c r="L11" s="113" t="s">
        <v>1354</v>
      </c>
      <c r="M11" s="112">
        <v>1000</v>
      </c>
      <c r="N11" s="108" t="s">
        <v>2190</v>
      </c>
      <c r="O11" s="108" t="s">
        <v>2188</v>
      </c>
      <c r="P11" s="119"/>
      <c r="Q11" s="119"/>
      <c r="R11" s="108"/>
      <c r="S11" s="134"/>
    </row>
    <row r="12" spans="1:19" s="73" customFormat="1" ht="13.5">
      <c r="B12" s="104">
        <v>5</v>
      </c>
      <c r="C12" s="105" t="s">
        <v>2191</v>
      </c>
      <c r="D12" s="119"/>
      <c r="E12" s="107" t="s">
        <v>913</v>
      </c>
      <c r="F12" s="107">
        <v>8</v>
      </c>
      <c r="G12" s="108" t="s">
        <v>2192</v>
      </c>
      <c r="H12" s="109" t="s">
        <v>2193</v>
      </c>
      <c r="I12" s="110">
        <v>5</v>
      </c>
      <c r="J12" s="118" t="s">
        <v>2194</v>
      </c>
      <c r="K12" s="119"/>
      <c r="L12" s="113" t="s">
        <v>1354</v>
      </c>
      <c r="M12" s="112">
        <v>1000</v>
      </c>
      <c r="N12" s="108" t="s">
        <v>2195</v>
      </c>
      <c r="O12" s="108" t="s">
        <v>2193</v>
      </c>
      <c r="P12" s="119"/>
      <c r="Q12" s="119"/>
      <c r="R12" s="108"/>
      <c r="S12" s="134"/>
    </row>
    <row r="13" spans="1:19" s="73" customFormat="1" ht="13.5">
      <c r="B13" s="104">
        <v>6</v>
      </c>
      <c r="C13" s="105" t="s">
        <v>2196</v>
      </c>
      <c r="D13" s="119"/>
      <c r="E13" s="107" t="s">
        <v>913</v>
      </c>
      <c r="F13" s="107">
        <v>8</v>
      </c>
      <c r="G13" s="108" t="s">
        <v>2197</v>
      </c>
      <c r="H13" s="109" t="s">
        <v>2198</v>
      </c>
      <c r="I13" s="110">
        <v>6</v>
      </c>
      <c r="J13" s="118" t="s">
        <v>2199</v>
      </c>
      <c r="K13" s="119"/>
      <c r="L13" s="113" t="s">
        <v>1354</v>
      </c>
      <c r="M13" s="112">
        <v>1000</v>
      </c>
      <c r="N13" s="108" t="s">
        <v>2200</v>
      </c>
      <c r="O13" s="108" t="s">
        <v>2198</v>
      </c>
      <c r="P13" s="119"/>
      <c r="Q13" s="112"/>
      <c r="R13" s="114"/>
      <c r="S13" s="134"/>
    </row>
    <row r="14" spans="1:19" s="73" customFormat="1" ht="13.5">
      <c r="B14" s="104">
        <v>7</v>
      </c>
      <c r="C14" s="105" t="s">
        <v>2201</v>
      </c>
      <c r="D14" s="119"/>
      <c r="E14" s="107" t="s">
        <v>913</v>
      </c>
      <c r="F14" s="107">
        <v>8</v>
      </c>
      <c r="G14" s="108" t="s">
        <v>2202</v>
      </c>
      <c r="H14" s="109" t="s">
        <v>2203</v>
      </c>
      <c r="I14" s="110">
        <v>7</v>
      </c>
      <c r="J14" s="118" t="s">
        <v>2204</v>
      </c>
      <c r="K14" s="106"/>
      <c r="L14" s="113" t="s">
        <v>1354</v>
      </c>
      <c r="M14" s="112">
        <v>1000</v>
      </c>
      <c r="N14" s="108" t="s">
        <v>2205</v>
      </c>
      <c r="O14" s="108" t="s">
        <v>2203</v>
      </c>
      <c r="P14" s="119"/>
      <c r="Q14" s="112"/>
      <c r="R14" s="114"/>
      <c r="S14" s="134"/>
    </row>
    <row r="15" spans="1:19" s="73" customFormat="1" ht="13.5">
      <c r="B15" s="104">
        <v>8</v>
      </c>
      <c r="C15" s="105" t="s">
        <v>2206</v>
      </c>
      <c r="D15" s="119"/>
      <c r="E15" s="107" t="s">
        <v>913</v>
      </c>
      <c r="F15" s="107">
        <v>8</v>
      </c>
      <c r="G15" s="108" t="s">
        <v>2207</v>
      </c>
      <c r="H15" s="109" t="s">
        <v>2208</v>
      </c>
      <c r="I15" s="110">
        <v>8</v>
      </c>
      <c r="J15" s="118" t="s">
        <v>2209</v>
      </c>
      <c r="K15" s="106"/>
      <c r="L15" s="113" t="s">
        <v>1354</v>
      </c>
      <c r="M15" s="112">
        <v>1000</v>
      </c>
      <c r="N15" s="108" t="s">
        <v>2210</v>
      </c>
      <c r="O15" s="108" t="s">
        <v>2208</v>
      </c>
      <c r="P15" s="119"/>
      <c r="Q15" s="112"/>
      <c r="R15" s="114"/>
      <c r="S15" s="134"/>
    </row>
    <row r="16" spans="1:19" s="73" customFormat="1" ht="13.5">
      <c r="B16" s="104">
        <v>9</v>
      </c>
      <c r="C16" s="105" t="s">
        <v>2211</v>
      </c>
      <c r="D16" s="119"/>
      <c r="E16" s="107" t="s">
        <v>845</v>
      </c>
      <c r="F16" s="107">
        <v>1</v>
      </c>
      <c r="G16" s="108" t="s">
        <v>2212</v>
      </c>
      <c r="H16" s="109" t="s">
        <v>2213</v>
      </c>
      <c r="I16" s="110">
        <v>9</v>
      </c>
      <c r="J16" s="118" t="s">
        <v>2214</v>
      </c>
      <c r="K16" s="106"/>
      <c r="L16" s="113" t="s">
        <v>1354</v>
      </c>
      <c r="M16" s="112">
        <v>1000</v>
      </c>
      <c r="N16" s="108" t="s">
        <v>2215</v>
      </c>
      <c r="O16" s="108" t="s">
        <v>2213</v>
      </c>
      <c r="P16" s="119"/>
      <c r="Q16" s="112"/>
      <c r="R16" s="114"/>
      <c r="S16" s="134"/>
    </row>
    <row r="17" spans="2:19" s="73" customFormat="1" ht="13.5">
      <c r="B17" s="104">
        <v>10</v>
      </c>
      <c r="C17" s="105" t="s">
        <v>2216</v>
      </c>
      <c r="D17" s="119"/>
      <c r="E17" s="107" t="s">
        <v>1306</v>
      </c>
      <c r="F17" s="107">
        <v>13.3</v>
      </c>
      <c r="G17" s="108" t="s">
        <v>2217</v>
      </c>
      <c r="H17" s="109" t="s">
        <v>2218</v>
      </c>
      <c r="I17" s="110">
        <v>10</v>
      </c>
      <c r="J17" s="117" t="s">
        <v>2219</v>
      </c>
      <c r="K17" s="120"/>
      <c r="L17" s="113" t="s">
        <v>1354</v>
      </c>
      <c r="M17" s="112">
        <v>1000</v>
      </c>
      <c r="N17" s="108" t="s">
        <v>2220</v>
      </c>
      <c r="O17" s="108" t="s">
        <v>2218</v>
      </c>
      <c r="P17" s="112"/>
      <c r="Q17" s="112"/>
      <c r="R17" s="114"/>
      <c r="S17" s="134"/>
    </row>
    <row r="18" spans="2:19" s="73" customFormat="1" ht="13.5">
      <c r="B18" s="104">
        <v>11</v>
      </c>
      <c r="C18" s="105" t="s">
        <v>1098</v>
      </c>
      <c r="D18" s="119"/>
      <c r="E18" s="107" t="s">
        <v>1581</v>
      </c>
      <c r="F18" s="107">
        <v>3</v>
      </c>
      <c r="G18" s="108" t="s">
        <v>1099</v>
      </c>
      <c r="H18" s="109" t="s">
        <v>1100</v>
      </c>
      <c r="I18" s="110">
        <v>11</v>
      </c>
      <c r="J18" s="117" t="s">
        <v>1101</v>
      </c>
      <c r="K18" s="112"/>
      <c r="L18" s="113" t="s">
        <v>1354</v>
      </c>
      <c r="M18" s="112">
        <v>1000</v>
      </c>
      <c r="N18" s="114" t="s">
        <v>1099</v>
      </c>
      <c r="O18" s="114" t="s">
        <v>1100</v>
      </c>
      <c r="P18" s="112"/>
      <c r="Q18" s="112"/>
      <c r="R18" s="114"/>
      <c r="S18" s="134"/>
    </row>
    <row r="19" spans="2:19" s="73" customFormat="1" ht="27">
      <c r="B19" s="104">
        <v>12</v>
      </c>
      <c r="C19" s="121" t="s">
        <v>2221</v>
      </c>
      <c r="D19" s="119"/>
      <c r="E19" s="107" t="s">
        <v>845</v>
      </c>
      <c r="F19" s="107">
        <v>4</v>
      </c>
      <c r="G19" s="108" t="s">
        <v>2222</v>
      </c>
      <c r="H19" s="109" t="s">
        <v>2223</v>
      </c>
      <c r="I19" s="110">
        <v>12</v>
      </c>
      <c r="J19" s="117" t="s">
        <v>2224</v>
      </c>
      <c r="K19" s="120"/>
      <c r="L19" s="113" t="s">
        <v>1354</v>
      </c>
      <c r="M19" s="112">
        <v>1000</v>
      </c>
      <c r="N19" s="114" t="s">
        <v>2225</v>
      </c>
      <c r="O19" s="114" t="s">
        <v>2223</v>
      </c>
      <c r="P19" s="112"/>
      <c r="Q19" s="112"/>
      <c r="R19" s="114"/>
      <c r="S19" s="134"/>
    </row>
    <row r="20" spans="2:19" s="73" customFormat="1" ht="13.5">
      <c r="B20" s="104">
        <v>13</v>
      </c>
      <c r="C20" s="121" t="s">
        <v>1355</v>
      </c>
      <c r="D20" s="119"/>
      <c r="E20" s="107" t="s">
        <v>845</v>
      </c>
      <c r="F20" s="107">
        <v>1</v>
      </c>
      <c r="G20" s="108" t="s">
        <v>1358</v>
      </c>
      <c r="H20" s="109" t="s">
        <v>2226</v>
      </c>
      <c r="I20" s="110">
        <v>13</v>
      </c>
      <c r="J20" s="117" t="s">
        <v>895</v>
      </c>
      <c r="K20" s="120"/>
      <c r="L20" s="113" t="s">
        <v>1354</v>
      </c>
      <c r="M20" s="112">
        <v>1000</v>
      </c>
      <c r="N20" s="114" t="s">
        <v>1358</v>
      </c>
      <c r="O20" s="114" t="s">
        <v>2226</v>
      </c>
      <c r="P20" s="112"/>
      <c r="Q20" s="112"/>
      <c r="R20" s="114"/>
      <c r="S20" s="134"/>
    </row>
    <row r="21" spans="2:19" s="73" customFormat="1" ht="13.5">
      <c r="B21" s="104">
        <v>14</v>
      </c>
      <c r="C21" s="121" t="s">
        <v>1273</v>
      </c>
      <c r="D21" s="119" t="s">
        <v>42</v>
      </c>
      <c r="E21" s="107" t="s">
        <v>845</v>
      </c>
      <c r="F21" s="107">
        <v>4</v>
      </c>
      <c r="G21" s="108" t="s">
        <v>1274</v>
      </c>
      <c r="H21" s="109" t="s">
        <v>1599</v>
      </c>
      <c r="I21" s="110">
        <v>14</v>
      </c>
      <c r="J21" s="118" t="s">
        <v>1144</v>
      </c>
      <c r="K21" s="119" t="s">
        <v>42</v>
      </c>
      <c r="L21" s="113" t="s">
        <v>1354</v>
      </c>
      <c r="M21" s="112">
        <v>1000</v>
      </c>
      <c r="N21" s="108" t="s">
        <v>1274</v>
      </c>
      <c r="O21" s="108" t="s">
        <v>1599</v>
      </c>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9.5" customHeight="1">
      <c r="C52" s="21"/>
      <c r="D52" s="20"/>
      <c r="E52" s="20"/>
      <c r="F52" s="20"/>
      <c r="G52" s="20"/>
      <c r="H52" s="20"/>
      <c r="I52" s="20"/>
      <c r="J52" s="20"/>
      <c r="K52" s="20"/>
      <c r="L52" s="20"/>
      <c r="M52" s="20"/>
      <c r="N52" s="20"/>
      <c r="O52" s="21"/>
      <c r="P52" s="21"/>
      <c r="Q52" s="20"/>
      <c r="R52" s="21"/>
      <c r="S52" s="21"/>
    </row>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row r="55" spans="2:19" customFormat="1" ht="19.5" customHeight="1"/>
    <row r="56" spans="2:19" customFormat="1" ht="19.5" customHeight="1"/>
    <row r="57" spans="2:19" customFormat="1" ht="19.5" customHeight="1"/>
    <row r="58" spans="2:19" customFormat="1" ht="15" customHeight="1"/>
    <row r="59" spans="2:19" customFormat="1" ht="15" customHeight="1"/>
    <row r="60" spans="2:19" customFormat="1" ht="15" customHeight="1"/>
    <row r="61" spans="2:19" customFormat="1" ht="15" customHeight="1"/>
    <row r="62" spans="2:19" customFormat="1" ht="15" customHeight="1"/>
    <row r="63" spans="2:19" customFormat="1" ht="1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s="73" customFormat="1" ht="15" customHeight="1"/>
    <row r="79" s="73" customFormat="1" ht="15" customHeight="1"/>
    <row r="80" s="73" customFormat="1" ht="15" customHeight="1"/>
    <row r="81"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A1781779-8C5D-48DF-8B25-DE44BA1CD9A5}"/>
  </hyperlinks>
  <pageMargins left="0.7" right="0.7" top="0.75" bottom="0.75" header="0.3" footer="0.3"/>
  <customProperties>
    <customPr name="_pios_id" r:id="rId1"/>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AEF2D-71EA-4184-91C2-D1C337D4403C}">
  <dimension ref="A1:S83"/>
  <sheetViews>
    <sheetView showGridLines="0" zoomScaleNormal="100" workbookViewId="0"/>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2227</v>
      </c>
      <c r="C2" s="993"/>
      <c r="D2" s="993"/>
      <c r="E2" s="993"/>
      <c r="F2" s="993"/>
      <c r="G2" s="993"/>
      <c r="H2" s="993"/>
      <c r="I2" s="994"/>
      <c r="J2" s="70" t="s">
        <v>816</v>
      </c>
      <c r="K2" s="998" t="s">
        <v>128</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823</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2228</v>
      </c>
      <c r="D8" s="119"/>
      <c r="E8" s="107" t="s">
        <v>845</v>
      </c>
      <c r="F8" s="107">
        <v>4</v>
      </c>
      <c r="G8" s="108" t="s">
        <v>2229</v>
      </c>
      <c r="H8" s="109" t="s">
        <v>2230</v>
      </c>
      <c r="I8" s="110">
        <v>1</v>
      </c>
      <c r="J8" s="117" t="s">
        <v>2231</v>
      </c>
      <c r="K8" s="112"/>
      <c r="L8" s="113" t="s">
        <v>1354</v>
      </c>
      <c r="M8" s="112">
        <v>1000</v>
      </c>
      <c r="N8" s="114" t="s">
        <v>2229</v>
      </c>
      <c r="O8" s="114" t="s">
        <v>2230</v>
      </c>
      <c r="P8" s="112"/>
      <c r="Q8" s="112"/>
      <c r="R8" s="114"/>
      <c r="S8" s="134"/>
    </row>
    <row r="9" spans="1:19" s="73" customFormat="1" ht="13.5">
      <c r="B9" s="104">
        <v>2</v>
      </c>
      <c r="C9" s="105" t="s">
        <v>2232</v>
      </c>
      <c r="D9" s="119"/>
      <c r="E9" s="107" t="s">
        <v>845</v>
      </c>
      <c r="F9" s="107">
        <v>10</v>
      </c>
      <c r="G9" s="108" t="s">
        <v>2233</v>
      </c>
      <c r="H9" s="109" t="s">
        <v>2234</v>
      </c>
      <c r="I9" s="110">
        <v>2</v>
      </c>
      <c r="J9" s="117" t="s">
        <v>2179</v>
      </c>
      <c r="K9" s="119"/>
      <c r="L9" s="113" t="s">
        <v>1354</v>
      </c>
      <c r="M9" s="112">
        <v>1000</v>
      </c>
      <c r="N9" s="114" t="s">
        <v>2233</v>
      </c>
      <c r="O9" s="114" t="s">
        <v>2234</v>
      </c>
      <c r="P9" s="112"/>
      <c r="Q9" s="112"/>
      <c r="R9" s="114"/>
      <c r="S9" s="134"/>
    </row>
    <row r="10" spans="1:19" s="73" customFormat="1" ht="13.5">
      <c r="B10" s="104">
        <v>3</v>
      </c>
      <c r="C10" s="105" t="s">
        <v>2235</v>
      </c>
      <c r="D10" s="119"/>
      <c r="E10" s="107" t="s">
        <v>845</v>
      </c>
      <c r="F10" s="107">
        <v>18</v>
      </c>
      <c r="G10" s="108" t="s">
        <v>2236</v>
      </c>
      <c r="H10" s="109" t="s">
        <v>2237</v>
      </c>
      <c r="I10" s="110">
        <v>3</v>
      </c>
      <c r="J10" s="117" t="s">
        <v>2238</v>
      </c>
      <c r="K10" s="119"/>
      <c r="L10" s="113" t="s">
        <v>1354</v>
      </c>
      <c r="M10" s="112">
        <v>1000</v>
      </c>
      <c r="N10" s="114" t="s">
        <v>2236</v>
      </c>
      <c r="O10" s="114" t="s">
        <v>2237</v>
      </c>
      <c r="P10" s="112"/>
      <c r="Q10" s="112"/>
      <c r="R10" s="114"/>
      <c r="S10" s="134"/>
    </row>
    <row r="11" spans="1:19" s="73" customFormat="1" ht="13.5">
      <c r="B11" s="104">
        <v>4</v>
      </c>
      <c r="C11" s="105" t="s">
        <v>1273</v>
      </c>
      <c r="D11" s="119"/>
      <c r="E11" s="107" t="s">
        <v>845</v>
      </c>
      <c r="F11" s="107">
        <v>4</v>
      </c>
      <c r="G11" s="108" t="s">
        <v>1274</v>
      </c>
      <c r="H11" s="109" t="s">
        <v>1599</v>
      </c>
      <c r="I11" s="110">
        <v>4</v>
      </c>
      <c r="J11" s="118" t="s">
        <v>1144</v>
      </c>
      <c r="K11" s="119"/>
      <c r="L11" s="113" t="s">
        <v>1354</v>
      </c>
      <c r="M11" s="112">
        <v>1000</v>
      </c>
      <c r="N11" s="108" t="s">
        <v>1274</v>
      </c>
      <c r="O11" s="108" t="s">
        <v>1599</v>
      </c>
      <c r="P11" s="119"/>
      <c r="Q11" s="119"/>
      <c r="R11" s="108"/>
      <c r="S11" s="134"/>
    </row>
    <row r="12" spans="1:19" s="73" customFormat="1" ht="13.5">
      <c r="B12" s="104">
        <v>5</v>
      </c>
      <c r="C12" s="105" t="s">
        <v>1068</v>
      </c>
      <c r="D12" s="119"/>
      <c r="E12" s="107" t="s">
        <v>845</v>
      </c>
      <c r="F12" s="107">
        <v>18</v>
      </c>
      <c r="G12" s="108" t="s">
        <v>1069</v>
      </c>
      <c r="H12" s="109" t="s">
        <v>1070</v>
      </c>
      <c r="I12" s="110">
        <v>5</v>
      </c>
      <c r="J12" s="118" t="s">
        <v>1271</v>
      </c>
      <c r="K12" s="119"/>
      <c r="L12" s="113" t="s">
        <v>1354</v>
      </c>
      <c r="M12" s="112">
        <v>1000</v>
      </c>
      <c r="N12" s="108" t="s">
        <v>1069</v>
      </c>
      <c r="O12" s="108" t="s">
        <v>1070</v>
      </c>
      <c r="P12" s="119"/>
      <c r="Q12" s="119"/>
      <c r="R12" s="108"/>
      <c r="S12" s="134"/>
    </row>
    <row r="13" spans="1:19" s="73" customFormat="1" ht="13.5">
      <c r="B13" s="104">
        <v>6</v>
      </c>
      <c r="C13" s="105" t="s">
        <v>2239</v>
      </c>
      <c r="D13" s="119"/>
      <c r="E13" s="107" t="s">
        <v>845</v>
      </c>
      <c r="F13" s="107">
        <v>10</v>
      </c>
      <c r="G13" s="108" t="s">
        <v>2240</v>
      </c>
      <c r="H13" s="109" t="s">
        <v>2241</v>
      </c>
      <c r="I13" s="110">
        <v>6</v>
      </c>
      <c r="J13" s="118" t="s">
        <v>2241</v>
      </c>
      <c r="K13" s="119"/>
      <c r="L13" s="113" t="s">
        <v>1354</v>
      </c>
      <c r="M13" s="112">
        <v>1000</v>
      </c>
      <c r="N13" s="108" t="s">
        <v>2240</v>
      </c>
      <c r="O13" s="108" t="s">
        <v>2241</v>
      </c>
      <c r="P13" s="119"/>
      <c r="Q13" s="112"/>
      <c r="R13" s="114"/>
      <c r="S13" s="134"/>
    </row>
    <row r="14" spans="1:19" s="73" customFormat="1" ht="13.5">
      <c r="B14" s="104">
        <v>7</v>
      </c>
      <c r="C14" s="105" t="s">
        <v>2242</v>
      </c>
      <c r="D14" s="119"/>
      <c r="E14" s="107" t="s">
        <v>913</v>
      </c>
      <c r="F14" s="107">
        <v>8</v>
      </c>
      <c r="G14" s="108" t="s">
        <v>2243</v>
      </c>
      <c r="H14" s="109" t="s">
        <v>2244</v>
      </c>
      <c r="I14" s="110">
        <v>7</v>
      </c>
      <c r="J14" s="118" t="s">
        <v>2245</v>
      </c>
      <c r="K14" s="106"/>
      <c r="L14" s="113" t="s">
        <v>1354</v>
      </c>
      <c r="M14" s="112">
        <v>1000</v>
      </c>
      <c r="N14" s="108" t="s">
        <v>2243</v>
      </c>
      <c r="O14" s="108" t="s">
        <v>2244</v>
      </c>
      <c r="P14" s="119"/>
      <c r="Q14" s="112"/>
      <c r="R14" s="114"/>
      <c r="S14" s="134"/>
    </row>
    <row r="15" spans="1:19" s="73" customFormat="1" ht="13.5">
      <c r="B15" s="104">
        <v>8</v>
      </c>
      <c r="C15" s="105" t="s">
        <v>2163</v>
      </c>
      <c r="D15" s="119"/>
      <c r="E15" s="107" t="s">
        <v>1306</v>
      </c>
      <c r="F15" s="107">
        <v>13.3</v>
      </c>
      <c r="G15" s="108" t="s">
        <v>2246</v>
      </c>
      <c r="H15" s="109" t="s">
        <v>2247</v>
      </c>
      <c r="I15" s="110">
        <v>8</v>
      </c>
      <c r="J15" s="118" t="s">
        <v>2189</v>
      </c>
      <c r="K15" s="106"/>
      <c r="L15" s="113" t="s">
        <v>1354</v>
      </c>
      <c r="M15" s="112">
        <v>1000</v>
      </c>
      <c r="N15" s="108" t="s">
        <v>2246</v>
      </c>
      <c r="O15" s="108" t="s">
        <v>2247</v>
      </c>
      <c r="P15" s="119"/>
      <c r="Q15" s="112"/>
      <c r="R15" s="114"/>
      <c r="S15" s="134"/>
    </row>
    <row r="16" spans="1:19" s="73" customFormat="1" ht="13.5">
      <c r="B16" s="104">
        <v>9</v>
      </c>
      <c r="C16" s="105" t="s">
        <v>2248</v>
      </c>
      <c r="D16" s="119"/>
      <c r="E16" s="107" t="s">
        <v>1306</v>
      </c>
      <c r="F16" s="107">
        <v>13.3</v>
      </c>
      <c r="G16" s="108" t="s">
        <v>2249</v>
      </c>
      <c r="H16" s="109" t="s">
        <v>2250</v>
      </c>
      <c r="I16" s="110">
        <v>9</v>
      </c>
      <c r="J16" s="118" t="s">
        <v>2251</v>
      </c>
      <c r="K16" s="106"/>
      <c r="L16" s="113" t="s">
        <v>1354</v>
      </c>
      <c r="M16" s="112">
        <v>1000</v>
      </c>
      <c r="N16" s="108" t="s">
        <v>2249</v>
      </c>
      <c r="O16" s="108" t="s">
        <v>2250</v>
      </c>
      <c r="P16" s="119"/>
      <c r="Q16" s="112"/>
      <c r="R16" s="114"/>
      <c r="S16" s="134"/>
    </row>
    <row r="17" spans="2:19" s="73" customFormat="1" ht="13.5">
      <c r="B17" s="104">
        <v>10</v>
      </c>
      <c r="C17" s="105" t="s">
        <v>1098</v>
      </c>
      <c r="D17" s="119"/>
      <c r="E17" s="107" t="s">
        <v>1581</v>
      </c>
      <c r="F17" s="107">
        <v>3</v>
      </c>
      <c r="G17" s="108" t="s">
        <v>2252</v>
      </c>
      <c r="H17" s="109" t="s">
        <v>2253</v>
      </c>
      <c r="I17" s="110">
        <v>10</v>
      </c>
      <c r="J17" s="117" t="s">
        <v>1101</v>
      </c>
      <c r="K17" s="120"/>
      <c r="L17" s="113" t="s">
        <v>1354</v>
      </c>
      <c r="M17" s="112">
        <v>1000</v>
      </c>
      <c r="N17" s="108" t="s">
        <v>2252</v>
      </c>
      <c r="O17" s="108" t="s">
        <v>2253</v>
      </c>
      <c r="P17" s="112"/>
      <c r="Q17" s="112"/>
      <c r="R17" s="114"/>
      <c r="S17" s="134"/>
    </row>
    <row r="18" spans="2:19" s="73" customFormat="1" ht="27">
      <c r="B18" s="104">
        <v>11</v>
      </c>
      <c r="C18" s="105" t="s">
        <v>2254</v>
      </c>
      <c r="D18" s="119"/>
      <c r="E18" s="107" t="s">
        <v>845</v>
      </c>
      <c r="F18" s="107">
        <v>1</v>
      </c>
      <c r="G18" s="108" t="s">
        <v>2255</v>
      </c>
      <c r="H18" s="109" t="s">
        <v>2256</v>
      </c>
      <c r="I18" s="110">
        <v>11</v>
      </c>
      <c r="J18" s="117" t="s">
        <v>2214</v>
      </c>
      <c r="K18" s="112"/>
      <c r="L18" s="113" t="s">
        <v>1354</v>
      </c>
      <c r="M18" s="112">
        <v>1000</v>
      </c>
      <c r="N18" s="114" t="s">
        <v>2255</v>
      </c>
      <c r="O18" s="114" t="s">
        <v>2256</v>
      </c>
      <c r="P18" s="112"/>
      <c r="Q18" s="112"/>
      <c r="R18" s="114"/>
      <c r="S18" s="134"/>
    </row>
    <row r="19" spans="2:19" s="73" customFormat="1" ht="27">
      <c r="B19" s="104">
        <v>12</v>
      </c>
      <c r="C19" s="121" t="s">
        <v>2257</v>
      </c>
      <c r="D19" s="119"/>
      <c r="E19" s="107" t="s">
        <v>845</v>
      </c>
      <c r="F19" s="107">
        <v>1</v>
      </c>
      <c r="G19" s="108" t="s">
        <v>2258</v>
      </c>
      <c r="H19" s="109" t="s">
        <v>2259</v>
      </c>
      <c r="I19" s="110">
        <v>12</v>
      </c>
      <c r="J19" s="117" t="s">
        <v>2224</v>
      </c>
      <c r="K19" s="120"/>
      <c r="L19" s="113" t="s">
        <v>1354</v>
      </c>
      <c r="M19" s="112">
        <v>1000</v>
      </c>
      <c r="N19" s="114" t="s">
        <v>2260</v>
      </c>
      <c r="O19" s="114" t="s">
        <v>2259</v>
      </c>
      <c r="P19" s="112"/>
      <c r="Q19" s="112"/>
      <c r="R19" s="114"/>
      <c r="S19" s="134"/>
    </row>
    <row r="20" spans="2:19" s="73" customFormat="1" ht="13.5">
      <c r="B20" s="104">
        <v>13</v>
      </c>
      <c r="C20" s="121" t="s">
        <v>1355</v>
      </c>
      <c r="D20" s="119"/>
      <c r="E20" s="107" t="s">
        <v>845</v>
      </c>
      <c r="F20" s="107">
        <v>1</v>
      </c>
      <c r="G20" s="108" t="s">
        <v>1358</v>
      </c>
      <c r="H20" s="109" t="s">
        <v>2226</v>
      </c>
      <c r="I20" s="110">
        <v>13</v>
      </c>
      <c r="J20" s="117" t="s">
        <v>895</v>
      </c>
      <c r="K20" s="120"/>
      <c r="L20" s="113" t="s">
        <v>1354</v>
      </c>
      <c r="M20" s="112">
        <v>1000</v>
      </c>
      <c r="N20" s="114" t="s">
        <v>1358</v>
      </c>
      <c r="O20" s="114" t="s">
        <v>2226</v>
      </c>
      <c r="P20" s="112"/>
      <c r="Q20" s="112"/>
      <c r="R20" s="114"/>
      <c r="S20" s="134"/>
    </row>
    <row r="21" spans="2:19" s="73" customFormat="1" ht="13.5">
      <c r="B21" s="104">
        <v>14</v>
      </c>
      <c r="C21" s="121"/>
      <c r="D21" s="119"/>
      <c r="E21" s="107"/>
      <c r="F21" s="107"/>
      <c r="G21" s="108"/>
      <c r="H21" s="109"/>
      <c r="I21" s="110">
        <v>14</v>
      </c>
      <c r="J21" s="118"/>
      <c r="K21" s="119"/>
      <c r="L21" s="113"/>
      <c r="M21" s="112"/>
      <c r="N21" s="108"/>
      <c r="O21" s="108"/>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9.5" customHeight="1">
      <c r="C52" s="21"/>
      <c r="D52" s="20"/>
      <c r="E52" s="20"/>
      <c r="F52" s="20"/>
      <c r="G52" s="20"/>
      <c r="H52" s="20"/>
      <c r="I52" s="20"/>
      <c r="J52" s="20"/>
      <c r="K52" s="20"/>
      <c r="L52" s="20"/>
      <c r="M52" s="20"/>
      <c r="N52" s="20"/>
      <c r="O52" s="21"/>
      <c r="P52" s="21"/>
      <c r="Q52" s="20"/>
      <c r="R52" s="21"/>
      <c r="S52" s="21"/>
    </row>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c r="C55" s="21"/>
      <c r="D55" s="20"/>
      <c r="E55" s="20"/>
      <c r="F55" s="20"/>
      <c r="G55" s="20"/>
      <c r="H55" s="20"/>
      <c r="I55" s="20"/>
      <c r="J55" s="20"/>
      <c r="K55" s="20"/>
      <c r="L55" s="20"/>
      <c r="M55" s="20"/>
      <c r="N55" s="20"/>
      <c r="O55" s="21"/>
      <c r="P55" s="21"/>
      <c r="Q55" s="20"/>
      <c r="R55" s="21"/>
      <c r="S55" s="21"/>
    </row>
    <row r="56" spans="2:19" customFormat="1" ht="19.5" customHeight="1"/>
    <row r="57" spans="2:19" customFormat="1" ht="19.5" customHeight="1"/>
    <row r="58" spans="2:19" customFormat="1" ht="19.5" customHeight="1"/>
    <row r="59" spans="2:19" customFormat="1" ht="19.5" customHeight="1"/>
    <row r="60" spans="2:19" customFormat="1" ht="15" customHeight="1"/>
    <row r="61" spans="2:19" customFormat="1" ht="15" customHeight="1"/>
    <row r="62" spans="2:19" customFormat="1" ht="15" customHeight="1"/>
    <row r="63" spans="2:19" customFormat="1" ht="1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s="73" customFormat="1" ht="15" customHeight="1"/>
    <row r="81" s="73" customFormat="1" ht="15" customHeight="1"/>
    <row r="82" s="73" customFormat="1" ht="15" customHeight="1"/>
    <row r="83"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9D9704E6-62B1-4033-A596-0360E2A28945}"/>
  </hyperlinks>
  <pageMargins left="0.7" right="0.7" top="0.75" bottom="0.75" header="0.3" footer="0.3"/>
  <customProperties>
    <customPr name="_pios_id" r:id="rId1"/>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82ED3-7E9F-471E-AB63-CDB50CB2399B}">
  <dimension ref="A1:S83"/>
  <sheetViews>
    <sheetView showGridLines="0" zoomScaleNormal="100" workbookViewId="0">
      <selection activeCell="A3" sqref="A3"/>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15.625" style="69" customWidth="1"/>
    <col min="8" max="8" width="18.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2261</v>
      </c>
      <c r="C2" s="993"/>
      <c r="D2" s="993"/>
      <c r="E2" s="993"/>
      <c r="F2" s="993"/>
      <c r="G2" s="993"/>
      <c r="H2" s="993"/>
      <c r="I2" s="994"/>
      <c r="J2" s="70" t="s">
        <v>816</v>
      </c>
      <c r="K2" s="998" t="s">
        <v>128</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2262</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1068</v>
      </c>
      <c r="D8" s="119"/>
      <c r="E8" s="107" t="s">
        <v>845</v>
      </c>
      <c r="F8" s="107">
        <v>18</v>
      </c>
      <c r="G8" s="108" t="s">
        <v>1069</v>
      </c>
      <c r="H8" s="109" t="s">
        <v>2263</v>
      </c>
      <c r="I8" s="110">
        <v>1</v>
      </c>
      <c r="J8" s="9" t="s">
        <v>1271</v>
      </c>
      <c r="K8" s="10"/>
      <c r="L8" s="9" t="s">
        <v>1354</v>
      </c>
      <c r="M8" s="11">
        <v>1000</v>
      </c>
      <c r="N8" s="8" t="s">
        <v>1069</v>
      </c>
      <c r="O8" s="8" t="s">
        <v>2263</v>
      </c>
      <c r="P8" s="112"/>
      <c r="Q8" s="112"/>
      <c r="R8" s="114"/>
      <c r="S8" s="134"/>
    </row>
    <row r="9" spans="1:19" s="73" customFormat="1" ht="13.5">
      <c r="B9" s="104">
        <v>2</v>
      </c>
      <c r="C9" s="105" t="s">
        <v>2239</v>
      </c>
      <c r="D9" s="119"/>
      <c r="E9" s="107" t="s">
        <v>845</v>
      </c>
      <c r="F9" s="107">
        <v>10</v>
      </c>
      <c r="G9" s="108" t="s">
        <v>2240</v>
      </c>
      <c r="H9" s="109" t="s">
        <v>2241</v>
      </c>
      <c r="I9" s="110">
        <v>2</v>
      </c>
      <c r="J9" s="9" t="s">
        <v>2241</v>
      </c>
      <c r="K9" s="10"/>
      <c r="L9" s="9" t="s">
        <v>1354</v>
      </c>
      <c r="M9" s="11">
        <v>1000</v>
      </c>
      <c r="N9" s="8" t="s">
        <v>2240</v>
      </c>
      <c r="O9" s="8" t="s">
        <v>2241</v>
      </c>
      <c r="P9" s="112"/>
      <c r="Q9" s="112"/>
      <c r="R9" s="114"/>
      <c r="S9" s="134"/>
    </row>
    <row r="10" spans="1:19" s="73" customFormat="1" ht="27">
      <c r="B10" s="104">
        <v>3</v>
      </c>
      <c r="C10" s="105" t="s">
        <v>2228</v>
      </c>
      <c r="D10" s="119"/>
      <c r="E10" s="107" t="s">
        <v>845</v>
      </c>
      <c r="F10" s="107">
        <v>4</v>
      </c>
      <c r="G10" s="108" t="s">
        <v>2229</v>
      </c>
      <c r="H10" s="109" t="s">
        <v>2230</v>
      </c>
      <c r="I10" s="110">
        <v>3</v>
      </c>
      <c r="J10" s="9" t="s">
        <v>2231</v>
      </c>
      <c r="K10" s="10"/>
      <c r="L10" s="9" t="s">
        <v>1354</v>
      </c>
      <c r="M10" s="11">
        <v>1000</v>
      </c>
      <c r="N10" s="8" t="s">
        <v>2229</v>
      </c>
      <c r="O10" s="8" t="s">
        <v>2230</v>
      </c>
      <c r="P10" s="112"/>
      <c r="Q10" s="112"/>
      <c r="R10" s="114"/>
      <c r="S10" s="134"/>
    </row>
    <row r="11" spans="1:19" s="73" customFormat="1" ht="13.5">
      <c r="B11" s="104">
        <v>4</v>
      </c>
      <c r="C11" s="105" t="s">
        <v>1273</v>
      </c>
      <c r="D11" s="119"/>
      <c r="E11" s="107" t="s">
        <v>845</v>
      </c>
      <c r="F11" s="107">
        <v>4</v>
      </c>
      <c r="G11" s="108" t="s">
        <v>1274</v>
      </c>
      <c r="H11" s="109" t="s">
        <v>1599</v>
      </c>
      <c r="I11" s="110">
        <v>4</v>
      </c>
      <c r="J11" s="8" t="s">
        <v>1144</v>
      </c>
      <c r="K11" s="7"/>
      <c r="L11" s="9" t="s">
        <v>1354</v>
      </c>
      <c r="M11" s="11">
        <v>1000</v>
      </c>
      <c r="N11" s="8" t="s">
        <v>1274</v>
      </c>
      <c r="O11" s="8" t="s">
        <v>1599</v>
      </c>
      <c r="P11" s="119"/>
      <c r="Q11" s="119"/>
      <c r="R11" s="108"/>
      <c r="S11" s="134"/>
    </row>
    <row r="12" spans="1:19" s="73" customFormat="1" ht="27">
      <c r="B12" s="104">
        <v>5</v>
      </c>
      <c r="C12" s="105" t="s">
        <v>2264</v>
      </c>
      <c r="D12" s="119"/>
      <c r="E12" s="107" t="s">
        <v>845</v>
      </c>
      <c r="F12" s="107">
        <v>1</v>
      </c>
      <c r="G12" s="108" t="s">
        <v>2265</v>
      </c>
      <c r="H12" s="109" t="s">
        <v>2266</v>
      </c>
      <c r="I12" s="110">
        <v>5</v>
      </c>
      <c r="J12" s="8" t="s">
        <v>2267</v>
      </c>
      <c r="K12" s="7"/>
      <c r="L12" s="9" t="s">
        <v>1354</v>
      </c>
      <c r="M12" s="11">
        <v>1000</v>
      </c>
      <c r="N12" s="8" t="s">
        <v>2265</v>
      </c>
      <c r="O12" s="8" t="s">
        <v>2266</v>
      </c>
      <c r="P12" s="119"/>
      <c r="Q12" s="119"/>
      <c r="R12" s="108"/>
      <c r="S12" s="134"/>
    </row>
    <row r="13" spans="1:19" s="73" customFormat="1" ht="13.5">
      <c r="B13" s="104">
        <v>6</v>
      </c>
      <c r="C13" s="105" t="s">
        <v>2268</v>
      </c>
      <c r="D13" s="119"/>
      <c r="E13" s="107" t="s">
        <v>845</v>
      </c>
      <c r="F13" s="107">
        <v>3</v>
      </c>
      <c r="G13" s="108" t="s">
        <v>2269</v>
      </c>
      <c r="H13" s="109" t="s">
        <v>2270</v>
      </c>
      <c r="I13" s="110">
        <v>6</v>
      </c>
      <c r="J13" s="8" t="s">
        <v>2271</v>
      </c>
      <c r="K13" s="7"/>
      <c r="L13" s="9" t="s">
        <v>1354</v>
      </c>
      <c r="M13" s="11">
        <v>1000</v>
      </c>
      <c r="N13" s="8" t="s">
        <v>2269</v>
      </c>
      <c r="O13" s="8" t="s">
        <v>2270</v>
      </c>
      <c r="P13" s="119"/>
      <c r="Q13" s="112"/>
      <c r="R13" s="114"/>
      <c r="S13" s="134"/>
    </row>
    <row r="14" spans="1:19" s="73" customFormat="1" ht="13.5">
      <c r="B14" s="104">
        <v>7</v>
      </c>
      <c r="C14" s="105" t="s">
        <v>1312</v>
      </c>
      <c r="D14" s="119"/>
      <c r="E14" s="107" t="s">
        <v>845</v>
      </c>
      <c r="F14" s="107">
        <v>3</v>
      </c>
      <c r="G14" s="108" t="s">
        <v>1315</v>
      </c>
      <c r="H14" s="109" t="s">
        <v>2272</v>
      </c>
      <c r="I14" s="110">
        <v>7</v>
      </c>
      <c r="J14" s="12" t="s">
        <v>2273</v>
      </c>
      <c r="K14" s="13"/>
      <c r="L14" s="12" t="s">
        <v>1354</v>
      </c>
      <c r="M14" s="14">
        <v>1000</v>
      </c>
      <c r="N14" s="12" t="s">
        <v>1315</v>
      </c>
      <c r="O14" s="8" t="s">
        <v>2272</v>
      </c>
      <c r="P14" s="119"/>
      <c r="Q14" s="112"/>
      <c r="R14" s="114"/>
      <c r="S14" s="134"/>
    </row>
    <row r="15" spans="1:19" s="73" customFormat="1" ht="13.5">
      <c r="B15" s="104">
        <v>8</v>
      </c>
      <c r="C15" s="105" t="s">
        <v>1416</v>
      </c>
      <c r="D15" s="119"/>
      <c r="E15" s="107" t="s">
        <v>913</v>
      </c>
      <c r="F15" s="107">
        <v>8</v>
      </c>
      <c r="G15" s="108" t="s">
        <v>2274</v>
      </c>
      <c r="H15" s="109" t="s">
        <v>2275</v>
      </c>
      <c r="I15" s="110">
        <v>8</v>
      </c>
      <c r="J15" s="12" t="s">
        <v>1419</v>
      </c>
      <c r="K15" s="13"/>
      <c r="L15" s="12" t="s">
        <v>1354</v>
      </c>
      <c r="M15" s="14">
        <v>1000</v>
      </c>
      <c r="N15" s="12" t="s">
        <v>2274</v>
      </c>
      <c r="O15" s="8" t="s">
        <v>2275</v>
      </c>
      <c r="P15" s="119"/>
      <c r="Q15" s="112"/>
      <c r="R15" s="114"/>
      <c r="S15" s="134"/>
    </row>
    <row r="16" spans="1:19" s="73" customFormat="1" ht="13.5">
      <c r="B16" s="104">
        <v>9</v>
      </c>
      <c r="C16" s="105" t="s">
        <v>2276</v>
      </c>
      <c r="D16" s="119"/>
      <c r="E16" s="107" t="s">
        <v>913</v>
      </c>
      <c r="F16" s="107">
        <v>8</v>
      </c>
      <c r="G16" s="108" t="s">
        <v>2277</v>
      </c>
      <c r="H16" s="109" t="s">
        <v>2278</v>
      </c>
      <c r="I16" s="110">
        <v>9</v>
      </c>
      <c r="J16" s="9" t="s">
        <v>1415</v>
      </c>
      <c r="K16" s="10"/>
      <c r="L16" s="8" t="s">
        <v>1354</v>
      </c>
      <c r="M16" s="15">
        <v>1000</v>
      </c>
      <c r="N16" s="8" t="s">
        <v>2277</v>
      </c>
      <c r="O16" s="8" t="s">
        <v>2278</v>
      </c>
      <c r="P16" s="119"/>
      <c r="Q16" s="112"/>
      <c r="R16" s="114"/>
      <c r="S16" s="134"/>
    </row>
    <row r="17" spans="2:19" s="73" customFormat="1" ht="13.5">
      <c r="B17" s="104">
        <v>10</v>
      </c>
      <c r="C17" s="105" t="s">
        <v>1355</v>
      </c>
      <c r="D17" s="119"/>
      <c r="E17" s="107" t="s">
        <v>845</v>
      </c>
      <c r="F17" s="107">
        <v>1</v>
      </c>
      <c r="G17" s="108" t="s">
        <v>1358</v>
      </c>
      <c r="H17" s="109" t="s">
        <v>2226</v>
      </c>
      <c r="I17" s="110">
        <v>10</v>
      </c>
      <c r="J17" s="8" t="s">
        <v>895</v>
      </c>
      <c r="K17" s="7"/>
      <c r="L17" s="8" t="s">
        <v>1354</v>
      </c>
      <c r="M17" s="15">
        <v>1000</v>
      </c>
      <c r="N17" s="8" t="s">
        <v>1358</v>
      </c>
      <c r="O17" s="8" t="s">
        <v>2226</v>
      </c>
      <c r="P17" s="112"/>
      <c r="Q17" s="112"/>
      <c r="R17" s="114"/>
      <c r="S17" s="134"/>
    </row>
    <row r="18" spans="2:19" s="73" customFormat="1" ht="40.5">
      <c r="B18" s="104">
        <v>11</v>
      </c>
      <c r="C18" s="105" t="s">
        <v>2279</v>
      </c>
      <c r="D18" s="119"/>
      <c r="E18" s="107" t="s">
        <v>845</v>
      </c>
      <c r="F18" s="107">
        <v>15</v>
      </c>
      <c r="G18" s="108" t="s">
        <v>2280</v>
      </c>
      <c r="H18" s="109" t="s">
        <v>2281</v>
      </c>
      <c r="I18" s="110">
        <v>11</v>
      </c>
      <c r="J18" s="8" t="s">
        <v>1647</v>
      </c>
      <c r="K18" s="7"/>
      <c r="L18" s="8" t="s">
        <v>1354</v>
      </c>
      <c r="M18" s="15">
        <v>1000</v>
      </c>
      <c r="N18" s="8" t="s">
        <v>2280</v>
      </c>
      <c r="O18" s="8" t="s">
        <v>2281</v>
      </c>
      <c r="P18" s="112"/>
      <c r="Q18" s="112"/>
      <c r="R18" s="114"/>
      <c r="S18" s="134"/>
    </row>
    <row r="19" spans="2:19" s="73" customFormat="1" ht="13.5">
      <c r="B19" s="104">
        <v>12</v>
      </c>
      <c r="C19" s="121" t="s">
        <v>1648</v>
      </c>
      <c r="D19" s="119"/>
      <c r="E19" s="107" t="s">
        <v>1649</v>
      </c>
      <c r="F19" s="107">
        <v>5</v>
      </c>
      <c r="G19" s="108" t="s">
        <v>1650</v>
      </c>
      <c r="H19" s="109" t="s">
        <v>1405</v>
      </c>
      <c r="I19" s="110">
        <v>12</v>
      </c>
      <c r="J19" s="9" t="s">
        <v>2282</v>
      </c>
      <c r="K19" s="10"/>
      <c r="L19" s="9" t="s">
        <v>1354</v>
      </c>
      <c r="M19" s="16">
        <v>1000</v>
      </c>
      <c r="N19" s="9" t="s">
        <v>1650</v>
      </c>
      <c r="O19" s="17" t="s">
        <v>1405</v>
      </c>
      <c r="P19" s="112"/>
      <c r="Q19" s="112"/>
      <c r="R19" s="114"/>
      <c r="S19" s="134"/>
    </row>
    <row r="20" spans="2:19" s="73" customFormat="1" ht="13.5">
      <c r="B20" s="104">
        <v>13</v>
      </c>
      <c r="C20" s="121"/>
      <c r="D20" s="119"/>
      <c r="E20" s="107"/>
      <c r="F20" s="107"/>
      <c r="G20" s="108"/>
      <c r="H20" s="109"/>
      <c r="I20" s="110">
        <v>13</v>
      </c>
      <c r="J20" s="117"/>
      <c r="K20" s="120"/>
      <c r="L20" s="113"/>
      <c r="M20" s="112"/>
      <c r="N20" s="114"/>
      <c r="O20" s="114"/>
      <c r="P20" s="112"/>
      <c r="Q20" s="112"/>
      <c r="R20" s="114"/>
      <c r="S20" s="134"/>
    </row>
    <row r="21" spans="2:19" s="73" customFormat="1" ht="13.5">
      <c r="B21" s="104">
        <v>14</v>
      </c>
      <c r="C21" s="121"/>
      <c r="D21" s="119"/>
      <c r="E21" s="107"/>
      <c r="F21" s="107"/>
      <c r="G21" s="108"/>
      <c r="H21" s="109"/>
      <c r="I21" s="110">
        <v>14</v>
      </c>
      <c r="J21" s="118"/>
      <c r="K21" s="119"/>
      <c r="L21" s="113"/>
      <c r="M21" s="112"/>
      <c r="N21" s="108"/>
      <c r="O21" s="108"/>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9.5" customHeight="1">
      <c r="C52" s="21"/>
      <c r="D52" s="20"/>
      <c r="E52" s="20"/>
      <c r="F52" s="20"/>
      <c r="G52" s="20"/>
      <c r="H52" s="20"/>
      <c r="I52" s="20"/>
      <c r="J52" s="20"/>
      <c r="K52" s="20"/>
      <c r="L52" s="20"/>
      <c r="M52" s="20"/>
      <c r="N52" s="20"/>
      <c r="O52" s="21"/>
      <c r="P52" s="21"/>
      <c r="Q52" s="20"/>
      <c r="R52" s="21"/>
      <c r="S52" s="21"/>
    </row>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c r="C55" s="21"/>
      <c r="D55" s="20"/>
      <c r="E55" s="20"/>
      <c r="F55" s="20"/>
      <c r="G55" s="20"/>
      <c r="H55" s="20"/>
      <c r="I55" s="20"/>
      <c r="J55" s="20"/>
      <c r="K55" s="20"/>
      <c r="L55" s="20"/>
      <c r="M55" s="20"/>
      <c r="N55" s="20"/>
      <c r="O55" s="21"/>
      <c r="P55" s="21"/>
      <c r="Q55" s="20"/>
      <c r="R55" s="21"/>
      <c r="S55" s="21"/>
    </row>
    <row r="56" spans="2:19" customFormat="1" ht="19.5" customHeight="1"/>
    <row r="57" spans="2:19" customFormat="1" ht="19.5" customHeight="1"/>
    <row r="58" spans="2:19" customFormat="1" ht="19.5" customHeight="1"/>
    <row r="59" spans="2:19" customFormat="1" ht="19.5" customHeight="1"/>
    <row r="60" spans="2:19" customFormat="1" ht="15" customHeight="1"/>
    <row r="61" spans="2:19" customFormat="1" ht="15" customHeight="1"/>
    <row r="62" spans="2:19" customFormat="1" ht="15" customHeight="1"/>
    <row r="63" spans="2:19" customFormat="1" ht="1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s="73" customFormat="1" ht="15" customHeight="1"/>
    <row r="81" s="73" customFormat="1" ht="15" customHeight="1"/>
    <row r="82" s="73" customFormat="1" ht="15" customHeight="1"/>
    <row r="83"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6CF469BD-661A-4BF2-A28A-3A44DD44C09C}"/>
  </hyperlinks>
  <pageMargins left="0.7" right="0.7" top="0.75" bottom="0.75" header="0.3" footer="0.3"/>
  <customProperties>
    <customPr name="_pios_id" r:id="rId1"/>
  </customPropertie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D9A1-44B4-4049-91DF-8113CB6E81EB}">
  <dimension ref="A1:S83"/>
  <sheetViews>
    <sheetView showGridLines="0" zoomScale="85" zoomScaleNormal="85" workbookViewId="0">
      <selection activeCell="C6" sqref="C6:H6"/>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2283</v>
      </c>
      <c r="C2" s="993"/>
      <c r="D2" s="993"/>
      <c r="E2" s="993"/>
      <c r="F2" s="993"/>
      <c r="G2" s="993"/>
      <c r="H2" s="993"/>
      <c r="I2" s="994"/>
      <c r="J2" s="70" t="s">
        <v>816</v>
      </c>
      <c r="K2" s="998" t="s">
        <v>128</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2284</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t="s">
        <v>3714</v>
      </c>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2239</v>
      </c>
      <c r="D8" s="119"/>
      <c r="E8" s="107" t="s">
        <v>845</v>
      </c>
      <c r="F8" s="107">
        <v>10</v>
      </c>
      <c r="G8" s="108" t="s">
        <v>2285</v>
      </c>
      <c r="H8" s="109" t="s">
        <v>2286</v>
      </c>
      <c r="I8" s="110">
        <v>1</v>
      </c>
      <c r="J8" s="117" t="s">
        <v>2241</v>
      </c>
      <c r="K8" s="112"/>
      <c r="L8" s="113" t="s">
        <v>1354</v>
      </c>
      <c r="M8" s="112">
        <v>1000</v>
      </c>
      <c r="N8" s="114" t="s">
        <v>2285</v>
      </c>
      <c r="O8" s="114" t="s">
        <v>2286</v>
      </c>
      <c r="P8" s="112"/>
      <c r="Q8" s="112"/>
      <c r="R8" s="114"/>
      <c r="S8" s="134"/>
    </row>
    <row r="9" spans="1:19" s="73" customFormat="1" ht="13.5">
      <c r="B9" s="104">
        <v>2</v>
      </c>
      <c r="C9" s="105" t="s">
        <v>1684</v>
      </c>
      <c r="D9" s="119"/>
      <c r="E9" s="107" t="s">
        <v>845</v>
      </c>
      <c r="F9" s="107">
        <v>35</v>
      </c>
      <c r="G9" s="108" t="s">
        <v>2287</v>
      </c>
      <c r="H9" s="109" t="s">
        <v>2288</v>
      </c>
      <c r="I9" s="110">
        <v>2</v>
      </c>
      <c r="J9" s="117" t="s">
        <v>2289</v>
      </c>
      <c r="K9" s="119"/>
      <c r="L9" s="113" t="s">
        <v>1354</v>
      </c>
      <c r="M9" s="112">
        <v>1000</v>
      </c>
      <c r="N9" s="114" t="s">
        <v>2287</v>
      </c>
      <c r="O9" s="114" t="s">
        <v>2288</v>
      </c>
      <c r="P9" s="112"/>
      <c r="Q9" s="112"/>
      <c r="R9" s="114"/>
      <c r="S9" s="134"/>
    </row>
    <row r="10" spans="1:19" s="73" customFormat="1" ht="13.5">
      <c r="B10" s="104">
        <v>3</v>
      </c>
      <c r="C10" s="105" t="s">
        <v>852</v>
      </c>
      <c r="D10" s="119"/>
      <c r="E10" s="107" t="s">
        <v>845</v>
      </c>
      <c r="F10" s="107">
        <v>4</v>
      </c>
      <c r="G10" s="108" t="s">
        <v>853</v>
      </c>
      <c r="H10" s="109" t="s">
        <v>854</v>
      </c>
      <c r="I10" s="110">
        <v>3</v>
      </c>
      <c r="J10" s="117" t="s">
        <v>855</v>
      </c>
      <c r="K10" s="119"/>
      <c r="L10" s="113" t="s">
        <v>1354</v>
      </c>
      <c r="M10" s="112">
        <v>1000</v>
      </c>
      <c r="N10" s="114" t="s">
        <v>853</v>
      </c>
      <c r="O10" s="114" t="s">
        <v>854</v>
      </c>
      <c r="P10" s="112"/>
      <c r="Q10" s="112"/>
      <c r="R10" s="114"/>
      <c r="S10" s="134"/>
    </row>
    <row r="11" spans="1:19" s="73" customFormat="1" ht="13.5">
      <c r="B11" s="104">
        <v>4</v>
      </c>
      <c r="C11" s="105" t="s">
        <v>2228</v>
      </c>
      <c r="D11" s="119"/>
      <c r="E11" s="107" t="s">
        <v>845</v>
      </c>
      <c r="F11" s="107">
        <v>4</v>
      </c>
      <c r="G11" s="108" t="s">
        <v>2229</v>
      </c>
      <c r="H11" s="109" t="s">
        <v>2230</v>
      </c>
      <c r="I11" s="110">
        <v>4</v>
      </c>
      <c r="J11" s="118" t="s">
        <v>2231</v>
      </c>
      <c r="K11" s="119"/>
      <c r="L11" s="113" t="s">
        <v>1354</v>
      </c>
      <c r="M11" s="112">
        <v>1000</v>
      </c>
      <c r="N11" s="108" t="s">
        <v>2229</v>
      </c>
      <c r="O11" s="108" t="s">
        <v>2230</v>
      </c>
      <c r="P11" s="119"/>
      <c r="Q11" s="119"/>
      <c r="R11" s="108"/>
      <c r="S11" s="134"/>
    </row>
    <row r="12" spans="1:19" s="73" customFormat="1" ht="13.5">
      <c r="B12" s="104">
        <v>5</v>
      </c>
      <c r="C12" s="105" t="s">
        <v>1355</v>
      </c>
      <c r="D12" s="119"/>
      <c r="E12" s="107" t="s">
        <v>845</v>
      </c>
      <c r="F12" s="107">
        <v>1</v>
      </c>
      <c r="G12" s="108" t="s">
        <v>1358</v>
      </c>
      <c r="H12" s="109" t="s">
        <v>2226</v>
      </c>
      <c r="I12" s="110">
        <v>5</v>
      </c>
      <c r="J12" s="118" t="s">
        <v>895</v>
      </c>
      <c r="K12" s="119"/>
      <c r="L12" s="113" t="s">
        <v>1354</v>
      </c>
      <c r="M12" s="112">
        <v>1000</v>
      </c>
      <c r="N12" s="108" t="s">
        <v>1358</v>
      </c>
      <c r="O12" s="108" t="s">
        <v>2226</v>
      </c>
      <c r="P12" s="119"/>
      <c r="Q12" s="119"/>
      <c r="R12" s="108"/>
      <c r="S12" s="134"/>
    </row>
    <row r="13" spans="1:19" s="73" customFormat="1" ht="13.5">
      <c r="B13" s="104">
        <v>6</v>
      </c>
      <c r="C13" s="105"/>
      <c r="D13" s="119"/>
      <c r="E13" s="107"/>
      <c r="F13" s="107"/>
      <c r="G13" s="108"/>
      <c r="H13" s="109"/>
      <c r="I13" s="110">
        <v>6</v>
      </c>
      <c r="J13" s="118"/>
      <c r="K13" s="119"/>
      <c r="L13" s="113"/>
      <c r="M13" s="112"/>
      <c r="N13" s="108"/>
      <c r="O13" s="108"/>
      <c r="P13" s="119"/>
      <c r="Q13" s="112"/>
      <c r="R13" s="114"/>
      <c r="S13" s="134"/>
    </row>
    <row r="14" spans="1:19" s="73" customFormat="1" ht="13.5">
      <c r="B14" s="104">
        <v>7</v>
      </c>
      <c r="C14" s="105"/>
      <c r="D14" s="119"/>
      <c r="E14" s="107"/>
      <c r="F14" s="107"/>
      <c r="G14" s="108"/>
      <c r="H14" s="109"/>
      <c r="I14" s="110">
        <v>7</v>
      </c>
      <c r="J14" s="118"/>
      <c r="K14" s="106"/>
      <c r="L14" s="113"/>
      <c r="M14" s="112"/>
      <c r="N14" s="108"/>
      <c r="O14" s="108"/>
      <c r="P14" s="119"/>
      <c r="Q14" s="112"/>
      <c r="R14" s="114"/>
      <c r="S14" s="134"/>
    </row>
    <row r="15" spans="1:19" s="73" customFormat="1" ht="13.5">
      <c r="B15" s="104">
        <v>8</v>
      </c>
      <c r="C15" s="105"/>
      <c r="D15" s="119"/>
      <c r="E15" s="107"/>
      <c r="F15" s="107"/>
      <c r="G15" s="108"/>
      <c r="H15" s="109"/>
      <c r="I15" s="110">
        <v>8</v>
      </c>
      <c r="J15" s="118"/>
      <c r="K15" s="106"/>
      <c r="L15" s="113"/>
      <c r="M15" s="112"/>
      <c r="N15" s="108"/>
      <c r="O15" s="108"/>
      <c r="P15" s="119"/>
      <c r="Q15" s="112"/>
      <c r="R15" s="114"/>
      <c r="S15" s="134"/>
    </row>
    <row r="16" spans="1:19" s="73" customFormat="1" ht="13.5">
      <c r="B16" s="104">
        <v>9</v>
      </c>
      <c r="C16" s="105"/>
      <c r="D16" s="119"/>
      <c r="E16" s="107"/>
      <c r="F16" s="107"/>
      <c r="G16" s="108"/>
      <c r="H16" s="109"/>
      <c r="I16" s="110">
        <v>9</v>
      </c>
      <c r="J16" s="118"/>
      <c r="K16" s="106"/>
      <c r="L16" s="113"/>
      <c r="M16" s="112"/>
      <c r="N16" s="108"/>
      <c r="O16" s="108"/>
      <c r="P16" s="119"/>
      <c r="Q16" s="112"/>
      <c r="R16" s="114"/>
      <c r="S16" s="134"/>
    </row>
    <row r="17" spans="2:19" s="73" customFormat="1" ht="13.5">
      <c r="B17" s="104">
        <v>10</v>
      </c>
      <c r="C17" s="105"/>
      <c r="D17" s="119"/>
      <c r="E17" s="107"/>
      <c r="F17" s="107"/>
      <c r="G17" s="108"/>
      <c r="H17" s="109"/>
      <c r="I17" s="110">
        <v>10</v>
      </c>
      <c r="J17" s="117"/>
      <c r="K17" s="120"/>
      <c r="L17" s="113"/>
      <c r="M17" s="112"/>
      <c r="N17" s="108"/>
      <c r="O17" s="108"/>
      <c r="P17" s="112"/>
      <c r="Q17" s="112"/>
      <c r="R17" s="114"/>
      <c r="S17" s="134"/>
    </row>
    <row r="18" spans="2:19" s="73" customFormat="1" ht="13.5">
      <c r="B18" s="104">
        <v>11</v>
      </c>
      <c r="C18" s="105"/>
      <c r="D18" s="119"/>
      <c r="E18" s="107"/>
      <c r="F18" s="107"/>
      <c r="G18" s="108"/>
      <c r="H18" s="109"/>
      <c r="I18" s="110">
        <v>11</v>
      </c>
      <c r="J18" s="117"/>
      <c r="K18" s="112"/>
      <c r="L18" s="113"/>
      <c r="M18" s="112"/>
      <c r="N18" s="114"/>
      <c r="O18" s="114"/>
      <c r="P18" s="112"/>
      <c r="Q18" s="112"/>
      <c r="R18" s="114"/>
      <c r="S18" s="134"/>
    </row>
    <row r="19" spans="2:19" s="73" customFormat="1" ht="13.5">
      <c r="B19" s="104">
        <v>12</v>
      </c>
      <c r="C19" s="121"/>
      <c r="D19" s="119"/>
      <c r="E19" s="107"/>
      <c r="F19" s="107"/>
      <c r="G19" s="108"/>
      <c r="H19" s="109"/>
      <c r="I19" s="110">
        <v>12</v>
      </c>
      <c r="J19" s="117"/>
      <c r="K19" s="120"/>
      <c r="L19" s="113"/>
      <c r="M19" s="112"/>
      <c r="N19" s="114"/>
      <c r="O19" s="114"/>
      <c r="P19" s="112"/>
      <c r="Q19" s="112"/>
      <c r="R19" s="114"/>
      <c r="S19" s="134"/>
    </row>
    <row r="20" spans="2:19" s="73" customFormat="1" ht="13.5">
      <c r="B20" s="104">
        <v>13</v>
      </c>
      <c r="C20" s="121"/>
      <c r="D20" s="119"/>
      <c r="E20" s="107"/>
      <c r="F20" s="107"/>
      <c r="G20" s="108"/>
      <c r="H20" s="109"/>
      <c r="I20" s="110">
        <v>13</v>
      </c>
      <c r="J20" s="117"/>
      <c r="K20" s="120"/>
      <c r="L20" s="113"/>
      <c r="M20" s="112"/>
      <c r="N20" s="114"/>
      <c r="O20" s="114"/>
      <c r="P20" s="112"/>
      <c r="Q20" s="112"/>
      <c r="R20" s="114"/>
      <c r="S20" s="134"/>
    </row>
    <row r="21" spans="2:19" s="73" customFormat="1" ht="13.5">
      <c r="B21" s="104">
        <v>14</v>
      </c>
      <c r="C21" s="121"/>
      <c r="D21" s="119"/>
      <c r="E21" s="107"/>
      <c r="F21" s="107"/>
      <c r="G21" s="108"/>
      <c r="H21" s="109"/>
      <c r="I21" s="110">
        <v>14</v>
      </c>
      <c r="J21" s="118"/>
      <c r="K21" s="119"/>
      <c r="L21" s="113"/>
      <c r="M21" s="112"/>
      <c r="N21" s="108"/>
      <c r="O21" s="108"/>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9.5" customHeight="1">
      <c r="C52" s="21"/>
      <c r="D52" s="20"/>
      <c r="E52" s="20"/>
      <c r="F52" s="20"/>
      <c r="G52" s="20"/>
      <c r="H52" s="20"/>
      <c r="I52" s="20"/>
      <c r="J52" s="20"/>
      <c r="K52" s="20"/>
      <c r="L52" s="20"/>
      <c r="M52" s="20"/>
      <c r="N52" s="20"/>
      <c r="O52" s="21"/>
      <c r="P52" s="21"/>
      <c r="Q52" s="20"/>
      <c r="R52" s="21"/>
      <c r="S52" s="21"/>
    </row>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c r="C55" s="21"/>
      <c r="D55" s="20"/>
      <c r="E55" s="20"/>
      <c r="F55" s="20"/>
      <c r="G55" s="20"/>
      <c r="H55" s="20"/>
      <c r="I55" s="20"/>
      <c r="J55" s="20"/>
      <c r="K55" s="20"/>
      <c r="L55" s="20"/>
      <c r="M55" s="20"/>
      <c r="N55" s="20"/>
      <c r="O55" s="21"/>
      <c r="P55" s="21"/>
      <c r="Q55" s="20"/>
      <c r="R55" s="21"/>
      <c r="S55" s="21"/>
    </row>
    <row r="56" spans="2:19" customFormat="1" ht="19.5" customHeight="1"/>
    <row r="57" spans="2:19" customFormat="1" ht="19.5" customHeight="1"/>
    <row r="58" spans="2:19" customFormat="1" ht="19.5" customHeight="1"/>
    <row r="59" spans="2:19" customFormat="1" ht="19.5" customHeight="1"/>
    <row r="60" spans="2:19" customFormat="1" ht="15" customHeight="1"/>
    <row r="61" spans="2:19" customFormat="1" ht="15" customHeight="1"/>
    <row r="62" spans="2:19" customFormat="1" ht="15" customHeight="1"/>
    <row r="63" spans="2:19" customFormat="1" ht="1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s="73" customFormat="1" ht="15" customHeight="1"/>
    <row r="81" s="73" customFormat="1" ht="15" customHeight="1"/>
    <row r="82" s="73" customFormat="1" ht="15" customHeight="1"/>
    <row r="83"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92590B45-B658-4508-B2F7-2A37B01FCEBB}"/>
  </hyperlinks>
  <pageMargins left="0.7" right="0.7" top="0.75" bottom="0.75" header="0.3" footer="0.3"/>
  <customProperties>
    <customPr name="_pios_id" r:id="rId1"/>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5F61C-B780-4616-B612-0760D8186E57}">
  <dimension ref="A1:S89"/>
  <sheetViews>
    <sheetView showGridLines="0" topLeftCell="A2" zoomScale="115" zoomScaleNormal="115" workbookViewId="0">
      <selection activeCell="C14" sqref="C14"/>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2290</v>
      </c>
      <c r="C2" s="993"/>
      <c r="D2" s="993"/>
      <c r="E2" s="993"/>
      <c r="F2" s="993"/>
      <c r="G2" s="993"/>
      <c r="H2" s="993"/>
      <c r="I2" s="994"/>
      <c r="J2" s="70" t="s">
        <v>816</v>
      </c>
      <c r="K2" s="998" t="s">
        <v>128</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823</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2291</v>
      </c>
      <c r="D8" s="119" t="s">
        <v>42</v>
      </c>
      <c r="E8" s="107" t="s">
        <v>845</v>
      </c>
      <c r="F8" s="107">
        <v>10</v>
      </c>
      <c r="G8" s="108" t="s">
        <v>2292</v>
      </c>
      <c r="H8" s="109" t="s">
        <v>2037</v>
      </c>
      <c r="I8" s="110">
        <v>1</v>
      </c>
      <c r="J8" s="117" t="s">
        <v>2293</v>
      </c>
      <c r="K8" s="112"/>
      <c r="L8" s="113" t="s">
        <v>1354</v>
      </c>
      <c r="M8" s="112">
        <v>1000</v>
      </c>
      <c r="N8" s="114" t="s">
        <v>2292</v>
      </c>
      <c r="O8" s="114" t="s">
        <v>2037</v>
      </c>
      <c r="P8" s="112"/>
      <c r="Q8" s="112"/>
      <c r="R8" s="114"/>
      <c r="S8" s="134"/>
    </row>
    <row r="9" spans="1:19" s="73" customFormat="1" ht="13.5">
      <c r="B9" s="104">
        <v>2</v>
      </c>
      <c r="C9" s="105" t="s">
        <v>2294</v>
      </c>
      <c r="D9" s="119" t="s">
        <v>42</v>
      </c>
      <c r="E9" s="107" t="s">
        <v>2024</v>
      </c>
      <c r="F9" s="107">
        <v>4</v>
      </c>
      <c r="G9" s="108" t="s">
        <v>2295</v>
      </c>
      <c r="H9" s="109" t="s">
        <v>2296</v>
      </c>
      <c r="I9" s="110">
        <v>2</v>
      </c>
      <c r="J9" s="117" t="s">
        <v>2297</v>
      </c>
      <c r="K9" s="119"/>
      <c r="L9" s="113" t="s">
        <v>1354</v>
      </c>
      <c r="M9" s="112">
        <v>1000</v>
      </c>
      <c r="N9" s="114" t="s">
        <v>2295</v>
      </c>
      <c r="O9" s="114" t="s">
        <v>2296</v>
      </c>
      <c r="P9" s="112"/>
      <c r="Q9" s="112"/>
      <c r="R9" s="114"/>
      <c r="S9" s="134"/>
    </row>
    <row r="10" spans="1:19" s="73" customFormat="1" ht="13.5">
      <c r="B10" s="104">
        <v>3</v>
      </c>
      <c r="C10" s="105" t="s">
        <v>2298</v>
      </c>
      <c r="D10" s="119" t="s">
        <v>42</v>
      </c>
      <c r="E10" s="107" t="s">
        <v>2024</v>
      </c>
      <c r="F10" s="107">
        <v>4</v>
      </c>
      <c r="G10" s="108" t="s">
        <v>2299</v>
      </c>
      <c r="H10" s="109" t="s">
        <v>2300</v>
      </c>
      <c r="I10" s="110">
        <v>3</v>
      </c>
      <c r="J10" s="117" t="s">
        <v>2301</v>
      </c>
      <c r="K10" s="119"/>
      <c r="L10" s="113" t="s">
        <v>1354</v>
      </c>
      <c r="M10" s="112">
        <v>1000</v>
      </c>
      <c r="N10" s="114" t="s">
        <v>2299</v>
      </c>
      <c r="O10" s="114" t="s">
        <v>2300</v>
      </c>
      <c r="P10" s="112"/>
      <c r="Q10" s="112"/>
      <c r="R10" s="114"/>
      <c r="S10" s="134"/>
    </row>
    <row r="11" spans="1:19" s="73" customFormat="1" ht="27">
      <c r="B11" s="104">
        <v>4</v>
      </c>
      <c r="C11" s="105" t="s">
        <v>2302</v>
      </c>
      <c r="D11" s="119" t="s">
        <v>42</v>
      </c>
      <c r="E11" s="107" t="s">
        <v>913</v>
      </c>
      <c r="F11" s="107">
        <v>8</v>
      </c>
      <c r="G11" s="108" t="s">
        <v>2303</v>
      </c>
      <c r="H11" s="109" t="s">
        <v>2304</v>
      </c>
      <c r="I11" s="110">
        <v>4</v>
      </c>
      <c r="J11" s="118" t="s">
        <v>2305</v>
      </c>
      <c r="K11" s="119"/>
      <c r="L11" s="113" t="s">
        <v>1354</v>
      </c>
      <c r="M11" s="112">
        <v>1000</v>
      </c>
      <c r="N11" s="108" t="s">
        <v>2303</v>
      </c>
      <c r="O11" s="108" t="s">
        <v>2304</v>
      </c>
      <c r="P11" s="119"/>
      <c r="Q11" s="119"/>
      <c r="R11" s="108"/>
      <c r="S11" s="134"/>
    </row>
    <row r="12" spans="1:19" s="73" customFormat="1" ht="13.5">
      <c r="B12" s="104">
        <v>5</v>
      </c>
      <c r="C12" s="105" t="s">
        <v>2306</v>
      </c>
      <c r="D12" s="119"/>
      <c r="E12" s="107" t="s">
        <v>924</v>
      </c>
      <c r="F12" s="107">
        <v>6</v>
      </c>
      <c r="G12" s="108" t="s">
        <v>2307</v>
      </c>
      <c r="H12" s="109" t="s">
        <v>926</v>
      </c>
      <c r="I12" s="110">
        <v>5</v>
      </c>
      <c r="J12" s="118" t="s">
        <v>2308</v>
      </c>
      <c r="K12" s="119"/>
      <c r="L12" s="113" t="s">
        <v>1354</v>
      </c>
      <c r="M12" s="112">
        <v>1000</v>
      </c>
      <c r="N12" s="108" t="s">
        <v>2307</v>
      </c>
      <c r="O12" s="108" t="s">
        <v>926</v>
      </c>
      <c r="P12" s="119"/>
      <c r="Q12" s="119"/>
      <c r="R12" s="108"/>
      <c r="S12" s="134"/>
    </row>
    <row r="13" spans="1:19" s="73" customFormat="1" ht="13.5">
      <c r="B13" s="104">
        <v>6</v>
      </c>
      <c r="C13" s="105" t="s">
        <v>2309</v>
      </c>
      <c r="D13" s="119"/>
      <c r="E13" s="107" t="s">
        <v>845</v>
      </c>
      <c r="F13" s="107">
        <v>10</v>
      </c>
      <c r="G13" s="108" t="s">
        <v>2310</v>
      </c>
      <c r="H13" s="109" t="s">
        <v>2311</v>
      </c>
      <c r="I13" s="110">
        <v>6</v>
      </c>
      <c r="J13" s="118" t="s">
        <v>2312</v>
      </c>
      <c r="K13" s="119"/>
      <c r="L13" s="113" t="s">
        <v>1354</v>
      </c>
      <c r="M13" s="112">
        <v>1000</v>
      </c>
      <c r="N13" s="108" t="s">
        <v>2310</v>
      </c>
      <c r="O13" s="108" t="s">
        <v>2311</v>
      </c>
      <c r="P13" s="119"/>
      <c r="Q13" s="112"/>
      <c r="R13" s="114"/>
      <c r="S13" s="134"/>
    </row>
    <row r="14" spans="1:19" s="73" customFormat="1" ht="13.5">
      <c r="B14" s="104">
        <v>7</v>
      </c>
      <c r="C14" s="105" t="s">
        <v>1068</v>
      </c>
      <c r="D14" s="119" t="s">
        <v>42</v>
      </c>
      <c r="E14" s="107" t="s">
        <v>845</v>
      </c>
      <c r="F14" s="107">
        <v>18</v>
      </c>
      <c r="G14" s="108" t="s">
        <v>1069</v>
      </c>
      <c r="H14" s="109" t="s">
        <v>1070</v>
      </c>
      <c r="I14" s="110">
        <v>7</v>
      </c>
      <c r="J14" s="118" t="s">
        <v>1271</v>
      </c>
      <c r="K14" s="106"/>
      <c r="L14" s="113" t="s">
        <v>1354</v>
      </c>
      <c r="M14" s="112">
        <v>1000</v>
      </c>
      <c r="N14" s="108" t="s">
        <v>1069</v>
      </c>
      <c r="O14" s="108" t="s">
        <v>1070</v>
      </c>
      <c r="P14" s="119"/>
      <c r="Q14" s="112"/>
      <c r="R14" s="114"/>
      <c r="S14" s="134"/>
    </row>
    <row r="15" spans="1:19" s="73" customFormat="1" ht="13.5">
      <c r="B15" s="104">
        <v>8</v>
      </c>
      <c r="C15" s="105" t="s">
        <v>2313</v>
      </c>
      <c r="D15" s="119" t="s">
        <v>42</v>
      </c>
      <c r="E15" s="107" t="s">
        <v>845</v>
      </c>
      <c r="F15" s="107">
        <v>3</v>
      </c>
      <c r="G15" s="108" t="s">
        <v>2314</v>
      </c>
      <c r="H15" s="109" t="s">
        <v>2315</v>
      </c>
      <c r="I15" s="110">
        <v>8</v>
      </c>
      <c r="J15" s="118" t="s">
        <v>2316</v>
      </c>
      <c r="K15" s="106"/>
      <c r="L15" s="113" t="s">
        <v>1354</v>
      </c>
      <c r="M15" s="112">
        <v>1000</v>
      </c>
      <c r="N15" s="108" t="s">
        <v>2314</v>
      </c>
      <c r="O15" s="108" t="s">
        <v>2315</v>
      </c>
      <c r="P15" s="119"/>
      <c r="Q15" s="112"/>
      <c r="R15" s="114"/>
      <c r="S15" s="134"/>
    </row>
    <row r="16" spans="1:19" s="73" customFormat="1" ht="13.5">
      <c r="B16" s="104">
        <v>9</v>
      </c>
      <c r="C16" s="105" t="s">
        <v>2163</v>
      </c>
      <c r="D16" s="119"/>
      <c r="E16" s="107" t="s">
        <v>1306</v>
      </c>
      <c r="F16" s="107">
        <v>13.3</v>
      </c>
      <c r="G16" s="108" t="s">
        <v>2317</v>
      </c>
      <c r="H16" s="109" t="s">
        <v>2318</v>
      </c>
      <c r="I16" s="110">
        <v>9</v>
      </c>
      <c r="J16" s="118" t="s">
        <v>2134</v>
      </c>
      <c r="K16" s="106"/>
      <c r="L16" s="113" t="s">
        <v>1354</v>
      </c>
      <c r="M16" s="112">
        <v>1000</v>
      </c>
      <c r="N16" s="108" t="s">
        <v>2317</v>
      </c>
      <c r="O16" s="108" t="s">
        <v>2318</v>
      </c>
      <c r="P16" s="119"/>
      <c r="Q16" s="112"/>
      <c r="R16" s="114"/>
      <c r="S16" s="134"/>
    </row>
    <row r="17" spans="2:19" s="73" customFormat="1" ht="13.5">
      <c r="B17" s="104">
        <v>10</v>
      </c>
      <c r="C17" s="105" t="s">
        <v>1098</v>
      </c>
      <c r="D17" s="119"/>
      <c r="E17" s="107" t="s">
        <v>1581</v>
      </c>
      <c r="F17" s="107">
        <v>3</v>
      </c>
      <c r="G17" s="108" t="s">
        <v>1604</v>
      </c>
      <c r="H17" s="109" t="s">
        <v>1605</v>
      </c>
      <c r="I17" s="110">
        <v>10</v>
      </c>
      <c r="J17" s="117" t="s">
        <v>1101</v>
      </c>
      <c r="K17" s="120"/>
      <c r="L17" s="113" t="s">
        <v>1354</v>
      </c>
      <c r="M17" s="112">
        <v>1000</v>
      </c>
      <c r="N17" s="108" t="s">
        <v>1604</v>
      </c>
      <c r="O17" s="108" t="s">
        <v>1605</v>
      </c>
      <c r="P17" s="112"/>
      <c r="Q17" s="112"/>
      <c r="R17" s="114"/>
      <c r="S17" s="134"/>
    </row>
    <row r="18" spans="2:19" s="73" customFormat="1" ht="13.5">
      <c r="B18" s="104">
        <v>11</v>
      </c>
      <c r="C18" s="105"/>
      <c r="D18" s="119"/>
      <c r="E18" s="107"/>
      <c r="F18" s="107"/>
      <c r="G18" s="108"/>
      <c r="H18" s="109"/>
      <c r="I18" s="110">
        <v>11</v>
      </c>
      <c r="J18" s="117"/>
      <c r="K18" s="112"/>
      <c r="L18" s="113"/>
      <c r="M18" s="112"/>
      <c r="N18" s="114"/>
      <c r="O18" s="114"/>
      <c r="P18" s="112"/>
      <c r="Q18" s="112"/>
      <c r="R18" s="114"/>
      <c r="S18" s="134"/>
    </row>
    <row r="19" spans="2:19" s="73" customFormat="1" ht="13.5">
      <c r="B19" s="104">
        <v>12</v>
      </c>
      <c r="C19" s="121"/>
      <c r="D19" s="119"/>
      <c r="E19" s="107"/>
      <c r="F19" s="107"/>
      <c r="G19" s="140" t="s">
        <v>2319</v>
      </c>
      <c r="H19" s="109"/>
      <c r="I19" s="110">
        <v>12</v>
      </c>
      <c r="J19" s="117"/>
      <c r="K19" s="120"/>
      <c r="L19" s="113"/>
      <c r="M19" s="112"/>
      <c r="N19" s="114"/>
      <c r="O19" s="114"/>
      <c r="P19" s="112"/>
      <c r="Q19" s="112"/>
      <c r="R19" s="114"/>
      <c r="S19" s="134"/>
    </row>
    <row r="20" spans="2:19" s="73" customFormat="1" ht="13.5">
      <c r="B20" s="104">
        <v>13</v>
      </c>
      <c r="C20" s="121"/>
      <c r="D20" s="119"/>
      <c r="E20" s="107"/>
      <c r="F20" s="107"/>
      <c r="G20" s="108"/>
      <c r="H20" s="109"/>
      <c r="I20" s="110">
        <v>13</v>
      </c>
      <c r="J20" s="117"/>
      <c r="K20" s="120"/>
      <c r="L20" s="113"/>
      <c r="M20" s="112"/>
      <c r="N20" s="114"/>
      <c r="O20" s="114"/>
      <c r="P20" s="112"/>
      <c r="Q20" s="112"/>
      <c r="R20" s="114"/>
      <c r="S20" s="134"/>
    </row>
    <row r="21" spans="2:19" s="73" customFormat="1" ht="13.5">
      <c r="B21" s="104">
        <v>14</v>
      </c>
      <c r="C21" s="121"/>
      <c r="D21" s="119"/>
      <c r="E21" s="107"/>
      <c r="F21" s="107"/>
      <c r="G21" s="108"/>
      <c r="H21" s="109"/>
      <c r="I21" s="110">
        <v>14</v>
      </c>
      <c r="J21" s="118"/>
      <c r="K21" s="119"/>
      <c r="L21" s="113"/>
      <c r="M21" s="112"/>
      <c r="N21" s="108"/>
      <c r="O21" s="108"/>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9.5" customHeight="1">
      <c r="C52" s="21"/>
      <c r="D52" s="20"/>
      <c r="E52" s="20"/>
      <c r="F52" s="20"/>
      <c r="G52" s="20"/>
      <c r="H52" s="20"/>
      <c r="I52" s="20"/>
      <c r="J52" s="20"/>
      <c r="K52" s="20"/>
      <c r="L52" s="20"/>
      <c r="M52" s="20"/>
      <c r="N52" s="20"/>
      <c r="O52" s="21"/>
      <c r="P52" s="21"/>
      <c r="Q52" s="20"/>
      <c r="R52" s="21"/>
      <c r="S52" s="21"/>
    </row>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c r="C55" s="21"/>
      <c r="D55" s="20"/>
      <c r="E55" s="20"/>
      <c r="F55" s="20"/>
      <c r="G55" s="20"/>
      <c r="H55" s="20"/>
      <c r="I55" s="20"/>
      <c r="J55" s="20"/>
      <c r="K55" s="20"/>
      <c r="L55" s="20"/>
      <c r="M55" s="20"/>
      <c r="N55" s="20"/>
      <c r="O55" s="21"/>
      <c r="P55" s="21"/>
      <c r="Q55" s="20"/>
      <c r="R55" s="21"/>
      <c r="S55" s="21"/>
    </row>
    <row r="56" spans="2:19" customFormat="1" ht="19.5" customHeight="1">
      <c r="C56" s="21"/>
      <c r="D56" s="20"/>
      <c r="E56" s="20"/>
      <c r="F56" s="20"/>
      <c r="G56" s="20"/>
      <c r="H56" s="20"/>
      <c r="I56" s="20"/>
      <c r="J56" s="20"/>
      <c r="K56" s="20"/>
      <c r="L56" s="20"/>
      <c r="M56" s="20"/>
      <c r="N56" s="20"/>
      <c r="O56" s="21"/>
      <c r="P56" s="21"/>
      <c r="Q56" s="20"/>
      <c r="R56" s="21"/>
      <c r="S56" s="21"/>
    </row>
    <row r="57" spans="2:19" customFormat="1" ht="19.5" customHeight="1">
      <c r="C57" s="21"/>
      <c r="D57" s="20"/>
      <c r="E57" s="20"/>
      <c r="F57" s="20"/>
      <c r="G57" s="20"/>
      <c r="H57" s="20"/>
      <c r="I57" s="20"/>
      <c r="J57" s="20"/>
      <c r="K57" s="20"/>
      <c r="L57" s="20"/>
      <c r="M57" s="20"/>
      <c r="N57" s="20"/>
      <c r="O57" s="21"/>
      <c r="P57" s="21"/>
      <c r="Q57" s="20"/>
      <c r="R57" s="21"/>
      <c r="S57" s="21"/>
    </row>
    <row r="58" spans="2:19" customFormat="1" ht="19.5" customHeight="1">
      <c r="C58" s="21"/>
      <c r="D58" s="20"/>
      <c r="E58" s="20"/>
      <c r="F58" s="20"/>
      <c r="G58" s="20"/>
      <c r="H58" s="20"/>
      <c r="I58" s="20"/>
      <c r="J58" s="20"/>
      <c r="K58" s="20"/>
      <c r="L58" s="20"/>
      <c r="M58" s="20"/>
      <c r="N58" s="20"/>
      <c r="O58" s="21"/>
      <c r="P58" s="21"/>
      <c r="Q58" s="20"/>
      <c r="R58" s="21"/>
      <c r="S58" s="21"/>
    </row>
    <row r="59" spans="2:19" customFormat="1" ht="19.5" customHeight="1">
      <c r="C59" s="21"/>
      <c r="D59" s="20"/>
      <c r="E59" s="20"/>
      <c r="F59" s="20"/>
      <c r="G59" s="20"/>
      <c r="H59" s="20"/>
      <c r="I59" s="20"/>
      <c r="J59" s="20"/>
      <c r="K59" s="20"/>
      <c r="L59" s="20"/>
      <c r="M59" s="20"/>
      <c r="N59" s="20"/>
      <c r="O59" s="21"/>
      <c r="P59" s="21"/>
      <c r="Q59" s="20"/>
      <c r="R59" s="21"/>
      <c r="S59" s="21"/>
    </row>
    <row r="60" spans="2:19" customFormat="1" ht="19.5" customHeight="1">
      <c r="C60" s="21"/>
      <c r="D60" s="20"/>
      <c r="E60" s="20"/>
      <c r="F60" s="20"/>
      <c r="G60" s="20"/>
      <c r="H60" s="20"/>
      <c r="I60" s="20"/>
      <c r="J60" s="20"/>
      <c r="K60" s="20"/>
      <c r="L60" s="20"/>
      <c r="M60" s="20"/>
      <c r="N60" s="20"/>
      <c r="O60" s="21"/>
      <c r="P60" s="21"/>
      <c r="Q60" s="20"/>
      <c r="R60" s="21"/>
      <c r="S60" s="21"/>
    </row>
    <row r="61" spans="2:19" customFormat="1" ht="19.5" customHeight="1">
      <c r="C61" s="21"/>
      <c r="D61" s="20"/>
      <c r="E61" s="20"/>
      <c r="F61" s="20"/>
      <c r="G61" s="20"/>
      <c r="H61" s="20"/>
      <c r="I61" s="20"/>
      <c r="J61" s="20"/>
      <c r="K61" s="20"/>
      <c r="L61" s="20"/>
      <c r="M61" s="20"/>
      <c r="N61" s="20"/>
      <c r="O61" s="21"/>
      <c r="P61" s="21"/>
      <c r="Q61" s="20"/>
      <c r="R61" s="21"/>
      <c r="S61" s="21"/>
    </row>
    <row r="62" spans="2:19" customFormat="1" ht="19.5" customHeight="1"/>
    <row r="63" spans="2:19" customFormat="1" ht="19.5" customHeight="1"/>
    <row r="64" spans="2:19" customFormat="1" ht="19.5" customHeight="1"/>
    <row r="65" customFormat="1" ht="19.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customFormat="1" ht="15" customHeight="1"/>
    <row r="82" customFormat="1" ht="15" customHeight="1"/>
    <row r="83" customFormat="1" ht="15" customHeight="1"/>
    <row r="84" customFormat="1" ht="15" customHeight="1"/>
    <row r="85" customFormat="1" ht="15" customHeight="1"/>
    <row r="86" s="73" customFormat="1" ht="15" customHeight="1"/>
    <row r="87" s="73" customFormat="1" ht="15" customHeight="1"/>
    <row r="88" s="73" customFormat="1" ht="15" customHeight="1"/>
    <row r="89"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B8F217F8-F24A-46DB-AD79-FB7F7B3795F3}"/>
  </hyperlinks>
  <pageMargins left="0.7" right="0.7" top="0.75" bottom="0.75" header="0.3" footer="0.3"/>
  <customProperties>
    <customPr name="_pios_id" r:id="rId1"/>
  </customPropertie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2DF56-2F35-4104-B0EF-D28B97B1E8D4}">
  <dimension ref="A1:S89"/>
  <sheetViews>
    <sheetView showGridLines="0" zoomScaleNormal="100" workbookViewId="0">
      <selection activeCell="G17" sqref="G17"/>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2320</v>
      </c>
      <c r="C2" s="993"/>
      <c r="D2" s="993"/>
      <c r="E2" s="993"/>
      <c r="F2" s="993"/>
      <c r="G2" s="993"/>
      <c r="H2" s="993"/>
      <c r="I2" s="994"/>
      <c r="J2" s="70" t="s">
        <v>816</v>
      </c>
      <c r="K2" s="998" t="s">
        <v>602</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823</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2321</v>
      </c>
      <c r="D8" s="119" t="s">
        <v>833</v>
      </c>
      <c r="E8" s="107" t="s">
        <v>1377</v>
      </c>
      <c r="F8" s="107">
        <v>18</v>
      </c>
      <c r="G8" s="108" t="s">
        <v>2322</v>
      </c>
      <c r="H8" s="109"/>
      <c r="I8" s="110">
        <v>1</v>
      </c>
      <c r="J8" s="117" t="s">
        <v>1271</v>
      </c>
      <c r="K8" s="112"/>
      <c r="L8" s="113" t="s">
        <v>1354</v>
      </c>
      <c r="M8" s="112">
        <v>1000</v>
      </c>
      <c r="N8" s="114" t="s">
        <v>1069</v>
      </c>
      <c r="O8" s="114" t="s">
        <v>1070</v>
      </c>
      <c r="P8" s="112"/>
      <c r="Q8" s="112"/>
      <c r="R8" s="114"/>
      <c r="S8" s="134"/>
    </row>
    <row r="9" spans="1:19" s="73" customFormat="1" ht="13.5">
      <c r="B9" s="104">
        <v>2</v>
      </c>
      <c r="C9" s="105" t="s">
        <v>2323</v>
      </c>
      <c r="D9" s="119" t="s">
        <v>833</v>
      </c>
      <c r="E9" s="107" t="s">
        <v>1377</v>
      </c>
      <c r="F9" s="107">
        <v>18</v>
      </c>
      <c r="G9" s="108" t="s">
        <v>2324</v>
      </c>
      <c r="H9" s="109"/>
      <c r="I9" s="110">
        <v>2</v>
      </c>
      <c r="J9" s="117" t="s">
        <v>2241</v>
      </c>
      <c r="K9" s="119"/>
      <c r="L9" s="113" t="s">
        <v>1354</v>
      </c>
      <c r="M9" s="112">
        <v>1000</v>
      </c>
      <c r="N9" s="114" t="s">
        <v>2325</v>
      </c>
      <c r="O9" s="114" t="s">
        <v>2286</v>
      </c>
      <c r="P9" s="112"/>
      <c r="Q9" s="112"/>
      <c r="R9" s="114"/>
      <c r="S9" s="134"/>
    </row>
    <row r="10" spans="1:19" s="73" customFormat="1" ht="13.5">
      <c r="B10" s="104">
        <v>3</v>
      </c>
      <c r="C10" s="105" t="s">
        <v>2326</v>
      </c>
      <c r="D10" s="119"/>
      <c r="E10" s="107" t="s">
        <v>1421</v>
      </c>
      <c r="F10" s="107" t="s">
        <v>2327</v>
      </c>
      <c r="G10" s="108" t="s">
        <v>2328</v>
      </c>
      <c r="H10" s="109"/>
      <c r="I10" s="110">
        <v>3</v>
      </c>
      <c r="J10" s="117" t="s">
        <v>2134</v>
      </c>
      <c r="K10" s="119"/>
      <c r="L10" s="113" t="s">
        <v>1354</v>
      </c>
      <c r="M10" s="112">
        <v>1000</v>
      </c>
      <c r="N10" s="114" t="s">
        <v>2329</v>
      </c>
      <c r="O10" s="114" t="s">
        <v>2330</v>
      </c>
      <c r="P10" s="112"/>
      <c r="Q10" s="112"/>
      <c r="R10" s="114"/>
      <c r="S10" s="134"/>
    </row>
    <row r="11" spans="1:19" s="73" customFormat="1" ht="13.5">
      <c r="B11" s="104">
        <v>4</v>
      </c>
      <c r="C11" s="105" t="s">
        <v>2331</v>
      </c>
      <c r="D11" s="119"/>
      <c r="E11" s="107" t="s">
        <v>1373</v>
      </c>
      <c r="F11" s="107"/>
      <c r="G11" s="108" t="s">
        <v>2332</v>
      </c>
      <c r="H11" s="109"/>
      <c r="I11" s="110">
        <v>4</v>
      </c>
      <c r="J11" s="118" t="s">
        <v>2333</v>
      </c>
      <c r="K11" s="119"/>
      <c r="L11" s="113" t="s">
        <v>1354</v>
      </c>
      <c r="M11" s="112">
        <v>1000</v>
      </c>
      <c r="N11" s="108" t="s">
        <v>1596</v>
      </c>
      <c r="O11" s="108" t="s">
        <v>1595</v>
      </c>
      <c r="P11" s="119"/>
      <c r="Q11" s="119"/>
      <c r="R11" s="108"/>
      <c r="S11" s="134"/>
    </row>
    <row r="12" spans="1:19" s="73" customFormat="1" ht="27">
      <c r="B12" s="104">
        <v>5</v>
      </c>
      <c r="C12" s="105" t="s">
        <v>1447</v>
      </c>
      <c r="D12" s="119"/>
      <c r="E12" s="107" t="s">
        <v>845</v>
      </c>
      <c r="F12" s="107">
        <v>1</v>
      </c>
      <c r="G12" s="108" t="s">
        <v>2334</v>
      </c>
      <c r="H12" s="109"/>
      <c r="I12" s="110">
        <v>5</v>
      </c>
      <c r="J12" s="118"/>
      <c r="K12" s="119"/>
      <c r="L12" s="113"/>
      <c r="M12" s="112"/>
      <c r="N12" s="108"/>
      <c r="O12" s="108"/>
      <c r="P12" s="119"/>
      <c r="Q12" s="119"/>
      <c r="R12" s="108"/>
      <c r="S12" s="134"/>
    </row>
    <row r="13" spans="1:19" s="73" customFormat="1" ht="13.5">
      <c r="B13" s="104">
        <v>6</v>
      </c>
      <c r="C13" s="105" t="s">
        <v>1450</v>
      </c>
      <c r="D13" s="119"/>
      <c r="E13" s="107" t="s">
        <v>1377</v>
      </c>
      <c r="F13" s="107">
        <v>220</v>
      </c>
      <c r="G13" s="108" t="s">
        <v>2335</v>
      </c>
      <c r="H13" s="109"/>
      <c r="I13" s="110">
        <v>6</v>
      </c>
      <c r="J13" s="118"/>
      <c r="K13" s="119"/>
      <c r="L13" s="113"/>
      <c r="M13" s="112"/>
      <c r="N13" s="108"/>
      <c r="O13" s="108"/>
      <c r="P13" s="119"/>
      <c r="Q13" s="112"/>
      <c r="R13" s="114"/>
      <c r="S13" s="134"/>
    </row>
    <row r="14" spans="1:19" s="73" customFormat="1" ht="13.5">
      <c r="B14" s="104">
        <v>7</v>
      </c>
      <c r="C14" s="105"/>
      <c r="D14" s="119"/>
      <c r="E14" s="107"/>
      <c r="F14" s="107"/>
      <c r="G14" s="108"/>
      <c r="H14" s="109"/>
      <c r="I14" s="110">
        <v>7</v>
      </c>
      <c r="J14" s="118"/>
      <c r="K14" s="106"/>
      <c r="L14" s="113"/>
      <c r="M14" s="112"/>
      <c r="N14" s="108"/>
      <c r="O14" s="108"/>
      <c r="P14" s="119"/>
      <c r="Q14" s="112"/>
      <c r="R14" s="114"/>
      <c r="S14" s="134"/>
    </row>
    <row r="15" spans="1:19" s="73" customFormat="1" ht="13.5">
      <c r="B15" s="104">
        <v>8</v>
      </c>
      <c r="C15" s="105"/>
      <c r="D15" s="119"/>
      <c r="E15" s="107"/>
      <c r="F15" s="107"/>
      <c r="G15" s="108"/>
      <c r="H15" s="109"/>
      <c r="I15" s="110">
        <v>8</v>
      </c>
      <c r="J15" s="118"/>
      <c r="K15" s="106"/>
      <c r="L15" s="113"/>
      <c r="M15" s="112"/>
      <c r="N15" s="108"/>
      <c r="O15" s="108"/>
      <c r="P15" s="119"/>
      <c r="Q15" s="112"/>
      <c r="R15" s="114"/>
      <c r="S15" s="134"/>
    </row>
    <row r="16" spans="1:19" s="73" customFormat="1" ht="13.5">
      <c r="B16" s="104">
        <v>9</v>
      </c>
      <c r="C16" s="105"/>
      <c r="D16" s="119"/>
      <c r="E16" s="107"/>
      <c r="F16" s="107"/>
      <c r="G16" s="108"/>
      <c r="H16" s="109"/>
      <c r="I16" s="110">
        <v>9</v>
      </c>
      <c r="J16" s="118"/>
      <c r="K16" s="106"/>
      <c r="L16" s="113"/>
      <c r="M16" s="112"/>
      <c r="N16" s="108"/>
      <c r="O16" s="108"/>
      <c r="P16" s="119"/>
      <c r="Q16" s="112"/>
      <c r="R16" s="114"/>
      <c r="S16" s="134"/>
    </row>
    <row r="17" spans="2:19" s="73" customFormat="1" ht="13.5">
      <c r="B17" s="104">
        <v>10</v>
      </c>
      <c r="C17" s="105"/>
      <c r="D17" s="119"/>
      <c r="E17" s="107"/>
      <c r="F17" s="107"/>
      <c r="G17" s="108"/>
      <c r="H17" s="109"/>
      <c r="I17" s="110">
        <v>10</v>
      </c>
      <c r="J17" s="117"/>
      <c r="K17" s="120"/>
      <c r="L17" s="113"/>
      <c r="M17" s="112"/>
      <c r="N17" s="108"/>
      <c r="O17" s="108"/>
      <c r="P17" s="112"/>
      <c r="Q17" s="112"/>
      <c r="R17" s="114"/>
      <c r="S17" s="134"/>
    </row>
    <row r="18" spans="2:19" s="73" customFormat="1" ht="13.5">
      <c r="B18" s="104">
        <v>11</v>
      </c>
      <c r="C18" s="105"/>
      <c r="D18" s="119"/>
      <c r="E18" s="107"/>
      <c r="F18" s="107"/>
      <c r="G18" s="108"/>
      <c r="H18" s="109"/>
      <c r="I18" s="110">
        <v>11</v>
      </c>
      <c r="J18" s="117"/>
      <c r="K18" s="112"/>
      <c r="L18" s="113"/>
      <c r="M18" s="112"/>
      <c r="N18" s="114"/>
      <c r="O18" s="114"/>
      <c r="P18" s="112"/>
      <c r="Q18" s="112"/>
      <c r="R18" s="114"/>
      <c r="S18" s="134"/>
    </row>
    <row r="19" spans="2:19" s="73" customFormat="1" ht="13.5">
      <c r="B19" s="104">
        <v>12</v>
      </c>
      <c r="C19" s="121"/>
      <c r="D19" s="119"/>
      <c r="E19" s="107"/>
      <c r="F19" s="107"/>
      <c r="G19" s="108"/>
      <c r="H19" s="109"/>
      <c r="I19" s="110">
        <v>12</v>
      </c>
      <c r="J19" s="117"/>
      <c r="K19" s="120"/>
      <c r="L19" s="113"/>
      <c r="M19" s="112"/>
      <c r="N19" s="114"/>
      <c r="O19" s="114"/>
      <c r="P19" s="112"/>
      <c r="Q19" s="112"/>
      <c r="R19" s="114"/>
      <c r="S19" s="134"/>
    </row>
    <row r="20" spans="2:19" s="73" customFormat="1" ht="13.5">
      <c r="B20" s="104">
        <v>13</v>
      </c>
      <c r="C20" s="121"/>
      <c r="D20" s="119"/>
      <c r="E20" s="107"/>
      <c r="F20" s="107"/>
      <c r="G20" s="108"/>
      <c r="H20" s="109"/>
      <c r="I20" s="110">
        <v>13</v>
      </c>
      <c r="J20" s="117"/>
      <c r="K20" s="120"/>
      <c r="L20" s="113"/>
      <c r="M20" s="112"/>
      <c r="N20" s="114"/>
      <c r="O20" s="114"/>
      <c r="P20" s="112"/>
      <c r="Q20" s="112"/>
      <c r="R20" s="114"/>
      <c r="S20" s="134"/>
    </row>
    <row r="21" spans="2:19" s="73" customFormat="1" ht="13.5">
      <c r="B21" s="104">
        <v>14</v>
      </c>
      <c r="C21" s="121"/>
      <c r="D21" s="119"/>
      <c r="E21" s="107"/>
      <c r="F21" s="107"/>
      <c r="G21" s="108"/>
      <c r="H21" s="109"/>
      <c r="I21" s="110">
        <v>14</v>
      </c>
      <c r="J21" s="118"/>
      <c r="K21" s="119"/>
      <c r="L21" s="113"/>
      <c r="M21" s="112"/>
      <c r="N21" s="108"/>
      <c r="O21" s="108"/>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9.5" customHeight="1">
      <c r="C52" s="21"/>
      <c r="D52" s="20"/>
      <c r="E52" s="20"/>
      <c r="F52" s="20"/>
      <c r="G52" s="20"/>
      <c r="H52" s="20"/>
      <c r="I52" s="20"/>
      <c r="J52" s="20"/>
      <c r="K52" s="20"/>
      <c r="L52" s="20"/>
      <c r="M52" s="20"/>
      <c r="N52" s="20"/>
      <c r="O52" s="21"/>
      <c r="P52" s="21"/>
      <c r="Q52" s="20"/>
      <c r="R52" s="21"/>
      <c r="S52" s="21"/>
    </row>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c r="C55" s="21"/>
      <c r="D55" s="20"/>
      <c r="E55" s="20"/>
      <c r="F55" s="20"/>
      <c r="G55" s="20"/>
      <c r="H55" s="20"/>
      <c r="I55" s="20"/>
      <c r="J55" s="20"/>
      <c r="K55" s="20"/>
      <c r="L55" s="20"/>
      <c r="M55" s="20"/>
      <c r="N55" s="20"/>
      <c r="O55" s="21"/>
      <c r="P55" s="21"/>
      <c r="Q55" s="20"/>
      <c r="R55" s="21"/>
      <c r="S55" s="21"/>
    </row>
    <row r="56" spans="2:19" customFormat="1" ht="19.5" customHeight="1">
      <c r="C56" s="21"/>
      <c r="D56" s="20"/>
      <c r="E56" s="20"/>
      <c r="F56" s="20"/>
      <c r="G56" s="20"/>
      <c r="H56" s="20"/>
      <c r="I56" s="20"/>
      <c r="J56" s="20"/>
      <c r="K56" s="20"/>
      <c r="L56" s="20"/>
      <c r="M56" s="20"/>
      <c r="N56" s="20"/>
      <c r="O56" s="21"/>
      <c r="P56" s="21"/>
      <c r="Q56" s="20"/>
      <c r="R56" s="21"/>
      <c r="S56" s="21"/>
    </row>
    <row r="57" spans="2:19" customFormat="1" ht="19.5" customHeight="1">
      <c r="C57" s="21"/>
      <c r="D57" s="20"/>
      <c r="E57" s="20"/>
      <c r="F57" s="20"/>
      <c r="G57" s="20"/>
      <c r="H57" s="20"/>
      <c r="I57" s="20"/>
      <c r="J57" s="20"/>
      <c r="K57" s="20"/>
      <c r="L57" s="20"/>
      <c r="M57" s="20"/>
      <c r="N57" s="20"/>
      <c r="O57" s="21"/>
      <c r="P57" s="21"/>
      <c r="Q57" s="20"/>
      <c r="R57" s="21"/>
      <c r="S57" s="21"/>
    </row>
    <row r="58" spans="2:19" customFormat="1" ht="19.5" customHeight="1">
      <c r="C58" s="21"/>
      <c r="D58" s="20"/>
      <c r="E58" s="20"/>
      <c r="F58" s="20"/>
      <c r="G58" s="20"/>
      <c r="H58" s="20"/>
      <c r="I58" s="20"/>
      <c r="J58" s="20"/>
      <c r="K58" s="20"/>
      <c r="L58" s="20"/>
      <c r="M58" s="20"/>
      <c r="N58" s="20"/>
      <c r="O58" s="21"/>
      <c r="P58" s="21"/>
      <c r="Q58" s="20"/>
      <c r="R58" s="21"/>
      <c r="S58" s="21"/>
    </row>
    <row r="59" spans="2:19" customFormat="1" ht="19.5" customHeight="1">
      <c r="C59" s="21"/>
      <c r="D59" s="20"/>
      <c r="E59" s="20"/>
      <c r="F59" s="20"/>
      <c r="G59" s="20"/>
      <c r="H59" s="20"/>
      <c r="I59" s="20"/>
      <c r="J59" s="20"/>
      <c r="K59" s="20"/>
      <c r="L59" s="20"/>
      <c r="M59" s="20"/>
      <c r="N59" s="20"/>
      <c r="O59" s="21"/>
      <c r="P59" s="21"/>
      <c r="Q59" s="20"/>
      <c r="R59" s="21"/>
      <c r="S59" s="21"/>
    </row>
    <row r="60" spans="2:19" customFormat="1" ht="19.5" customHeight="1">
      <c r="C60" s="21"/>
      <c r="D60" s="20"/>
      <c r="E60" s="20"/>
      <c r="F60" s="20"/>
      <c r="G60" s="20"/>
      <c r="H60" s="20"/>
      <c r="I60" s="20"/>
      <c r="J60" s="20"/>
      <c r="K60" s="20"/>
      <c r="L60" s="20"/>
      <c r="M60" s="20"/>
      <c r="N60" s="20"/>
      <c r="O60" s="21"/>
      <c r="P60" s="21"/>
      <c r="Q60" s="20"/>
      <c r="R60" s="21"/>
      <c r="S60" s="21"/>
    </row>
    <row r="61" spans="2:19" customFormat="1" ht="19.5" customHeight="1">
      <c r="C61" s="21"/>
      <c r="D61" s="20"/>
      <c r="E61" s="20"/>
      <c r="F61" s="20"/>
      <c r="G61" s="20"/>
      <c r="H61" s="20"/>
      <c r="I61" s="20"/>
      <c r="J61" s="20"/>
      <c r="K61" s="20"/>
      <c r="L61" s="20"/>
      <c r="M61" s="20"/>
      <c r="N61" s="20"/>
      <c r="O61" s="21"/>
      <c r="P61" s="21"/>
      <c r="Q61" s="20"/>
      <c r="R61" s="21"/>
      <c r="S61" s="21"/>
    </row>
    <row r="62" spans="2:19" customFormat="1" ht="19.5" customHeight="1"/>
    <row r="63" spans="2:19" customFormat="1" ht="19.5" customHeight="1"/>
    <row r="64" spans="2:19" customFormat="1" ht="19.5" customHeight="1"/>
    <row r="65" customFormat="1" ht="19.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customFormat="1" ht="15" customHeight="1"/>
    <row r="82" customFormat="1" ht="15" customHeight="1"/>
    <row r="83" customFormat="1" ht="15" customHeight="1"/>
    <row r="84" customFormat="1" ht="15" customHeight="1"/>
    <row r="85" customFormat="1" ht="15" customHeight="1"/>
    <row r="86" s="73" customFormat="1" ht="15" customHeight="1"/>
    <row r="87" s="73" customFormat="1" ht="15" customHeight="1"/>
    <row r="88" s="73" customFormat="1" ht="15" customHeight="1"/>
    <row r="89"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CA354A96-545A-46BF-A683-BC5D633670C0}"/>
  </hyperlinks>
  <pageMargins left="0.7" right="0.7" top="0.75" bottom="0.75" header="0.3" footer="0.3"/>
  <customProperties>
    <customPr name="_pios_id" r:id="rId1"/>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A4EF1-8809-4AB0-B7C0-B1CCCC2FCB32}">
  <dimension ref="A1:T88"/>
  <sheetViews>
    <sheetView showGridLines="0" zoomScaleNormal="100" workbookViewId="0">
      <selection activeCell="G16" sqref="G16"/>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7.25" style="69" customWidth="1"/>
    <col min="21" max="16384" width="12.625" style="69"/>
  </cols>
  <sheetData>
    <row r="1" spans="1:19" ht="9.6" customHeight="1" thickBot="1">
      <c r="A1" s="67" t="s">
        <v>814</v>
      </c>
    </row>
    <row r="2" spans="1:19" ht="23.1" customHeight="1">
      <c r="B2" s="992" t="s">
        <v>2336</v>
      </c>
      <c r="C2" s="993"/>
      <c r="D2" s="993"/>
      <c r="E2" s="993"/>
      <c r="F2" s="993"/>
      <c r="G2" s="993"/>
      <c r="H2" s="993"/>
      <c r="I2" s="994"/>
      <c r="J2" s="70" t="s">
        <v>816</v>
      </c>
      <c r="K2" s="998" t="s">
        <v>128</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2337</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2338</v>
      </c>
      <c r="D8" s="119" t="s">
        <v>42</v>
      </c>
      <c r="E8" s="107" t="s">
        <v>845</v>
      </c>
      <c r="F8" s="107">
        <v>20</v>
      </c>
      <c r="G8" s="108" t="s">
        <v>2339</v>
      </c>
      <c r="H8" s="109" t="s">
        <v>2077</v>
      </c>
      <c r="I8" s="110">
        <v>1</v>
      </c>
      <c r="J8" s="117" t="s">
        <v>2078</v>
      </c>
      <c r="K8" s="112"/>
      <c r="L8" s="113" t="s">
        <v>1354</v>
      </c>
      <c r="M8" s="112">
        <v>1000</v>
      </c>
      <c r="N8" s="114" t="s">
        <v>2339</v>
      </c>
      <c r="O8" s="114" t="s">
        <v>2077</v>
      </c>
      <c r="P8" s="112"/>
      <c r="Q8" s="112"/>
      <c r="R8" s="114"/>
      <c r="S8" s="134"/>
    </row>
    <row r="9" spans="1:19" s="73" customFormat="1" ht="13.5">
      <c r="B9" s="104">
        <v>2</v>
      </c>
      <c r="C9" s="105" t="s">
        <v>2340</v>
      </c>
      <c r="D9" s="119"/>
      <c r="E9" s="107" t="s">
        <v>845</v>
      </c>
      <c r="F9" s="107">
        <v>1</v>
      </c>
      <c r="G9" s="108" t="s">
        <v>2341</v>
      </c>
      <c r="H9" s="109" t="s">
        <v>2342</v>
      </c>
      <c r="I9" s="110">
        <v>2</v>
      </c>
      <c r="J9" s="117" t="s">
        <v>2343</v>
      </c>
      <c r="K9" s="119"/>
      <c r="L9" s="113" t="s">
        <v>1354</v>
      </c>
      <c r="M9" s="112">
        <v>1000</v>
      </c>
      <c r="N9" s="114" t="s">
        <v>2341</v>
      </c>
      <c r="O9" s="114" t="s">
        <v>2342</v>
      </c>
      <c r="P9" s="112"/>
      <c r="Q9" s="112"/>
      <c r="R9" s="114"/>
      <c r="S9" s="134"/>
    </row>
    <row r="10" spans="1:19" s="73" customFormat="1" ht="13.5">
      <c r="B10" s="104">
        <v>3</v>
      </c>
      <c r="C10" s="105" t="s">
        <v>2344</v>
      </c>
      <c r="D10" s="119"/>
      <c r="E10" s="107" t="s">
        <v>845</v>
      </c>
      <c r="F10" s="107">
        <v>4</v>
      </c>
      <c r="G10" s="108" t="s">
        <v>2345</v>
      </c>
      <c r="H10" s="109" t="s">
        <v>2346</v>
      </c>
      <c r="I10" s="110">
        <v>3</v>
      </c>
      <c r="J10" s="117" t="s">
        <v>2347</v>
      </c>
      <c r="K10" s="119"/>
      <c r="L10" s="113" t="s">
        <v>1354</v>
      </c>
      <c r="M10" s="112">
        <v>1000</v>
      </c>
      <c r="N10" s="114" t="s">
        <v>2345</v>
      </c>
      <c r="O10" s="114" t="s">
        <v>2346</v>
      </c>
      <c r="P10" s="112"/>
      <c r="Q10" s="112"/>
      <c r="R10" s="114"/>
      <c r="S10" s="134"/>
    </row>
    <row r="11" spans="1:19" s="73" customFormat="1" ht="13.5">
      <c r="B11" s="104">
        <v>4</v>
      </c>
      <c r="C11" s="105" t="s">
        <v>2080</v>
      </c>
      <c r="D11" s="119"/>
      <c r="E11" s="107" t="s">
        <v>845</v>
      </c>
      <c r="F11" s="107">
        <v>4</v>
      </c>
      <c r="G11" s="108" t="s">
        <v>2081</v>
      </c>
      <c r="H11" s="109" t="s">
        <v>2082</v>
      </c>
      <c r="I11" s="110">
        <v>4</v>
      </c>
      <c r="J11" s="118" t="s">
        <v>2348</v>
      </c>
      <c r="K11" s="119"/>
      <c r="L11" s="113" t="s">
        <v>1354</v>
      </c>
      <c r="M11" s="112">
        <v>1000</v>
      </c>
      <c r="N11" s="108" t="s">
        <v>2081</v>
      </c>
      <c r="O11" s="108" t="s">
        <v>2082</v>
      </c>
      <c r="P11" s="119"/>
      <c r="Q11" s="119"/>
      <c r="R11" s="108"/>
      <c r="S11" s="134"/>
    </row>
    <row r="12" spans="1:19" s="73" customFormat="1" ht="13.5">
      <c r="B12" s="104">
        <v>5</v>
      </c>
      <c r="C12" s="105" t="s">
        <v>2349</v>
      </c>
      <c r="D12" s="119"/>
      <c r="E12" s="107" t="s">
        <v>845</v>
      </c>
      <c r="F12" s="107">
        <v>10</v>
      </c>
      <c r="G12" s="108" t="s">
        <v>2350</v>
      </c>
      <c r="H12" s="109" t="s">
        <v>2351</v>
      </c>
      <c r="I12" s="110">
        <v>5</v>
      </c>
      <c r="J12" s="118" t="s">
        <v>2352</v>
      </c>
      <c r="K12" s="119"/>
      <c r="L12" s="113" t="s">
        <v>1354</v>
      </c>
      <c r="M12" s="112">
        <v>1000</v>
      </c>
      <c r="N12" s="108" t="s">
        <v>2350</v>
      </c>
      <c r="O12" s="108" t="s">
        <v>2351</v>
      </c>
      <c r="P12" s="119"/>
      <c r="Q12" s="119"/>
      <c r="R12" s="108"/>
      <c r="S12" s="134"/>
    </row>
    <row r="13" spans="1:19" s="73" customFormat="1" ht="13.5">
      <c r="B13" s="104">
        <v>6</v>
      </c>
      <c r="C13" s="105" t="s">
        <v>1068</v>
      </c>
      <c r="D13" s="119"/>
      <c r="E13" s="107" t="s">
        <v>845</v>
      </c>
      <c r="F13" s="107">
        <v>18</v>
      </c>
      <c r="G13" s="108" t="s">
        <v>1406</v>
      </c>
      <c r="H13" s="109" t="s">
        <v>1407</v>
      </c>
      <c r="I13" s="110">
        <v>6</v>
      </c>
      <c r="J13" s="118" t="s">
        <v>1271</v>
      </c>
      <c r="K13" s="119"/>
      <c r="L13" s="113" t="s">
        <v>1354</v>
      </c>
      <c r="M13" s="112">
        <v>1000</v>
      </c>
      <c r="N13" s="108" t="s">
        <v>1406</v>
      </c>
      <c r="O13" s="108" t="s">
        <v>1407</v>
      </c>
      <c r="P13" s="119"/>
      <c r="Q13" s="112"/>
      <c r="R13" s="114"/>
      <c r="S13" s="134"/>
    </row>
    <row r="14" spans="1:19" s="73" customFormat="1" ht="13.5">
      <c r="B14" s="104">
        <v>7</v>
      </c>
      <c r="C14" s="105" t="s">
        <v>2011</v>
      </c>
      <c r="D14" s="119"/>
      <c r="E14" s="107" t="s">
        <v>845</v>
      </c>
      <c r="F14" s="107">
        <v>1</v>
      </c>
      <c r="G14" s="108" t="s">
        <v>2012</v>
      </c>
      <c r="H14" s="109" t="s">
        <v>2013</v>
      </c>
      <c r="I14" s="110">
        <v>7</v>
      </c>
      <c r="J14" s="118" t="s">
        <v>2014</v>
      </c>
      <c r="K14" s="106"/>
      <c r="L14" s="113" t="s">
        <v>1354</v>
      </c>
      <c r="M14" s="112">
        <v>1000</v>
      </c>
      <c r="N14" s="108" t="s">
        <v>2012</v>
      </c>
      <c r="O14" s="108" t="s">
        <v>2013</v>
      </c>
      <c r="P14" s="119"/>
      <c r="Q14" s="112"/>
      <c r="R14" s="114"/>
      <c r="S14" s="134"/>
    </row>
    <row r="15" spans="1:19" s="73" customFormat="1" ht="13.5">
      <c r="B15" s="104">
        <v>8</v>
      </c>
      <c r="C15" s="105" t="s">
        <v>2353</v>
      </c>
      <c r="D15" s="119"/>
      <c r="E15" s="107" t="s">
        <v>1306</v>
      </c>
      <c r="F15" s="107">
        <v>13</v>
      </c>
      <c r="G15" s="108" t="s">
        <v>2354</v>
      </c>
      <c r="H15" s="109" t="s">
        <v>2355</v>
      </c>
      <c r="I15" s="110">
        <v>8</v>
      </c>
      <c r="J15" s="118" t="s">
        <v>2356</v>
      </c>
      <c r="K15" s="106"/>
      <c r="L15" s="113" t="s">
        <v>1354</v>
      </c>
      <c r="M15" s="112">
        <v>1000</v>
      </c>
      <c r="N15" s="108" t="s">
        <v>2354</v>
      </c>
      <c r="O15" s="108" t="s">
        <v>2355</v>
      </c>
      <c r="P15" s="119"/>
      <c r="Q15" s="112"/>
      <c r="R15" s="114"/>
      <c r="S15" s="134"/>
    </row>
    <row r="16" spans="1:19" s="73" customFormat="1" ht="13.5">
      <c r="B16" s="104">
        <v>9</v>
      </c>
      <c r="C16" s="105" t="s">
        <v>2357</v>
      </c>
      <c r="D16" s="119"/>
      <c r="E16" s="107" t="s">
        <v>1306</v>
      </c>
      <c r="F16" s="107">
        <v>13</v>
      </c>
      <c r="G16" s="108" t="s">
        <v>2358</v>
      </c>
      <c r="H16" s="109" t="s">
        <v>2359</v>
      </c>
      <c r="I16" s="110">
        <v>9</v>
      </c>
      <c r="J16" s="118" t="s">
        <v>2360</v>
      </c>
      <c r="K16" s="106"/>
      <c r="L16" s="113" t="s">
        <v>1354</v>
      </c>
      <c r="M16" s="112">
        <v>1000</v>
      </c>
      <c r="N16" s="108" t="s">
        <v>2358</v>
      </c>
      <c r="O16" s="108" t="s">
        <v>2359</v>
      </c>
      <c r="P16" s="119"/>
      <c r="Q16" s="112"/>
      <c r="R16" s="114"/>
      <c r="S16" s="134"/>
    </row>
    <row r="17" spans="2:20" s="73" customFormat="1" ht="13.5">
      <c r="B17" s="104">
        <v>10</v>
      </c>
      <c r="C17" s="105" t="s">
        <v>2361</v>
      </c>
      <c r="D17" s="119"/>
      <c r="E17" s="107" t="s">
        <v>845</v>
      </c>
      <c r="F17" s="107">
        <v>1</v>
      </c>
      <c r="G17" s="108" t="s">
        <v>2362</v>
      </c>
      <c r="H17" s="109" t="s">
        <v>2363</v>
      </c>
      <c r="I17" s="110">
        <v>10</v>
      </c>
      <c r="J17" s="117" t="s">
        <v>1447</v>
      </c>
      <c r="K17" s="120"/>
      <c r="L17" s="113" t="s">
        <v>1377</v>
      </c>
      <c r="M17" s="112">
        <v>1</v>
      </c>
      <c r="N17" s="108" t="s">
        <v>2362</v>
      </c>
      <c r="O17" s="108" t="s">
        <v>2363</v>
      </c>
      <c r="P17" s="112"/>
      <c r="Q17" s="112"/>
      <c r="R17" s="114"/>
      <c r="S17" s="134"/>
    </row>
    <row r="18" spans="2:20" s="73" customFormat="1" ht="13.5">
      <c r="B18" s="104">
        <v>11</v>
      </c>
      <c r="C18" s="105"/>
      <c r="D18" s="119"/>
      <c r="E18" s="107"/>
      <c r="F18" s="107"/>
      <c r="G18" s="108"/>
      <c r="H18" s="109"/>
      <c r="I18" s="110">
        <v>11</v>
      </c>
      <c r="J18" s="117"/>
      <c r="K18" s="112"/>
      <c r="L18" s="113"/>
      <c r="M18" s="112"/>
      <c r="N18" s="114"/>
      <c r="O18" s="114"/>
      <c r="P18" s="112"/>
      <c r="Q18" s="112"/>
      <c r="R18" s="114"/>
      <c r="S18" s="134"/>
    </row>
    <row r="19" spans="2:20" s="73" customFormat="1" ht="27">
      <c r="B19" s="104">
        <v>12</v>
      </c>
      <c r="C19" s="337"/>
      <c r="D19" s="338"/>
      <c r="E19" s="339"/>
      <c r="F19" s="339"/>
      <c r="G19" s="340" t="s">
        <v>2364</v>
      </c>
      <c r="H19" s="933" t="s">
        <v>2365</v>
      </c>
      <c r="I19" s="110">
        <v>12</v>
      </c>
      <c r="J19" s="117"/>
      <c r="K19" s="120"/>
      <c r="L19" s="113"/>
      <c r="M19" s="112"/>
      <c r="N19" s="114"/>
      <c r="O19" s="114"/>
      <c r="P19" s="112"/>
      <c r="Q19" s="112"/>
      <c r="R19" s="114"/>
      <c r="S19" s="134"/>
      <c r="T19" s="341" t="s">
        <v>2089</v>
      </c>
    </row>
    <row r="20" spans="2:20" s="73" customFormat="1" ht="13.5">
      <c r="B20" s="104">
        <v>13</v>
      </c>
      <c r="C20" s="337"/>
      <c r="D20" s="338"/>
      <c r="E20" s="339"/>
      <c r="F20" s="339"/>
      <c r="G20" s="340"/>
      <c r="H20" s="341"/>
      <c r="I20" s="110">
        <v>13</v>
      </c>
      <c r="J20" s="117"/>
      <c r="K20" s="120"/>
      <c r="L20" s="113"/>
      <c r="M20" s="112"/>
      <c r="N20" s="114"/>
      <c r="O20" s="114"/>
      <c r="P20" s="112"/>
      <c r="Q20" s="112"/>
      <c r="R20" s="114"/>
      <c r="S20" s="134"/>
    </row>
    <row r="21" spans="2:20" s="73" customFormat="1" ht="13.5">
      <c r="B21" s="104">
        <v>14</v>
      </c>
      <c r="C21" s="121"/>
      <c r="D21" s="119"/>
      <c r="E21" s="107"/>
      <c r="F21" s="107"/>
      <c r="G21" s="108"/>
      <c r="H21" s="109"/>
      <c r="I21" s="110">
        <v>14</v>
      </c>
      <c r="J21" s="118"/>
      <c r="K21" s="119"/>
      <c r="L21" s="113"/>
      <c r="M21" s="112"/>
      <c r="N21" s="108"/>
      <c r="O21" s="108"/>
      <c r="P21" s="119"/>
      <c r="Q21" s="119"/>
      <c r="R21" s="108"/>
      <c r="S21" s="134"/>
    </row>
    <row r="22" spans="2:20" s="73" customFormat="1" ht="13.5">
      <c r="B22" s="104">
        <v>15</v>
      </c>
      <c r="C22" s="121"/>
      <c r="D22" s="119"/>
      <c r="E22" s="107"/>
      <c r="F22" s="107"/>
      <c r="G22" s="108"/>
      <c r="H22" s="109"/>
      <c r="I22" s="110">
        <v>15</v>
      </c>
      <c r="J22" s="118"/>
      <c r="K22" s="119"/>
      <c r="L22" s="113"/>
      <c r="M22" s="112"/>
      <c r="N22" s="108"/>
      <c r="O22" s="108"/>
      <c r="P22" s="119"/>
      <c r="Q22" s="119"/>
      <c r="R22" s="108"/>
      <c r="S22" s="134"/>
    </row>
    <row r="23" spans="2:20" s="73" customFormat="1" ht="13.5">
      <c r="B23" s="104">
        <v>16</v>
      </c>
      <c r="C23" s="121"/>
      <c r="D23" s="119"/>
      <c r="E23" s="107"/>
      <c r="F23" s="107"/>
      <c r="G23" s="108"/>
      <c r="H23" s="109"/>
      <c r="I23" s="110">
        <v>16</v>
      </c>
      <c r="J23" s="105"/>
      <c r="K23" s="119"/>
      <c r="L23" s="113"/>
      <c r="M23" s="112"/>
      <c r="N23" s="114"/>
      <c r="O23" s="114"/>
      <c r="P23" s="119"/>
      <c r="Q23" s="119"/>
      <c r="R23" s="108"/>
      <c r="S23" s="134"/>
    </row>
    <row r="24" spans="2:20" s="73" customFormat="1" ht="13.5">
      <c r="B24" s="104">
        <v>17</v>
      </c>
      <c r="C24" s="121"/>
      <c r="D24" s="119"/>
      <c r="E24" s="107"/>
      <c r="F24" s="107"/>
      <c r="G24" s="108"/>
      <c r="H24" s="109"/>
      <c r="I24" s="110">
        <v>17</v>
      </c>
      <c r="J24" s="105"/>
      <c r="K24" s="119"/>
      <c r="L24" s="113"/>
      <c r="M24" s="112"/>
      <c r="N24" s="114"/>
      <c r="O24" s="114"/>
      <c r="P24" s="119"/>
      <c r="Q24" s="119"/>
      <c r="R24" s="108"/>
      <c r="S24" s="134"/>
    </row>
    <row r="25" spans="2:20" s="73" customFormat="1" ht="13.5">
      <c r="B25" s="104">
        <v>18</v>
      </c>
      <c r="C25" s="121"/>
      <c r="D25" s="119"/>
      <c r="E25" s="107"/>
      <c r="F25" s="107"/>
      <c r="G25" s="108"/>
      <c r="H25" s="109"/>
      <c r="I25" s="110">
        <v>18</v>
      </c>
      <c r="J25" s="105"/>
      <c r="K25" s="119"/>
      <c r="L25" s="113"/>
      <c r="M25" s="112"/>
      <c r="N25" s="114"/>
      <c r="O25" s="114"/>
      <c r="P25" s="119"/>
      <c r="Q25" s="119"/>
      <c r="R25" s="108"/>
      <c r="S25" s="134"/>
    </row>
    <row r="26" spans="2:20" s="73" customFormat="1" ht="13.5">
      <c r="B26" s="104">
        <v>19</v>
      </c>
      <c r="C26" s="121"/>
      <c r="D26" s="119"/>
      <c r="E26" s="107"/>
      <c r="F26" s="107"/>
      <c r="G26" s="108"/>
      <c r="H26" s="109"/>
      <c r="I26" s="110">
        <v>19</v>
      </c>
      <c r="J26" s="105"/>
      <c r="K26" s="119"/>
      <c r="L26" s="113"/>
      <c r="M26" s="112"/>
      <c r="N26" s="114"/>
      <c r="O26" s="114"/>
      <c r="P26" s="119"/>
      <c r="Q26" s="119"/>
      <c r="R26" s="108"/>
      <c r="S26" s="134"/>
    </row>
    <row r="27" spans="2:20" s="73" customFormat="1" ht="13.5">
      <c r="B27" s="104">
        <v>20</v>
      </c>
      <c r="C27" s="121"/>
      <c r="D27" s="119"/>
      <c r="E27" s="107"/>
      <c r="F27" s="107"/>
      <c r="G27" s="108"/>
      <c r="H27" s="109"/>
      <c r="I27" s="110">
        <v>20</v>
      </c>
      <c r="J27" s="105"/>
      <c r="K27" s="119"/>
      <c r="L27" s="113"/>
      <c r="M27" s="112"/>
      <c r="N27" s="114"/>
      <c r="O27" s="114"/>
      <c r="P27" s="119"/>
      <c r="Q27" s="119"/>
      <c r="R27" s="108"/>
      <c r="S27" s="134"/>
    </row>
    <row r="28" spans="2:20" s="73" customFormat="1" ht="13.5">
      <c r="B28" s="104">
        <v>21</v>
      </c>
      <c r="C28" s="121"/>
      <c r="D28" s="119"/>
      <c r="E28" s="107"/>
      <c r="F28" s="107"/>
      <c r="G28" s="108"/>
      <c r="H28" s="109"/>
      <c r="I28" s="110">
        <v>21</v>
      </c>
      <c r="J28" s="105"/>
      <c r="K28" s="119"/>
      <c r="L28" s="113"/>
      <c r="M28" s="112"/>
      <c r="N28" s="114"/>
      <c r="O28" s="114"/>
      <c r="P28" s="119"/>
      <c r="Q28" s="119"/>
      <c r="R28" s="108"/>
      <c r="S28" s="134"/>
    </row>
    <row r="29" spans="2:20" s="73" customFormat="1" ht="13.5">
      <c r="B29" s="104">
        <v>22</v>
      </c>
      <c r="C29" s="121"/>
      <c r="D29" s="119"/>
      <c r="E29" s="107"/>
      <c r="F29" s="107"/>
      <c r="G29" s="108"/>
      <c r="H29" s="109"/>
      <c r="I29" s="110">
        <v>22</v>
      </c>
      <c r="J29" s="105"/>
      <c r="K29" s="119"/>
      <c r="L29" s="113"/>
      <c r="M29" s="112"/>
      <c r="N29" s="114"/>
      <c r="O29" s="114"/>
      <c r="P29" s="119"/>
      <c r="Q29" s="119"/>
      <c r="R29" s="108"/>
      <c r="S29" s="134"/>
    </row>
    <row r="30" spans="2:20" s="73" customFormat="1" ht="13.5">
      <c r="B30" s="104">
        <v>23</v>
      </c>
      <c r="C30" s="121"/>
      <c r="D30" s="119"/>
      <c r="E30" s="107"/>
      <c r="F30" s="107"/>
      <c r="G30" s="108"/>
      <c r="H30" s="109"/>
      <c r="I30" s="110">
        <v>23</v>
      </c>
      <c r="J30" s="105"/>
      <c r="K30" s="119"/>
      <c r="L30" s="113"/>
      <c r="M30" s="112"/>
      <c r="N30" s="114"/>
      <c r="O30" s="114"/>
      <c r="P30" s="119"/>
      <c r="Q30" s="119"/>
      <c r="R30" s="108"/>
      <c r="S30" s="134"/>
    </row>
    <row r="31" spans="2:20" s="73" customFormat="1" ht="13.5">
      <c r="B31" s="104">
        <v>24</v>
      </c>
      <c r="C31" s="121"/>
      <c r="D31" s="119"/>
      <c r="E31" s="107"/>
      <c r="F31" s="107"/>
      <c r="G31" s="108"/>
      <c r="H31" s="109"/>
      <c r="I31" s="110">
        <v>24</v>
      </c>
      <c r="J31" s="105"/>
      <c r="K31" s="119"/>
      <c r="L31" s="113"/>
      <c r="M31" s="112"/>
      <c r="N31" s="114"/>
      <c r="O31" s="114"/>
      <c r="P31" s="119"/>
      <c r="Q31" s="119"/>
      <c r="R31" s="108"/>
      <c r="S31" s="134"/>
    </row>
    <row r="32" spans="2:20"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9.5" customHeight="1">
      <c r="C52" s="21"/>
      <c r="D52" s="20"/>
      <c r="E52" s="20"/>
      <c r="F52" s="20"/>
      <c r="G52" s="20"/>
      <c r="H52" s="20"/>
      <c r="I52" s="20"/>
      <c r="J52" s="20"/>
      <c r="K52" s="20"/>
      <c r="L52" s="20"/>
      <c r="M52" s="20"/>
      <c r="N52" s="20"/>
      <c r="O52" s="21"/>
      <c r="P52" s="21"/>
      <c r="Q52" s="20"/>
      <c r="R52" s="21"/>
      <c r="S52" s="21"/>
    </row>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c r="C55" s="21"/>
      <c r="D55" s="20"/>
      <c r="E55" s="20"/>
      <c r="F55" s="20"/>
      <c r="G55" s="20"/>
      <c r="H55" s="20"/>
      <c r="I55" s="20"/>
      <c r="J55" s="20"/>
      <c r="K55" s="20"/>
      <c r="L55" s="20"/>
      <c r="M55" s="20"/>
      <c r="N55" s="20"/>
      <c r="O55" s="21"/>
      <c r="P55" s="21"/>
      <c r="Q55" s="20"/>
      <c r="R55" s="21"/>
      <c r="S55" s="21"/>
    </row>
    <row r="56" spans="2:19" customFormat="1" ht="19.5" customHeight="1">
      <c r="C56" s="21"/>
      <c r="D56" s="20"/>
      <c r="E56" s="20"/>
      <c r="F56" s="20"/>
      <c r="G56" s="20"/>
      <c r="H56" s="20"/>
      <c r="I56" s="20"/>
      <c r="J56" s="20"/>
      <c r="K56" s="20"/>
      <c r="L56" s="20"/>
      <c r="M56" s="20"/>
      <c r="N56" s="20"/>
      <c r="O56" s="21"/>
      <c r="P56" s="21"/>
      <c r="Q56" s="20"/>
      <c r="R56" s="21"/>
      <c r="S56" s="21"/>
    </row>
    <row r="57" spans="2:19" customFormat="1" ht="19.5" customHeight="1">
      <c r="C57" s="21"/>
      <c r="D57" s="20"/>
      <c r="E57" s="20"/>
      <c r="F57" s="20"/>
      <c r="G57" s="20"/>
      <c r="H57" s="20"/>
      <c r="I57" s="20"/>
      <c r="J57" s="20"/>
      <c r="K57" s="20"/>
      <c r="L57" s="20"/>
      <c r="M57" s="20"/>
      <c r="N57" s="20"/>
      <c r="O57" s="21"/>
      <c r="P57" s="21"/>
      <c r="Q57" s="20"/>
      <c r="R57" s="21"/>
      <c r="S57" s="21"/>
    </row>
    <row r="58" spans="2:19" customFormat="1" ht="19.5" customHeight="1">
      <c r="C58" s="21"/>
      <c r="D58" s="20"/>
      <c r="E58" s="20"/>
      <c r="F58" s="20"/>
      <c r="G58" s="20"/>
      <c r="H58" s="20"/>
      <c r="I58" s="20"/>
      <c r="J58" s="20"/>
      <c r="K58" s="20"/>
      <c r="L58" s="20"/>
      <c r="M58" s="20"/>
      <c r="N58" s="20"/>
      <c r="O58" s="21"/>
      <c r="P58" s="21"/>
      <c r="Q58" s="20"/>
      <c r="R58" s="21"/>
      <c r="S58" s="21"/>
    </row>
    <row r="59" spans="2:19" customFormat="1" ht="19.5" customHeight="1">
      <c r="C59" s="21"/>
      <c r="D59" s="20"/>
      <c r="E59" s="20"/>
      <c r="F59" s="20"/>
      <c r="G59" s="20"/>
      <c r="H59" s="20"/>
      <c r="I59" s="20"/>
      <c r="J59" s="20"/>
      <c r="K59" s="20"/>
      <c r="L59" s="20"/>
      <c r="M59" s="20"/>
      <c r="N59" s="20"/>
      <c r="O59" s="21"/>
      <c r="P59" s="21"/>
      <c r="Q59" s="20"/>
      <c r="R59" s="21"/>
      <c r="S59" s="21"/>
    </row>
    <row r="60" spans="2:19" customFormat="1" ht="19.5" customHeight="1">
      <c r="C60" s="21"/>
      <c r="D60" s="20"/>
      <c r="E60" s="20"/>
      <c r="F60" s="20"/>
      <c r="G60" s="20"/>
      <c r="H60" s="20"/>
      <c r="I60" s="20"/>
      <c r="J60" s="20"/>
      <c r="K60" s="20"/>
      <c r="L60" s="20"/>
      <c r="M60" s="20"/>
      <c r="N60" s="20"/>
      <c r="O60" s="21"/>
      <c r="P60" s="21"/>
      <c r="Q60" s="20"/>
      <c r="R60" s="21"/>
      <c r="S60" s="21"/>
    </row>
    <row r="61" spans="2:19" customFormat="1" ht="19.5" customHeight="1"/>
    <row r="62" spans="2:19" customFormat="1" ht="19.5" customHeight="1"/>
    <row r="63" spans="2:19" customFormat="1" ht="19.5" customHeight="1"/>
    <row r="64" spans="2:19" customFormat="1" ht="19.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customFormat="1" ht="15" customHeight="1"/>
    <row r="82" customFormat="1" ht="15" customHeight="1"/>
    <row r="83" customFormat="1" ht="15" customHeight="1"/>
    <row r="84" customFormat="1" ht="15" customHeight="1"/>
    <row r="85" s="73" customFormat="1" ht="15" customHeight="1"/>
    <row r="86" s="73" customFormat="1" ht="15" customHeight="1"/>
    <row r="87" s="73" customFormat="1" ht="15" customHeight="1"/>
    <row r="88"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1770F2E8-257C-404E-B605-A13D248E6943}"/>
  </hyperlinks>
  <pageMargins left="0.7" right="0.7" top="0.75" bottom="0.75" header="0.3" footer="0.3"/>
  <customProperties>
    <customPr name="_pios_id" r:id="rId1"/>
  </customPropertie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EC424-19B6-4153-837E-6E2D25AA3A15}">
  <dimension ref="A1:S87"/>
  <sheetViews>
    <sheetView showGridLines="0" zoomScale="85" zoomScaleNormal="85" workbookViewId="0">
      <selection activeCell="C8" sqref="C8"/>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2366</v>
      </c>
      <c r="C2" s="993"/>
      <c r="D2" s="993"/>
      <c r="E2" s="993"/>
      <c r="F2" s="993"/>
      <c r="G2" s="993"/>
      <c r="H2" s="993"/>
      <c r="I2" s="994"/>
      <c r="J2" s="70" t="s">
        <v>816</v>
      </c>
      <c r="K2" s="998" t="s">
        <v>128</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2367</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1068</v>
      </c>
      <c r="D8" s="119"/>
      <c r="E8" s="107" t="s">
        <v>845</v>
      </c>
      <c r="F8" s="107">
        <v>18</v>
      </c>
      <c r="G8" s="108" t="s">
        <v>1069</v>
      </c>
      <c r="H8" s="109" t="s">
        <v>1070</v>
      </c>
      <c r="I8" s="110">
        <v>1</v>
      </c>
      <c r="J8" s="117" t="s">
        <v>1271</v>
      </c>
      <c r="K8" s="112" t="s">
        <v>42</v>
      </c>
      <c r="L8" s="113" t="s">
        <v>1354</v>
      </c>
      <c r="M8" s="112">
        <v>1000</v>
      </c>
      <c r="N8" s="114" t="s">
        <v>1069</v>
      </c>
      <c r="O8" s="114" t="s">
        <v>1070</v>
      </c>
      <c r="P8" s="112"/>
      <c r="Q8" s="112"/>
      <c r="R8" s="114"/>
      <c r="S8" s="134"/>
    </row>
    <row r="9" spans="1:19" s="73" customFormat="1" ht="13.5">
      <c r="B9" s="104">
        <v>2</v>
      </c>
      <c r="C9" s="105" t="s">
        <v>1273</v>
      </c>
      <c r="D9" s="119"/>
      <c r="E9" s="107" t="s">
        <v>845</v>
      </c>
      <c r="F9" s="107">
        <v>4</v>
      </c>
      <c r="G9" s="108" t="s">
        <v>2091</v>
      </c>
      <c r="H9" s="109" t="s">
        <v>1599</v>
      </c>
      <c r="I9" s="110">
        <v>2</v>
      </c>
      <c r="J9" s="117" t="s">
        <v>1144</v>
      </c>
      <c r="K9" s="119" t="s">
        <v>42</v>
      </c>
      <c r="L9" s="113" t="s">
        <v>1354</v>
      </c>
      <c r="M9" s="112">
        <v>1000</v>
      </c>
      <c r="N9" s="114" t="s">
        <v>1274</v>
      </c>
      <c r="O9" s="114" t="s">
        <v>1599</v>
      </c>
      <c r="P9" s="112"/>
      <c r="Q9" s="112"/>
      <c r="R9" s="114"/>
      <c r="S9" s="134"/>
    </row>
    <row r="10" spans="1:19" s="73" customFormat="1" ht="13.5">
      <c r="B10" s="104">
        <v>3</v>
      </c>
      <c r="C10" s="105" t="s">
        <v>1606</v>
      </c>
      <c r="D10" s="119"/>
      <c r="E10" s="107" t="s">
        <v>1306</v>
      </c>
      <c r="F10" s="107">
        <v>13.3</v>
      </c>
      <c r="G10" s="108" t="s">
        <v>2368</v>
      </c>
      <c r="H10" s="109" t="s">
        <v>2369</v>
      </c>
      <c r="I10" s="110">
        <v>3</v>
      </c>
      <c r="J10" s="117" t="s">
        <v>2134</v>
      </c>
      <c r="K10" s="119"/>
      <c r="L10" s="113" t="s">
        <v>1354</v>
      </c>
      <c r="M10" s="112">
        <v>1000</v>
      </c>
      <c r="N10" s="114" t="s">
        <v>2370</v>
      </c>
      <c r="O10" s="114" t="s">
        <v>2369</v>
      </c>
      <c r="P10" s="112"/>
      <c r="Q10" s="112"/>
      <c r="R10" s="114"/>
      <c r="S10" s="134"/>
    </row>
    <row r="11" spans="1:19" s="73" customFormat="1" ht="13.5">
      <c r="B11" s="104">
        <v>4</v>
      </c>
      <c r="C11" s="105" t="s">
        <v>1626</v>
      </c>
      <c r="D11" s="119"/>
      <c r="E11" s="107" t="s">
        <v>1306</v>
      </c>
      <c r="F11" s="107">
        <v>13.3</v>
      </c>
      <c r="G11" s="108" t="s">
        <v>2371</v>
      </c>
      <c r="H11" s="109" t="s">
        <v>2372</v>
      </c>
      <c r="I11" s="110">
        <v>4</v>
      </c>
      <c r="J11" s="118" t="s">
        <v>1627</v>
      </c>
      <c r="K11" s="119"/>
      <c r="L11" s="113" t="s">
        <v>1354</v>
      </c>
      <c r="M11" s="112">
        <v>1000</v>
      </c>
      <c r="N11" s="108" t="s">
        <v>2371</v>
      </c>
      <c r="O11" s="108" t="s">
        <v>2372</v>
      </c>
      <c r="P11" s="119"/>
      <c r="Q11" s="119"/>
      <c r="R11" s="108"/>
      <c r="S11" s="134"/>
    </row>
    <row r="12" spans="1:19" s="73" customFormat="1" ht="13.5">
      <c r="B12" s="104">
        <v>5</v>
      </c>
      <c r="C12" s="105" t="s">
        <v>2373</v>
      </c>
      <c r="D12" s="119"/>
      <c r="E12" s="107" t="s">
        <v>1306</v>
      </c>
      <c r="F12" s="107">
        <v>13.3</v>
      </c>
      <c r="G12" s="108" t="s">
        <v>2374</v>
      </c>
      <c r="H12" s="109" t="s">
        <v>2375</v>
      </c>
      <c r="I12" s="110">
        <v>5</v>
      </c>
      <c r="J12" s="118" t="s">
        <v>2376</v>
      </c>
      <c r="K12" s="119"/>
      <c r="L12" s="113" t="s">
        <v>1354</v>
      </c>
      <c r="M12" s="112">
        <v>1000</v>
      </c>
      <c r="N12" s="108" t="s">
        <v>2374</v>
      </c>
      <c r="O12" s="108" t="s">
        <v>2375</v>
      </c>
      <c r="P12" s="119"/>
      <c r="Q12" s="119"/>
      <c r="R12" s="108"/>
      <c r="S12" s="134"/>
    </row>
    <row r="13" spans="1:19" s="73" customFormat="1" ht="13.5">
      <c r="B13" s="104">
        <v>6</v>
      </c>
      <c r="C13" s="105" t="s">
        <v>1098</v>
      </c>
      <c r="D13" s="119"/>
      <c r="E13" s="107" t="s">
        <v>1581</v>
      </c>
      <c r="F13" s="107">
        <v>3</v>
      </c>
      <c r="G13" s="108" t="s">
        <v>2377</v>
      </c>
      <c r="H13" s="109" t="s">
        <v>1605</v>
      </c>
      <c r="I13" s="110">
        <v>6</v>
      </c>
      <c r="J13" s="118" t="s">
        <v>1101</v>
      </c>
      <c r="K13" s="119"/>
      <c r="L13" s="113" t="s">
        <v>1354</v>
      </c>
      <c r="M13" s="112">
        <v>1000</v>
      </c>
      <c r="N13" s="108" t="s">
        <v>1604</v>
      </c>
      <c r="O13" s="108" t="s">
        <v>1605</v>
      </c>
      <c r="P13" s="119"/>
      <c r="Q13" s="112"/>
      <c r="R13" s="114"/>
      <c r="S13" s="134"/>
    </row>
    <row r="14" spans="1:19" s="73" customFormat="1" ht="13.5">
      <c r="B14" s="104">
        <v>7</v>
      </c>
      <c r="C14" s="105" t="s">
        <v>2378</v>
      </c>
      <c r="D14" s="119"/>
      <c r="E14" s="107" t="s">
        <v>913</v>
      </c>
      <c r="F14" s="107">
        <v>8</v>
      </c>
      <c r="G14" s="108" t="s">
        <v>2379</v>
      </c>
      <c r="H14" s="109" t="s">
        <v>2380</v>
      </c>
      <c r="I14" s="110">
        <v>7</v>
      </c>
      <c r="J14" s="118" t="s">
        <v>1595</v>
      </c>
      <c r="K14" s="106" t="s">
        <v>42</v>
      </c>
      <c r="L14" s="113" t="s">
        <v>1354</v>
      </c>
      <c r="M14" s="112">
        <v>1000</v>
      </c>
      <c r="N14" s="108" t="s">
        <v>2379</v>
      </c>
      <c r="O14" s="108" t="s">
        <v>2380</v>
      </c>
      <c r="P14" s="119"/>
      <c r="Q14" s="112"/>
      <c r="R14" s="114"/>
      <c r="S14" s="134"/>
    </row>
    <row r="15" spans="1:19" s="73" customFormat="1" ht="13.5">
      <c r="B15" s="104">
        <v>8</v>
      </c>
      <c r="C15" s="105"/>
      <c r="D15" s="119"/>
      <c r="E15" s="107"/>
      <c r="F15" s="107"/>
      <c r="G15" s="108"/>
      <c r="H15" s="109"/>
      <c r="I15" s="110">
        <v>8</v>
      </c>
      <c r="J15" s="118"/>
      <c r="K15" s="106"/>
      <c r="L15" s="113"/>
      <c r="M15" s="112"/>
      <c r="N15" s="108"/>
      <c r="O15" s="108"/>
      <c r="P15" s="119"/>
      <c r="Q15" s="112"/>
      <c r="R15" s="114"/>
      <c r="S15" s="134"/>
    </row>
    <row r="16" spans="1:19" s="73" customFormat="1" ht="13.5">
      <c r="B16" s="104">
        <v>9</v>
      </c>
      <c r="C16" s="105"/>
      <c r="D16" s="119"/>
      <c r="E16" s="107"/>
      <c r="F16" s="107"/>
      <c r="G16" s="108"/>
      <c r="H16" s="109"/>
      <c r="I16" s="110">
        <v>9</v>
      </c>
      <c r="J16" s="118"/>
      <c r="K16" s="106"/>
      <c r="L16" s="113"/>
      <c r="M16" s="112"/>
      <c r="N16" s="108"/>
      <c r="O16" s="108"/>
      <c r="P16" s="119"/>
      <c r="Q16" s="112"/>
      <c r="R16" s="114"/>
      <c r="S16" s="134"/>
    </row>
    <row r="17" spans="2:19" s="73" customFormat="1" ht="13.5">
      <c r="B17" s="104">
        <v>10</v>
      </c>
      <c r="C17" s="105"/>
      <c r="D17" s="119"/>
      <c r="E17" s="107"/>
      <c r="F17" s="107"/>
      <c r="G17" s="108"/>
      <c r="H17" s="109"/>
      <c r="I17" s="110">
        <v>10</v>
      </c>
      <c r="J17" s="117"/>
      <c r="K17" s="120"/>
      <c r="L17" s="113"/>
      <c r="M17" s="112"/>
      <c r="N17" s="108"/>
      <c r="O17" s="108"/>
      <c r="P17" s="112"/>
      <c r="Q17" s="112"/>
      <c r="R17" s="114"/>
      <c r="S17" s="134"/>
    </row>
    <row r="18" spans="2:19" s="73" customFormat="1" ht="13.5">
      <c r="B18" s="104">
        <v>11</v>
      </c>
      <c r="C18" s="105"/>
      <c r="D18" s="119"/>
      <c r="E18" s="107"/>
      <c r="F18" s="107"/>
      <c r="G18" s="108"/>
      <c r="H18" s="109"/>
      <c r="I18" s="110">
        <v>11</v>
      </c>
      <c r="J18" s="117"/>
      <c r="K18" s="112"/>
      <c r="L18" s="113"/>
      <c r="M18" s="112"/>
      <c r="N18" s="114"/>
      <c r="O18" s="114"/>
      <c r="P18" s="112"/>
      <c r="Q18" s="112"/>
      <c r="R18" s="114"/>
      <c r="S18" s="134"/>
    </row>
    <row r="19" spans="2:19" s="73" customFormat="1" ht="13.5">
      <c r="B19" s="104">
        <v>12</v>
      </c>
      <c r="C19" s="121"/>
      <c r="D19" s="119"/>
      <c r="E19" s="107"/>
      <c r="F19" s="107"/>
      <c r="G19" s="108"/>
      <c r="H19" s="109"/>
      <c r="I19" s="110">
        <v>12</v>
      </c>
      <c r="J19" s="117"/>
      <c r="K19" s="120"/>
      <c r="L19" s="113"/>
      <c r="M19" s="112"/>
      <c r="N19" s="114"/>
      <c r="O19" s="114"/>
      <c r="P19" s="112"/>
      <c r="Q19" s="112"/>
      <c r="R19" s="114"/>
      <c r="S19" s="134"/>
    </row>
    <row r="20" spans="2:19" s="73" customFormat="1" ht="13.5">
      <c r="B20" s="104">
        <v>13</v>
      </c>
      <c r="C20" s="121"/>
      <c r="D20" s="119"/>
      <c r="E20" s="107"/>
      <c r="F20" s="107"/>
      <c r="G20" s="108"/>
      <c r="H20" s="109"/>
      <c r="I20" s="110">
        <v>13</v>
      </c>
      <c r="J20" s="117"/>
      <c r="K20" s="120"/>
      <c r="L20" s="113"/>
      <c r="M20" s="112"/>
      <c r="N20" s="114"/>
      <c r="O20" s="114"/>
      <c r="P20" s="112"/>
      <c r="Q20" s="112"/>
      <c r="R20" s="114"/>
      <c r="S20" s="134"/>
    </row>
    <row r="21" spans="2:19" s="73" customFormat="1" ht="13.5">
      <c r="B21" s="104">
        <v>14</v>
      </c>
      <c r="C21" s="121"/>
      <c r="D21" s="119"/>
      <c r="E21" s="107"/>
      <c r="F21" s="107"/>
      <c r="G21" s="108"/>
      <c r="H21" s="109"/>
      <c r="I21" s="110">
        <v>14</v>
      </c>
      <c r="J21" s="118"/>
      <c r="K21" s="119"/>
      <c r="L21" s="113"/>
      <c r="M21" s="112"/>
      <c r="N21" s="108"/>
      <c r="O21" s="108"/>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9.5" customHeight="1">
      <c r="C52" s="21"/>
      <c r="D52" s="20"/>
      <c r="E52" s="20"/>
      <c r="F52" s="20"/>
      <c r="G52" s="20"/>
      <c r="H52" s="20"/>
      <c r="I52" s="20"/>
      <c r="J52" s="20"/>
      <c r="K52" s="20"/>
      <c r="L52" s="20"/>
      <c r="M52" s="20"/>
      <c r="N52" s="20"/>
      <c r="O52" s="21"/>
      <c r="P52" s="21"/>
      <c r="Q52" s="20"/>
      <c r="R52" s="21"/>
      <c r="S52" s="21"/>
    </row>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c r="C55" s="21"/>
      <c r="D55" s="20"/>
      <c r="E55" s="20"/>
      <c r="F55" s="20"/>
      <c r="G55" s="20"/>
      <c r="H55" s="20"/>
      <c r="I55" s="20"/>
      <c r="J55" s="20"/>
      <c r="K55" s="20"/>
      <c r="L55" s="20"/>
      <c r="M55" s="20"/>
      <c r="N55" s="20"/>
      <c r="O55" s="21"/>
      <c r="P55" s="21"/>
      <c r="Q55" s="20"/>
      <c r="R55" s="21"/>
      <c r="S55" s="21"/>
    </row>
    <row r="56" spans="2:19" customFormat="1" ht="19.5" customHeight="1">
      <c r="C56" s="21"/>
      <c r="D56" s="20"/>
      <c r="E56" s="20"/>
      <c r="F56" s="20"/>
      <c r="G56" s="20"/>
      <c r="H56" s="20"/>
      <c r="I56" s="20"/>
      <c r="J56" s="20"/>
      <c r="K56" s="20"/>
      <c r="L56" s="20"/>
      <c r="M56" s="20"/>
      <c r="N56" s="20"/>
      <c r="O56" s="21"/>
      <c r="P56" s="21"/>
      <c r="Q56" s="20"/>
      <c r="R56" s="21"/>
      <c r="S56" s="21"/>
    </row>
    <row r="57" spans="2:19" customFormat="1" ht="19.5" customHeight="1">
      <c r="C57" s="21"/>
      <c r="D57" s="20"/>
      <c r="E57" s="20"/>
      <c r="F57" s="20"/>
      <c r="G57" s="20"/>
      <c r="H57" s="20"/>
      <c r="I57" s="20"/>
      <c r="J57" s="20"/>
      <c r="K57" s="20"/>
      <c r="L57" s="20"/>
      <c r="M57" s="20"/>
      <c r="N57" s="20"/>
      <c r="O57" s="21"/>
      <c r="P57" s="21"/>
      <c r="Q57" s="20"/>
      <c r="R57" s="21"/>
      <c r="S57" s="21"/>
    </row>
    <row r="58" spans="2:19" customFormat="1" ht="19.5" customHeight="1">
      <c r="C58" s="21"/>
      <c r="D58" s="20"/>
      <c r="E58" s="20"/>
      <c r="F58" s="20"/>
      <c r="G58" s="20"/>
      <c r="H58" s="20"/>
      <c r="I58" s="20"/>
      <c r="J58" s="20"/>
      <c r="K58" s="20"/>
      <c r="L58" s="20"/>
      <c r="M58" s="20"/>
      <c r="N58" s="20"/>
      <c r="O58" s="21"/>
      <c r="P58" s="21"/>
      <c r="Q58" s="20"/>
      <c r="R58" s="21"/>
      <c r="S58" s="21"/>
    </row>
    <row r="59" spans="2:19" customFormat="1" ht="19.5" customHeight="1">
      <c r="C59" s="21"/>
      <c r="D59" s="20"/>
      <c r="E59" s="20"/>
      <c r="F59" s="20"/>
      <c r="G59" s="20"/>
      <c r="H59" s="20"/>
      <c r="I59" s="20"/>
      <c r="J59" s="20"/>
      <c r="K59" s="20"/>
      <c r="L59" s="20"/>
      <c r="M59" s="20"/>
      <c r="N59" s="20"/>
      <c r="O59" s="21"/>
      <c r="P59" s="21"/>
      <c r="Q59" s="20"/>
      <c r="R59" s="21"/>
      <c r="S59" s="21"/>
    </row>
    <row r="60" spans="2:19" customFormat="1" ht="19.5" customHeight="1"/>
    <row r="61" spans="2:19" customFormat="1" ht="19.5" customHeight="1"/>
    <row r="62" spans="2:19" customFormat="1" ht="19.5" customHeight="1"/>
    <row r="63" spans="2:19" customFormat="1" ht="19.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customFormat="1" ht="15" customHeight="1"/>
    <row r="82" customFormat="1" ht="15" customHeight="1"/>
    <row r="83" customFormat="1" ht="15" customHeight="1"/>
    <row r="84" s="73" customFormat="1" ht="15" customHeight="1"/>
    <row r="85" s="73" customFormat="1" ht="15" customHeight="1"/>
    <row r="86" s="73" customFormat="1" ht="15" customHeight="1"/>
    <row r="87"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E101451C-506B-4B0A-863F-C61C406E1315}"/>
  </hyperlinks>
  <pageMargins left="0.7" right="0.7" top="0.75" bottom="0.75" header="0.3" footer="0.3"/>
  <customProperties>
    <customPr name="_pios_id" r:id="rId1"/>
  </customPropertie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B8944-FB67-46BC-BA30-A5980623E23E}">
  <dimension ref="A1:S84"/>
  <sheetViews>
    <sheetView showGridLines="0" zoomScaleNormal="100" workbookViewId="0">
      <selection activeCell="N21" sqref="N21"/>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875" style="69" bestFit="1"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2381</v>
      </c>
      <c r="C2" s="993"/>
      <c r="D2" s="993"/>
      <c r="E2" s="993"/>
      <c r="F2" s="993"/>
      <c r="G2" s="993"/>
      <c r="H2" s="993"/>
      <c r="I2" s="994"/>
      <c r="J2" s="70" t="s">
        <v>816</v>
      </c>
      <c r="K2" s="998" t="s">
        <v>370</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2382</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2383</v>
      </c>
      <c r="D8" s="119" t="s">
        <v>42</v>
      </c>
      <c r="E8" s="107" t="s">
        <v>928</v>
      </c>
      <c r="F8" s="107" t="s">
        <v>2384</v>
      </c>
      <c r="G8" s="108" t="s">
        <v>2385</v>
      </c>
      <c r="H8" s="109" t="s">
        <v>2386</v>
      </c>
      <c r="I8" s="110">
        <v>1</v>
      </c>
      <c r="J8" s="117"/>
      <c r="K8" s="112"/>
      <c r="L8" s="113"/>
      <c r="M8" s="112"/>
      <c r="N8" s="114"/>
      <c r="O8" s="114"/>
      <c r="P8" s="112"/>
      <c r="Q8" s="112"/>
      <c r="R8" s="114"/>
      <c r="S8" s="134"/>
    </row>
    <row r="9" spans="1:19" s="73" customFormat="1" ht="13.5">
      <c r="B9" s="104">
        <v>2</v>
      </c>
      <c r="C9" s="105" t="s">
        <v>1846</v>
      </c>
      <c r="D9" s="119" t="s">
        <v>42</v>
      </c>
      <c r="E9" s="107" t="s">
        <v>928</v>
      </c>
      <c r="F9" s="107" t="s">
        <v>2387</v>
      </c>
      <c r="G9" s="108" t="s">
        <v>2388</v>
      </c>
      <c r="H9" s="109" t="s">
        <v>2389</v>
      </c>
      <c r="I9" s="110">
        <v>2</v>
      </c>
      <c r="J9" s="117" t="s">
        <v>2390</v>
      </c>
      <c r="K9" s="119" t="s">
        <v>42</v>
      </c>
      <c r="L9" s="113" t="s">
        <v>1354</v>
      </c>
      <c r="M9" s="112">
        <v>1000</v>
      </c>
      <c r="N9" s="114" t="s">
        <v>2391</v>
      </c>
      <c r="O9" s="114" t="s">
        <v>2392</v>
      </c>
      <c r="P9" s="112"/>
      <c r="Q9" s="112"/>
      <c r="R9" s="114"/>
      <c r="S9" s="134"/>
    </row>
    <row r="10" spans="1:19" s="73" customFormat="1" ht="13.5">
      <c r="B10" s="104">
        <v>3</v>
      </c>
      <c r="C10" s="105" t="s">
        <v>2393</v>
      </c>
      <c r="D10" s="119" t="s">
        <v>42</v>
      </c>
      <c r="E10" s="107" t="s">
        <v>928</v>
      </c>
      <c r="F10" s="107" t="s">
        <v>2394</v>
      </c>
      <c r="G10" s="108" t="s">
        <v>2395</v>
      </c>
      <c r="H10" s="109" t="s">
        <v>2396</v>
      </c>
      <c r="I10" s="110">
        <v>3</v>
      </c>
      <c r="J10" s="117" t="s">
        <v>2397</v>
      </c>
      <c r="K10" s="119" t="s">
        <v>42</v>
      </c>
      <c r="L10" s="113" t="s">
        <v>1354</v>
      </c>
      <c r="M10" s="112">
        <v>1000</v>
      </c>
      <c r="N10" s="114" t="s">
        <v>2398</v>
      </c>
      <c r="O10" s="114" t="s">
        <v>2398</v>
      </c>
      <c r="P10" s="112"/>
      <c r="Q10" s="112"/>
      <c r="R10" s="114"/>
      <c r="S10" s="134"/>
    </row>
    <row r="11" spans="1:19" s="73" customFormat="1" ht="13.5">
      <c r="B11" s="104">
        <v>4</v>
      </c>
      <c r="C11" s="105" t="s">
        <v>2331</v>
      </c>
      <c r="D11" s="119"/>
      <c r="E11" s="107" t="s">
        <v>1373</v>
      </c>
      <c r="F11" s="107"/>
      <c r="G11" s="108" t="s">
        <v>946</v>
      </c>
      <c r="H11" s="109" t="s">
        <v>947</v>
      </c>
      <c r="I11" s="110">
        <v>4</v>
      </c>
      <c r="J11" s="118" t="s">
        <v>2399</v>
      </c>
      <c r="K11" s="119"/>
      <c r="L11" s="113" t="s">
        <v>1354</v>
      </c>
      <c r="M11" s="112">
        <v>1000</v>
      </c>
      <c r="N11" s="108" t="s">
        <v>946</v>
      </c>
      <c r="O11" s="108" t="s">
        <v>947</v>
      </c>
      <c r="P11" s="119"/>
      <c r="Q11" s="119"/>
      <c r="R11" s="108"/>
      <c r="S11" s="134"/>
    </row>
    <row r="12" spans="1:19" s="73" customFormat="1" ht="13.5">
      <c r="B12" s="104">
        <v>5</v>
      </c>
      <c r="C12" s="105" t="s">
        <v>2400</v>
      </c>
      <c r="D12" s="119"/>
      <c r="E12" s="107" t="s">
        <v>1373</v>
      </c>
      <c r="F12" s="107"/>
      <c r="G12" s="108" t="s">
        <v>2401</v>
      </c>
      <c r="H12" s="109" t="s">
        <v>2402</v>
      </c>
      <c r="I12" s="110">
        <v>5</v>
      </c>
      <c r="J12" s="118" t="s">
        <v>2403</v>
      </c>
      <c r="K12" s="119"/>
      <c r="L12" s="113" t="s">
        <v>1354</v>
      </c>
      <c r="M12" s="112">
        <v>1000</v>
      </c>
      <c r="N12" s="108" t="s">
        <v>2401</v>
      </c>
      <c r="O12" s="108" t="s">
        <v>2402</v>
      </c>
      <c r="P12" s="119"/>
      <c r="Q12" s="119"/>
      <c r="R12" s="108"/>
      <c r="S12" s="134"/>
    </row>
    <row r="13" spans="1:19" s="73" customFormat="1" ht="13.5">
      <c r="B13" s="104">
        <v>6</v>
      </c>
      <c r="C13" s="105"/>
      <c r="D13" s="119"/>
      <c r="E13" s="107"/>
      <c r="F13" s="107"/>
      <c r="G13" s="108"/>
      <c r="H13" s="109"/>
      <c r="I13" s="110">
        <v>6</v>
      </c>
      <c r="J13" s="118" t="s">
        <v>895</v>
      </c>
      <c r="K13" s="119"/>
      <c r="L13" s="113" t="s">
        <v>1354</v>
      </c>
      <c r="M13" s="112">
        <v>1000</v>
      </c>
      <c r="N13" s="108" t="s">
        <v>2404</v>
      </c>
      <c r="O13" s="108" t="s">
        <v>895</v>
      </c>
      <c r="P13" s="119"/>
      <c r="Q13" s="112"/>
      <c r="R13" s="114"/>
      <c r="S13" s="134"/>
    </row>
    <row r="14" spans="1:19" s="73" customFormat="1" ht="13.5">
      <c r="B14" s="104">
        <v>7</v>
      </c>
      <c r="C14" s="105"/>
      <c r="D14" s="119"/>
      <c r="E14" s="107"/>
      <c r="F14" s="107"/>
      <c r="G14" s="108"/>
      <c r="H14" s="109"/>
      <c r="I14" s="110">
        <v>7</v>
      </c>
      <c r="J14" s="118"/>
      <c r="K14" s="106"/>
      <c r="L14" s="113"/>
      <c r="M14" s="112"/>
      <c r="N14" s="108"/>
      <c r="O14" s="108"/>
      <c r="P14" s="119"/>
      <c r="Q14" s="112"/>
      <c r="R14" s="114"/>
      <c r="S14" s="134"/>
    </row>
    <row r="15" spans="1:19" s="73" customFormat="1" ht="13.5">
      <c r="B15" s="104">
        <v>8</v>
      </c>
      <c r="C15" s="105"/>
      <c r="D15" s="119"/>
      <c r="E15" s="107"/>
      <c r="F15" s="107"/>
      <c r="G15" s="108"/>
      <c r="H15" s="109"/>
      <c r="I15" s="110">
        <v>8</v>
      </c>
      <c r="J15" s="118"/>
      <c r="K15" s="106"/>
      <c r="L15" s="113"/>
      <c r="M15" s="112"/>
      <c r="N15" s="108"/>
      <c r="O15" s="108"/>
      <c r="P15" s="119"/>
      <c r="Q15" s="112"/>
      <c r="R15" s="114"/>
      <c r="S15" s="134"/>
    </row>
    <row r="16" spans="1:19" s="73" customFormat="1" ht="13.5">
      <c r="B16" s="104">
        <v>9</v>
      </c>
      <c r="C16" s="105"/>
      <c r="D16" s="119"/>
      <c r="E16" s="107"/>
      <c r="F16" s="107"/>
      <c r="G16" s="108"/>
      <c r="H16" s="109"/>
      <c r="I16" s="110">
        <v>9</v>
      </c>
      <c r="J16" s="118"/>
      <c r="K16" s="106"/>
      <c r="L16" s="113"/>
      <c r="M16" s="112"/>
      <c r="N16" s="108"/>
      <c r="O16" s="108"/>
      <c r="P16" s="119"/>
      <c r="Q16" s="112"/>
      <c r="R16" s="114"/>
      <c r="S16" s="134"/>
    </row>
    <row r="17" spans="2:19" s="73" customFormat="1" ht="13.5">
      <c r="B17" s="104">
        <v>10</v>
      </c>
      <c r="C17" s="105"/>
      <c r="D17" s="119"/>
      <c r="E17" s="107"/>
      <c r="F17" s="107"/>
      <c r="G17" s="108"/>
      <c r="H17" s="109"/>
      <c r="I17" s="110">
        <v>10</v>
      </c>
      <c r="J17" s="117"/>
      <c r="K17" s="120"/>
      <c r="L17" s="113"/>
      <c r="M17" s="112"/>
      <c r="N17" s="108"/>
      <c r="O17" s="108"/>
      <c r="P17" s="112"/>
      <c r="Q17" s="112"/>
      <c r="R17" s="114"/>
      <c r="S17" s="134"/>
    </row>
    <row r="18" spans="2:19" s="73" customFormat="1" ht="13.5">
      <c r="B18" s="104">
        <v>11</v>
      </c>
      <c r="C18" s="105"/>
      <c r="D18" s="119"/>
      <c r="E18" s="107"/>
      <c r="F18" s="107"/>
      <c r="G18" s="108"/>
      <c r="H18" s="109"/>
      <c r="I18" s="110">
        <v>11</v>
      </c>
      <c r="J18" s="117"/>
      <c r="K18" s="112"/>
      <c r="L18" s="113"/>
      <c r="M18" s="112"/>
      <c r="N18" s="114"/>
      <c r="O18" s="114"/>
      <c r="P18" s="112"/>
      <c r="Q18" s="112"/>
      <c r="R18" s="114"/>
      <c r="S18" s="134"/>
    </row>
    <row r="19" spans="2:19" s="73" customFormat="1" ht="13.5">
      <c r="B19" s="104">
        <v>12</v>
      </c>
      <c r="C19" s="121"/>
      <c r="D19" s="119"/>
      <c r="E19" s="107"/>
      <c r="F19" s="107"/>
      <c r="G19" s="108"/>
      <c r="H19" s="109"/>
      <c r="I19" s="110">
        <v>12</v>
      </c>
      <c r="J19" s="117"/>
      <c r="K19" s="120"/>
      <c r="L19" s="113"/>
      <c r="M19" s="112"/>
      <c r="N19" s="114"/>
      <c r="O19" s="114"/>
      <c r="P19" s="112"/>
      <c r="Q19" s="112"/>
      <c r="R19" s="114"/>
      <c r="S19" s="134"/>
    </row>
    <row r="20" spans="2:19" s="73" customFormat="1" ht="13.5">
      <c r="B20" s="104">
        <v>13</v>
      </c>
      <c r="C20" s="121"/>
      <c r="D20" s="119"/>
      <c r="E20" s="107"/>
      <c r="F20" s="107"/>
      <c r="G20" s="108"/>
      <c r="H20" s="109"/>
      <c r="I20" s="110">
        <v>13</v>
      </c>
      <c r="J20" s="117"/>
      <c r="K20" s="120"/>
      <c r="L20" s="113"/>
      <c r="M20" s="112"/>
      <c r="N20" s="114"/>
      <c r="O20" s="114"/>
      <c r="P20" s="112"/>
      <c r="Q20" s="112"/>
      <c r="R20" s="114"/>
      <c r="S20" s="134"/>
    </row>
    <row r="21" spans="2:19" s="73" customFormat="1" ht="13.5">
      <c r="B21" s="104">
        <v>14</v>
      </c>
      <c r="C21" s="121"/>
      <c r="D21" s="119"/>
      <c r="E21" s="107"/>
      <c r="F21" s="107"/>
      <c r="G21" s="108"/>
      <c r="H21" s="109"/>
      <c r="I21" s="110">
        <v>14</v>
      </c>
      <c r="J21" s="118"/>
      <c r="K21" s="119"/>
      <c r="L21" s="113"/>
      <c r="M21" s="112"/>
      <c r="N21" s="108"/>
      <c r="O21" s="108"/>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9.5" customHeight="1">
      <c r="C52" s="21"/>
      <c r="D52" s="20"/>
      <c r="E52" s="20"/>
      <c r="F52" s="20"/>
      <c r="G52" s="20"/>
      <c r="H52" s="20"/>
      <c r="I52" s="20"/>
      <c r="J52" s="20"/>
      <c r="K52" s="20"/>
      <c r="L52" s="20"/>
      <c r="M52" s="20"/>
      <c r="N52" s="20"/>
      <c r="O52" s="21"/>
      <c r="P52" s="21"/>
      <c r="Q52" s="20"/>
      <c r="R52" s="21"/>
      <c r="S52" s="21"/>
    </row>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c r="C55" s="21"/>
      <c r="D55" s="20"/>
      <c r="E55" s="20"/>
      <c r="F55" s="20"/>
      <c r="G55" s="20"/>
      <c r="H55" s="20"/>
      <c r="I55" s="20"/>
      <c r="J55" s="20"/>
      <c r="K55" s="20"/>
      <c r="L55" s="20"/>
      <c r="M55" s="20"/>
      <c r="N55" s="20"/>
      <c r="O55" s="21"/>
      <c r="P55" s="21"/>
      <c r="Q55" s="20"/>
      <c r="R55" s="21"/>
      <c r="S55" s="21"/>
    </row>
    <row r="56" spans="2:19" customFormat="1" ht="19.5" customHeight="1">
      <c r="C56" s="21"/>
      <c r="D56" s="20"/>
      <c r="E56" s="20"/>
      <c r="F56" s="20"/>
      <c r="G56" s="20"/>
      <c r="H56" s="20"/>
      <c r="I56" s="20"/>
      <c r="J56" s="20"/>
      <c r="K56" s="20"/>
      <c r="L56" s="20"/>
      <c r="M56" s="20"/>
      <c r="N56" s="20"/>
      <c r="O56" s="21"/>
      <c r="P56" s="21"/>
      <c r="Q56" s="20"/>
      <c r="R56" s="21"/>
      <c r="S56" s="21"/>
    </row>
    <row r="57" spans="2:19" customFormat="1" ht="19.5" customHeight="1"/>
    <row r="58" spans="2:19" customFormat="1" ht="19.5" customHeight="1"/>
    <row r="59" spans="2:19" customFormat="1" ht="19.5" customHeight="1"/>
    <row r="60" spans="2:19" customFormat="1" ht="19.5" customHeight="1"/>
    <row r="61" spans="2:19" customFormat="1" ht="15" customHeight="1"/>
    <row r="62" spans="2:19" customFormat="1" ht="15" customHeight="1"/>
    <row r="63" spans="2:19" customFormat="1" ht="1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s="73" customFormat="1" ht="15" customHeight="1"/>
    <row r="82" s="73" customFormat="1" ht="15" customHeight="1"/>
    <row r="83" s="73" customFormat="1" ht="15" customHeight="1"/>
    <row r="84"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C14B1FE7-7B49-4B15-9989-95E1CD67DF3F}"/>
  </hyperlinks>
  <pageMargins left="0.7" right="0.7" top="0.75" bottom="0.75" header="0.3" footer="0.3"/>
  <customProperties>
    <customPr name="_pios_id" r:id="rId1"/>
  </customPropertie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4CFDF-59C3-4BD3-A5C3-74E9E2EE8A9D}">
  <dimension ref="A1:S84"/>
  <sheetViews>
    <sheetView showGridLines="0" zoomScaleNormal="100" workbookViewId="0">
      <selection activeCell="O27" sqref="O27"/>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2405</v>
      </c>
      <c r="C2" s="993"/>
      <c r="D2" s="993"/>
      <c r="E2" s="993"/>
      <c r="F2" s="993"/>
      <c r="G2" s="993"/>
      <c r="H2" s="993"/>
      <c r="I2" s="994"/>
      <c r="J2" s="70" t="s">
        <v>816</v>
      </c>
      <c r="K2" s="998" t="s">
        <v>370</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2406</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1849</v>
      </c>
      <c r="D8" s="119"/>
      <c r="E8" s="107" t="s">
        <v>928</v>
      </c>
      <c r="F8" s="107">
        <v>60</v>
      </c>
      <c r="G8" s="108" t="s">
        <v>2407</v>
      </c>
      <c r="H8" s="109" t="s">
        <v>2408</v>
      </c>
      <c r="I8" s="110">
        <v>1</v>
      </c>
      <c r="J8" s="117" t="s">
        <v>2409</v>
      </c>
      <c r="K8" s="112"/>
      <c r="L8" s="113" t="s">
        <v>1354</v>
      </c>
      <c r="M8" s="112">
        <v>1000</v>
      </c>
      <c r="N8" s="114" t="s">
        <v>2407</v>
      </c>
      <c r="O8" s="114" t="s">
        <v>2408</v>
      </c>
      <c r="P8" s="112"/>
      <c r="Q8" s="112"/>
      <c r="R8" s="114"/>
      <c r="S8" s="134"/>
    </row>
    <row r="9" spans="1:19" s="73" customFormat="1" ht="13.5">
      <c r="B9" s="104">
        <v>2</v>
      </c>
      <c r="C9" s="105" t="s">
        <v>2410</v>
      </c>
      <c r="D9" s="119"/>
      <c r="E9" s="107" t="s">
        <v>928</v>
      </c>
      <c r="F9" s="107">
        <v>80</v>
      </c>
      <c r="G9" s="108" t="s">
        <v>2411</v>
      </c>
      <c r="H9" s="109" t="s">
        <v>2411</v>
      </c>
      <c r="I9" s="110">
        <v>2</v>
      </c>
      <c r="J9" s="117" t="s">
        <v>2412</v>
      </c>
      <c r="K9" s="119"/>
      <c r="L9" s="113" t="s">
        <v>1354</v>
      </c>
      <c r="M9" s="112">
        <v>1000</v>
      </c>
      <c r="N9" s="114" t="s">
        <v>2411</v>
      </c>
      <c r="O9" s="114" t="s">
        <v>2411</v>
      </c>
      <c r="P9" s="112"/>
      <c r="Q9" s="112"/>
      <c r="R9" s="114"/>
      <c r="S9" s="134"/>
    </row>
    <row r="10" spans="1:19" s="73" customFormat="1" ht="13.5">
      <c r="B10" s="104">
        <v>3</v>
      </c>
      <c r="C10" s="105" t="s">
        <v>1846</v>
      </c>
      <c r="D10" s="119"/>
      <c r="E10" s="107" t="s">
        <v>928</v>
      </c>
      <c r="F10" s="107">
        <v>20</v>
      </c>
      <c r="G10" s="108" t="s">
        <v>2391</v>
      </c>
      <c r="H10" s="109" t="s">
        <v>2392</v>
      </c>
      <c r="I10" s="110">
        <v>3</v>
      </c>
      <c r="J10" s="117" t="s">
        <v>2390</v>
      </c>
      <c r="K10" s="119"/>
      <c r="L10" s="113" t="s">
        <v>1354</v>
      </c>
      <c r="M10" s="112">
        <v>1000</v>
      </c>
      <c r="N10" s="114" t="s">
        <v>2391</v>
      </c>
      <c r="O10" s="114" t="s">
        <v>2392</v>
      </c>
      <c r="P10" s="112"/>
      <c r="Q10" s="112"/>
      <c r="R10" s="114"/>
      <c r="S10" s="134"/>
    </row>
    <row r="11" spans="1:19" s="73" customFormat="1" ht="13.5">
      <c r="B11" s="104">
        <v>4</v>
      </c>
      <c r="C11" s="105" t="s">
        <v>2413</v>
      </c>
      <c r="D11" s="119"/>
      <c r="E11" s="107" t="s">
        <v>1373</v>
      </c>
      <c r="F11" s="107"/>
      <c r="G11" s="108" t="s">
        <v>2414</v>
      </c>
      <c r="H11" s="109" t="s">
        <v>2415</v>
      </c>
      <c r="I11" s="110">
        <v>4</v>
      </c>
      <c r="J11" s="118" t="s">
        <v>2416</v>
      </c>
      <c r="K11" s="119"/>
      <c r="L11" s="113" t="s">
        <v>1354</v>
      </c>
      <c r="M11" s="112">
        <v>1000</v>
      </c>
      <c r="N11" s="108" t="s">
        <v>2414</v>
      </c>
      <c r="O11" s="108" t="s">
        <v>2415</v>
      </c>
      <c r="P11" s="119"/>
      <c r="Q11" s="119"/>
      <c r="R11" s="108"/>
      <c r="S11" s="134"/>
    </row>
    <row r="12" spans="1:19" s="73" customFormat="1" ht="13.5">
      <c r="B12" s="104">
        <v>5</v>
      </c>
      <c r="C12" s="105" t="s">
        <v>2331</v>
      </c>
      <c r="D12" s="119"/>
      <c r="E12" s="107" t="s">
        <v>1373</v>
      </c>
      <c r="F12" s="107"/>
      <c r="G12" s="108" t="s">
        <v>2332</v>
      </c>
      <c r="H12" s="109" t="s">
        <v>2417</v>
      </c>
      <c r="I12" s="110">
        <v>5</v>
      </c>
      <c r="J12" s="118" t="s">
        <v>2399</v>
      </c>
      <c r="K12" s="119"/>
      <c r="L12" s="113" t="s">
        <v>1354</v>
      </c>
      <c r="M12" s="112">
        <v>1000</v>
      </c>
      <c r="N12" s="108" t="s">
        <v>2332</v>
      </c>
      <c r="O12" s="108" t="s">
        <v>2417</v>
      </c>
      <c r="P12" s="119"/>
      <c r="Q12" s="119"/>
      <c r="R12" s="108"/>
      <c r="S12" s="134"/>
    </row>
    <row r="13" spans="1:19" s="73" customFormat="1" ht="13.5">
      <c r="B13" s="104">
        <v>6</v>
      </c>
      <c r="C13" s="105" t="s">
        <v>2400</v>
      </c>
      <c r="D13" s="119"/>
      <c r="E13" s="107" t="s">
        <v>1373</v>
      </c>
      <c r="F13" s="107"/>
      <c r="G13" s="108" t="s">
        <v>2401</v>
      </c>
      <c r="H13" s="109" t="s">
        <v>2402</v>
      </c>
      <c r="I13" s="110">
        <v>6</v>
      </c>
      <c r="J13" s="118" t="s">
        <v>2403</v>
      </c>
      <c r="K13" s="119"/>
      <c r="L13" s="113" t="s">
        <v>1354</v>
      </c>
      <c r="M13" s="112">
        <v>1000</v>
      </c>
      <c r="N13" s="108" t="s">
        <v>2401</v>
      </c>
      <c r="O13" s="108" t="s">
        <v>2402</v>
      </c>
      <c r="P13" s="119"/>
      <c r="Q13" s="112"/>
      <c r="R13" s="114"/>
      <c r="S13" s="134"/>
    </row>
    <row r="14" spans="1:19" s="73" customFormat="1" ht="27">
      <c r="B14" s="104">
        <v>7</v>
      </c>
      <c r="C14" s="105"/>
      <c r="D14" s="119"/>
      <c r="E14" s="107"/>
      <c r="F14" s="107"/>
      <c r="G14" s="108" t="s">
        <v>2418</v>
      </c>
      <c r="H14" s="109" t="s">
        <v>2419</v>
      </c>
      <c r="I14" s="110">
        <v>7</v>
      </c>
      <c r="J14" s="118" t="s">
        <v>895</v>
      </c>
      <c r="K14" s="106"/>
      <c r="L14" s="113" t="s">
        <v>1354</v>
      </c>
      <c r="M14" s="112">
        <v>1000</v>
      </c>
      <c r="N14" s="108" t="s">
        <v>895</v>
      </c>
      <c r="O14" s="108" t="s">
        <v>2419</v>
      </c>
      <c r="P14" s="119"/>
      <c r="Q14" s="112"/>
      <c r="R14" s="114"/>
      <c r="S14" s="134"/>
    </row>
    <row r="15" spans="1:19" s="73" customFormat="1" ht="13.5">
      <c r="B15" s="104">
        <v>8</v>
      </c>
      <c r="C15" s="105"/>
      <c r="D15" s="119"/>
      <c r="E15" s="107"/>
      <c r="F15" s="107"/>
      <c r="G15" s="108"/>
      <c r="H15" s="109"/>
      <c r="I15" s="110">
        <v>8</v>
      </c>
      <c r="J15" s="118"/>
      <c r="K15" s="106"/>
      <c r="L15" s="113"/>
      <c r="M15" s="112"/>
      <c r="N15" s="108"/>
      <c r="O15" s="108"/>
      <c r="P15" s="119"/>
      <c r="Q15" s="112"/>
      <c r="R15" s="114"/>
      <c r="S15" s="134"/>
    </row>
    <row r="16" spans="1:19" s="73" customFormat="1" ht="13.5">
      <c r="B16" s="104">
        <v>9</v>
      </c>
      <c r="C16" s="105"/>
      <c r="D16" s="119"/>
      <c r="E16" s="107"/>
      <c r="F16" s="107"/>
      <c r="G16" s="108"/>
      <c r="H16" s="109"/>
      <c r="I16" s="110">
        <v>9</v>
      </c>
      <c r="J16" s="118"/>
      <c r="K16" s="106"/>
      <c r="L16" s="113"/>
      <c r="M16" s="112"/>
      <c r="N16" s="108"/>
      <c r="O16" s="108"/>
      <c r="P16" s="119"/>
      <c r="Q16" s="112"/>
      <c r="R16" s="114"/>
      <c r="S16" s="134"/>
    </row>
    <row r="17" spans="2:19" s="73" customFormat="1" ht="13.5">
      <c r="B17" s="104">
        <v>10</v>
      </c>
      <c r="C17" s="105"/>
      <c r="D17" s="119"/>
      <c r="E17" s="107"/>
      <c r="F17" s="107"/>
      <c r="G17" s="108"/>
      <c r="H17" s="109"/>
      <c r="I17" s="110">
        <v>10</v>
      </c>
      <c r="J17" s="117"/>
      <c r="K17" s="120"/>
      <c r="L17" s="113"/>
      <c r="M17" s="112"/>
      <c r="N17" s="108"/>
      <c r="O17" s="108"/>
      <c r="P17" s="112"/>
      <c r="Q17" s="112"/>
      <c r="R17" s="114"/>
      <c r="S17" s="134"/>
    </row>
    <row r="18" spans="2:19" s="73" customFormat="1" ht="13.5">
      <c r="B18" s="104">
        <v>11</v>
      </c>
      <c r="C18" s="105"/>
      <c r="D18" s="119"/>
      <c r="E18" s="107"/>
      <c r="F18" s="107"/>
      <c r="G18" s="108"/>
      <c r="H18" s="109"/>
      <c r="I18" s="110">
        <v>11</v>
      </c>
      <c r="J18" s="117"/>
      <c r="K18" s="112"/>
      <c r="L18" s="113"/>
      <c r="M18" s="112"/>
      <c r="N18" s="114"/>
      <c r="O18" s="114"/>
      <c r="P18" s="112"/>
      <c r="Q18" s="112"/>
      <c r="R18" s="114"/>
      <c r="S18" s="134"/>
    </row>
    <row r="19" spans="2:19" s="73" customFormat="1" ht="13.5">
      <c r="B19" s="104">
        <v>12</v>
      </c>
      <c r="C19" s="121"/>
      <c r="D19" s="119"/>
      <c r="E19" s="107"/>
      <c r="F19" s="107"/>
      <c r="G19" s="108"/>
      <c r="H19" s="109"/>
      <c r="I19" s="110">
        <v>12</v>
      </c>
      <c r="J19" s="117"/>
      <c r="K19" s="120"/>
      <c r="L19" s="113"/>
      <c r="M19" s="112"/>
      <c r="N19" s="114"/>
      <c r="O19" s="114"/>
      <c r="P19" s="112"/>
      <c r="Q19" s="112"/>
      <c r="R19" s="114"/>
      <c r="S19" s="134"/>
    </row>
    <row r="20" spans="2:19" s="73" customFormat="1" ht="13.5">
      <c r="B20" s="104">
        <v>13</v>
      </c>
      <c r="C20" s="121"/>
      <c r="D20" s="119"/>
      <c r="E20" s="107"/>
      <c r="F20" s="107"/>
      <c r="G20" s="108"/>
      <c r="H20" s="109"/>
      <c r="I20" s="110">
        <v>13</v>
      </c>
      <c r="J20" s="117"/>
      <c r="K20" s="120"/>
      <c r="L20" s="113"/>
      <c r="M20" s="112"/>
      <c r="N20" s="114"/>
      <c r="O20" s="114"/>
      <c r="P20" s="112"/>
      <c r="Q20" s="112"/>
      <c r="R20" s="114"/>
      <c r="S20" s="134"/>
    </row>
    <row r="21" spans="2:19" s="73" customFormat="1" ht="13.5">
      <c r="B21" s="104">
        <v>14</v>
      </c>
      <c r="C21" s="121"/>
      <c r="D21" s="119"/>
      <c r="E21" s="107"/>
      <c r="F21" s="107"/>
      <c r="G21" s="108"/>
      <c r="H21" s="109"/>
      <c r="I21" s="110">
        <v>14</v>
      </c>
      <c r="J21" s="118"/>
      <c r="K21" s="119"/>
      <c r="L21" s="113"/>
      <c r="M21" s="112"/>
      <c r="N21" s="108"/>
      <c r="O21" s="108"/>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1078"/>
      <c r="E43" s="1079"/>
      <c r="F43" s="1079"/>
      <c r="G43" s="1079"/>
      <c r="H43" s="1079"/>
      <c r="I43" s="1079"/>
      <c r="J43" s="1079"/>
      <c r="K43" s="1079"/>
      <c r="L43" s="1079"/>
      <c r="M43" s="1079"/>
      <c r="N43" s="1079"/>
      <c r="O43" s="1079"/>
      <c r="P43" s="1079"/>
      <c r="Q43" s="1079"/>
      <c r="R43" s="1079"/>
      <c r="S43" s="1080"/>
    </row>
    <row r="44" spans="2:19" ht="24.75" customHeight="1">
      <c r="B44" s="1008" t="s">
        <v>1038</v>
      </c>
      <c r="C44" s="1009"/>
      <c r="D44" s="1081"/>
      <c r="E44" s="1082"/>
      <c r="F44" s="1082"/>
      <c r="G44" s="1082"/>
      <c r="H44" s="1082"/>
      <c r="I44" s="1082"/>
      <c r="J44" s="1082"/>
      <c r="K44" s="1082"/>
      <c r="L44" s="1082"/>
      <c r="M44" s="1082"/>
      <c r="N44" s="1082"/>
      <c r="O44" s="1082"/>
      <c r="P44" s="1082"/>
      <c r="Q44" s="1082"/>
      <c r="R44" s="1082"/>
      <c r="S44" s="1083"/>
    </row>
    <row r="45" spans="2:19" ht="18.75" customHeight="1">
      <c r="B45" s="75"/>
      <c r="C45" s="75"/>
      <c r="D45" s="5"/>
      <c r="E45" s="5"/>
      <c r="F45" s="5"/>
      <c r="G45" s="5"/>
      <c r="H45" s="5"/>
      <c r="I45" s="5"/>
      <c r="J45" s="5"/>
      <c r="K45" s="5"/>
      <c r="L45" s="5"/>
      <c r="M45" s="5"/>
      <c r="N45" s="5"/>
      <c r="O45" s="5"/>
      <c r="P45" s="5"/>
      <c r="Q45" s="5"/>
      <c r="R45" s="5"/>
      <c r="S45" s="5"/>
    </row>
    <row r="46" spans="2:19" ht="18.75" customHeight="1">
      <c r="B46" s="51" t="s">
        <v>1045</v>
      </c>
      <c r="C46" s="73"/>
      <c r="D46" s="4"/>
      <c r="E46" s="4"/>
      <c r="F46" s="4"/>
      <c r="G46" s="4"/>
      <c r="H46" s="4"/>
      <c r="I46" s="4"/>
      <c r="J46" s="4"/>
      <c r="K46" s="4"/>
      <c r="L46" s="4"/>
      <c r="M46" s="4"/>
      <c r="N46" s="5"/>
      <c r="O46" s="5"/>
      <c r="P46" s="4"/>
      <c r="Q46" s="5"/>
      <c r="R46" s="5"/>
      <c r="S46" s="4"/>
    </row>
    <row r="47" spans="2:19" ht="140.44999999999999" customHeight="1">
      <c r="B47" s="1014" t="s">
        <v>1049</v>
      </c>
      <c r="C47" s="1014"/>
      <c r="D47" s="1085" t="s">
        <v>2420</v>
      </c>
      <c r="E47" s="1084"/>
      <c r="F47" s="1084"/>
      <c r="G47" s="1084"/>
      <c r="H47" s="1084"/>
      <c r="I47" s="1084"/>
      <c r="J47" s="1084"/>
      <c r="K47" s="1084"/>
      <c r="L47" s="1084"/>
      <c r="M47" s="1084"/>
      <c r="N47" s="1084"/>
      <c r="O47" s="1084"/>
      <c r="P47" s="1084"/>
      <c r="Q47" s="1084"/>
      <c r="R47" s="1084"/>
      <c r="S47" s="1084"/>
    </row>
    <row r="48" spans="2:19" ht="33" customHeight="1">
      <c r="B48" s="976" t="s">
        <v>1053</v>
      </c>
      <c r="C48" s="976"/>
      <c r="D48" s="1084"/>
      <c r="E48" s="1084"/>
      <c r="F48" s="1084"/>
      <c r="G48" s="1084"/>
      <c r="H48" s="1084"/>
      <c r="I48" s="1084"/>
      <c r="J48" s="1084"/>
      <c r="K48" s="1084"/>
      <c r="L48" s="1084"/>
      <c r="M48" s="1084"/>
      <c r="N48" s="1084"/>
      <c r="O48" s="1084"/>
      <c r="P48" s="1084"/>
      <c r="Q48" s="1084"/>
      <c r="R48" s="1084"/>
      <c r="S48" s="1084"/>
    </row>
    <row r="49" spans="2:19" ht="71.25" customHeight="1">
      <c r="B49" s="976" t="s">
        <v>1057</v>
      </c>
      <c r="C49" s="976"/>
      <c r="D49" s="1084"/>
      <c r="E49" s="1084"/>
      <c r="F49" s="1084"/>
      <c r="G49" s="1084"/>
      <c r="H49" s="1084"/>
      <c r="I49" s="1084"/>
      <c r="J49" s="1084"/>
      <c r="K49" s="1084"/>
      <c r="L49" s="1084"/>
      <c r="M49" s="1084"/>
      <c r="N49" s="1084"/>
      <c r="O49" s="1084"/>
      <c r="P49" s="1084"/>
      <c r="Q49" s="1084"/>
      <c r="R49" s="1084"/>
      <c r="S49" s="1084"/>
    </row>
    <row r="50" spans="2:19" ht="38.25" customHeight="1">
      <c r="B50" s="976" t="s">
        <v>1061</v>
      </c>
      <c r="C50" s="976"/>
      <c r="D50" s="1084"/>
      <c r="E50" s="1084"/>
      <c r="F50" s="1084"/>
      <c r="G50" s="1084"/>
      <c r="H50" s="1084"/>
      <c r="I50" s="1084"/>
      <c r="J50" s="1084"/>
      <c r="K50" s="1084"/>
      <c r="L50" s="1084"/>
      <c r="M50" s="1084"/>
      <c r="N50" s="1084"/>
      <c r="O50" s="1084"/>
      <c r="P50" s="1084"/>
      <c r="Q50" s="1084"/>
      <c r="R50" s="1084"/>
      <c r="S50" s="1084"/>
    </row>
    <row r="51" spans="2:19" s="73" customFormat="1" ht="15" customHeight="1"/>
    <row r="52" spans="2:19" customFormat="1" ht="19.5" customHeight="1">
      <c r="C52" s="21"/>
      <c r="D52" s="20"/>
      <c r="E52" s="20"/>
      <c r="F52" s="20"/>
      <c r="G52" s="20"/>
      <c r="H52" s="20"/>
      <c r="I52" s="20"/>
      <c r="J52" s="20"/>
      <c r="K52" s="20"/>
      <c r="L52" s="20"/>
      <c r="M52" s="20"/>
      <c r="N52" s="20"/>
      <c r="O52" s="21"/>
      <c r="P52" s="21"/>
      <c r="Q52" s="20"/>
      <c r="R52" s="21"/>
      <c r="S52" s="21"/>
    </row>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c r="C55" s="21"/>
      <c r="D55" s="20"/>
      <c r="E55" s="20"/>
      <c r="F55" s="20"/>
      <c r="G55" s="20"/>
      <c r="H55" s="20"/>
      <c r="I55" s="20"/>
      <c r="J55" s="20"/>
      <c r="K55" s="20"/>
      <c r="L55" s="20"/>
      <c r="M55" s="20"/>
      <c r="N55" s="20"/>
      <c r="O55" s="21"/>
      <c r="P55" s="21"/>
      <c r="Q55" s="20"/>
      <c r="R55" s="21"/>
      <c r="S55" s="21"/>
    </row>
    <row r="56" spans="2:19" customFormat="1" ht="19.5" customHeight="1">
      <c r="C56" s="21"/>
      <c r="D56" s="20"/>
      <c r="E56" s="20"/>
      <c r="F56" s="20"/>
      <c r="G56" s="20"/>
      <c r="H56" s="20"/>
      <c r="I56" s="20"/>
      <c r="J56" s="20"/>
      <c r="K56" s="20"/>
      <c r="L56" s="20"/>
      <c r="M56" s="20"/>
      <c r="N56" s="20"/>
      <c r="O56" s="21"/>
      <c r="P56" s="21"/>
      <c r="Q56" s="20"/>
      <c r="R56" s="21"/>
      <c r="S56" s="21"/>
    </row>
    <row r="57" spans="2:19" customFormat="1" ht="19.5" customHeight="1"/>
    <row r="58" spans="2:19" customFormat="1" ht="19.5" customHeight="1"/>
    <row r="59" spans="2:19" customFormat="1" ht="19.5" customHeight="1"/>
    <row r="60" spans="2:19" customFormat="1" ht="19.5" customHeight="1"/>
    <row r="61" spans="2:19" customFormat="1" ht="15" customHeight="1"/>
    <row r="62" spans="2:19" customFormat="1" ht="15" customHeight="1"/>
    <row r="63" spans="2:19" customFormat="1" ht="1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s="73" customFormat="1" ht="15" customHeight="1"/>
    <row r="82" s="73" customFormat="1" ht="15" customHeight="1"/>
    <row r="83" s="73" customFormat="1" ht="15" customHeight="1"/>
    <row r="84"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2B9C8256-12CC-486C-86FB-35F845D8B00D}"/>
  </hyperlinks>
  <pageMargins left="0.7" right="0.7" top="0.75" bottom="0.75" header="0.3" footer="0.3"/>
  <customProperties>
    <customPr name="_pios_id" r:id="rId1"/>
  </customPropertie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3C61F-BAF1-425A-8B7D-B89AF76C88BB}">
  <dimension ref="A1:S99"/>
  <sheetViews>
    <sheetView showGridLines="0" topLeftCell="A69" zoomScale="85" zoomScaleNormal="85" workbookViewId="0">
      <selection activeCell="B63" sqref="B63:C99"/>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2421</v>
      </c>
      <c r="C2" s="993"/>
      <c r="D2" s="993"/>
      <c r="E2" s="993"/>
      <c r="F2" s="993"/>
      <c r="G2" s="993"/>
      <c r="H2" s="993"/>
      <c r="I2" s="994"/>
      <c r="J2" s="70" t="s">
        <v>816</v>
      </c>
      <c r="K2" s="998" t="s">
        <v>128</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2422</v>
      </c>
      <c r="C5" s="980"/>
      <c r="D5" s="980"/>
      <c r="E5" s="980"/>
      <c r="F5" s="980"/>
      <c r="G5" s="980"/>
      <c r="H5" s="981"/>
      <c r="I5" s="982" t="s">
        <v>2423</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22" t="s">
        <v>2424</v>
      </c>
      <c r="D8" s="23"/>
      <c r="E8" s="22" t="s">
        <v>845</v>
      </c>
      <c r="F8" s="23">
        <v>10</v>
      </c>
      <c r="G8" s="964" t="s">
        <v>2425</v>
      </c>
      <c r="H8" s="24" t="s">
        <v>2425</v>
      </c>
      <c r="I8" s="110">
        <v>1</v>
      </c>
      <c r="J8" s="117" t="s">
        <v>2425</v>
      </c>
      <c r="K8" s="119"/>
      <c r="L8" s="113" t="s">
        <v>1354</v>
      </c>
      <c r="M8" s="112">
        <v>1000</v>
      </c>
      <c r="N8" s="114" t="s">
        <v>2425</v>
      </c>
      <c r="O8" s="114" t="s">
        <v>2425</v>
      </c>
      <c r="P8" s="112"/>
      <c r="Q8" s="112"/>
      <c r="R8" s="114"/>
      <c r="S8" s="134"/>
    </row>
    <row r="9" spans="1:19" s="73" customFormat="1" ht="13.5">
      <c r="B9" s="104">
        <v>2</v>
      </c>
      <c r="C9" s="22" t="s">
        <v>2426</v>
      </c>
      <c r="D9" s="23"/>
      <c r="E9" s="22" t="s">
        <v>845</v>
      </c>
      <c r="F9" s="23">
        <v>50</v>
      </c>
      <c r="G9" s="964" t="s">
        <v>2427</v>
      </c>
      <c r="H9" s="24" t="s">
        <v>2427</v>
      </c>
      <c r="I9" s="110">
        <v>2</v>
      </c>
      <c r="J9" s="117" t="s">
        <v>2428</v>
      </c>
      <c r="K9" s="119"/>
      <c r="L9" s="113" t="s">
        <v>1354</v>
      </c>
      <c r="M9" s="112">
        <v>1000</v>
      </c>
      <c r="N9" s="114" t="s">
        <v>2427</v>
      </c>
      <c r="O9" s="114" t="s">
        <v>2427</v>
      </c>
      <c r="P9" s="112"/>
      <c r="Q9" s="112"/>
      <c r="R9" s="114"/>
      <c r="S9" s="134"/>
    </row>
    <row r="10" spans="1:19" s="73" customFormat="1" ht="13.5">
      <c r="B10" s="104">
        <v>3</v>
      </c>
      <c r="C10" s="22" t="s">
        <v>2429</v>
      </c>
      <c r="D10" s="23"/>
      <c r="E10" s="22" t="s">
        <v>845</v>
      </c>
      <c r="F10" s="23">
        <v>10</v>
      </c>
      <c r="G10" s="964" t="s">
        <v>2430</v>
      </c>
      <c r="H10" s="24" t="s">
        <v>2431</v>
      </c>
      <c r="I10" s="110">
        <v>3</v>
      </c>
      <c r="J10" s="118" t="s">
        <v>2432</v>
      </c>
      <c r="K10" s="119"/>
      <c r="L10" s="113" t="s">
        <v>1354</v>
      </c>
      <c r="M10" s="112">
        <v>1000</v>
      </c>
      <c r="N10" s="108" t="s">
        <v>2430</v>
      </c>
      <c r="O10" s="108" t="s">
        <v>2431</v>
      </c>
      <c r="P10" s="112"/>
      <c r="Q10" s="112"/>
      <c r="R10" s="114"/>
      <c r="S10" s="134"/>
    </row>
    <row r="11" spans="1:19" s="73" customFormat="1" ht="13.5">
      <c r="B11" s="104">
        <v>4</v>
      </c>
      <c r="C11" s="22" t="s">
        <v>2433</v>
      </c>
      <c r="D11" s="23"/>
      <c r="E11" s="22" t="s">
        <v>845</v>
      </c>
      <c r="F11" s="23">
        <v>2</v>
      </c>
      <c r="G11" s="24" t="s">
        <v>2434</v>
      </c>
      <c r="H11" s="24" t="s">
        <v>2435</v>
      </c>
      <c r="I11" s="110">
        <v>4</v>
      </c>
      <c r="J11" s="118" t="s">
        <v>2436</v>
      </c>
      <c r="K11" s="119"/>
      <c r="L11" s="113" t="s">
        <v>1354</v>
      </c>
      <c r="M11" s="112">
        <v>1000</v>
      </c>
      <c r="N11" s="108" t="s">
        <v>2434</v>
      </c>
      <c r="O11" s="108" t="s">
        <v>2435</v>
      </c>
      <c r="P11" s="119"/>
      <c r="Q11" s="119"/>
      <c r="R11" s="108"/>
      <c r="S11" s="134"/>
    </row>
    <row r="12" spans="1:19" s="73" customFormat="1" ht="13.5">
      <c r="B12" s="104">
        <v>5</v>
      </c>
      <c r="C12" s="22" t="s">
        <v>2437</v>
      </c>
      <c r="D12" s="23"/>
      <c r="E12" s="22" t="s">
        <v>845</v>
      </c>
      <c r="F12" s="23">
        <v>50</v>
      </c>
      <c r="G12" s="964" t="s">
        <v>2438</v>
      </c>
      <c r="H12" s="24" t="s">
        <v>2439</v>
      </c>
      <c r="I12" s="110">
        <v>5</v>
      </c>
      <c r="J12" s="118" t="s">
        <v>2440</v>
      </c>
      <c r="K12" s="119"/>
      <c r="L12" s="113" t="s">
        <v>1354</v>
      </c>
      <c r="M12" s="112">
        <v>1000</v>
      </c>
      <c r="N12" s="108" t="s">
        <v>2438</v>
      </c>
      <c r="O12" s="108" t="s">
        <v>2439</v>
      </c>
      <c r="P12" s="119"/>
      <c r="Q12" s="119"/>
      <c r="R12" s="108"/>
      <c r="S12" s="134"/>
    </row>
    <row r="13" spans="1:19" s="73" customFormat="1" ht="27">
      <c r="B13" s="104">
        <v>6</v>
      </c>
      <c r="C13" s="22" t="s">
        <v>892</v>
      </c>
      <c r="D13" s="23"/>
      <c r="E13" s="22" t="s">
        <v>845</v>
      </c>
      <c r="F13" s="23">
        <v>1</v>
      </c>
      <c r="G13" s="24" t="s">
        <v>893</v>
      </c>
      <c r="H13" s="24" t="s">
        <v>894</v>
      </c>
      <c r="I13" s="110">
        <v>6</v>
      </c>
      <c r="J13" s="118" t="s">
        <v>895</v>
      </c>
      <c r="K13" s="106"/>
      <c r="L13" s="113" t="s">
        <v>1354</v>
      </c>
      <c r="M13" s="112">
        <v>1000</v>
      </c>
      <c r="N13" s="108" t="s">
        <v>893</v>
      </c>
      <c r="O13" s="108" t="s">
        <v>894</v>
      </c>
      <c r="P13" s="119"/>
      <c r="Q13" s="112"/>
      <c r="R13" s="114"/>
      <c r="S13" s="134"/>
    </row>
    <row r="14" spans="1:19" s="73" customFormat="1" ht="15">
      <c r="B14" s="104">
        <v>7</v>
      </c>
      <c r="C14" s="25" t="s">
        <v>899</v>
      </c>
      <c r="D14" s="23"/>
      <c r="E14" s="25" t="s">
        <v>845</v>
      </c>
      <c r="F14" s="27">
        <v>1</v>
      </c>
      <c r="G14" s="26" t="s">
        <v>900</v>
      </c>
      <c r="H14" s="26" t="s">
        <v>901</v>
      </c>
      <c r="I14" s="110">
        <v>7</v>
      </c>
      <c r="J14" s="118" t="s">
        <v>2441</v>
      </c>
      <c r="K14" s="106"/>
      <c r="L14" s="113" t="s">
        <v>1354</v>
      </c>
      <c r="M14" s="112">
        <v>1000</v>
      </c>
      <c r="N14" s="108" t="s">
        <v>900</v>
      </c>
      <c r="O14" s="108" t="s">
        <v>901</v>
      </c>
      <c r="P14" s="119"/>
      <c r="Q14" s="112"/>
      <c r="R14" s="114"/>
      <c r="S14" s="134"/>
    </row>
    <row r="15" spans="1:19" s="73" customFormat="1" ht="13.5">
      <c r="B15" s="104">
        <v>8</v>
      </c>
      <c r="C15" s="105"/>
      <c r="D15" s="119"/>
      <c r="E15" s="107"/>
      <c r="F15" s="107"/>
      <c r="G15" s="108"/>
      <c r="H15" s="109"/>
      <c r="I15" s="110">
        <v>8</v>
      </c>
      <c r="J15" s="118"/>
      <c r="K15" s="106"/>
      <c r="L15" s="113"/>
      <c r="M15" s="112"/>
      <c r="N15" s="108"/>
      <c r="O15" s="108"/>
      <c r="P15" s="119"/>
      <c r="Q15" s="112"/>
      <c r="R15" s="114"/>
      <c r="S15" s="134"/>
    </row>
    <row r="16" spans="1:19" s="73" customFormat="1" ht="13.5">
      <c r="B16" s="104">
        <v>9</v>
      </c>
      <c r="C16" s="105"/>
      <c r="D16" s="119"/>
      <c r="E16" s="107"/>
      <c r="F16" s="107"/>
      <c r="G16" s="108"/>
      <c r="H16" s="109"/>
      <c r="I16" s="110">
        <v>9</v>
      </c>
      <c r="J16" s="118"/>
      <c r="K16" s="106"/>
      <c r="L16" s="113"/>
      <c r="M16" s="112"/>
      <c r="N16" s="108"/>
      <c r="O16" s="108"/>
      <c r="P16" s="119"/>
      <c r="Q16" s="112"/>
      <c r="R16" s="114"/>
      <c r="S16" s="134"/>
    </row>
    <row r="17" spans="2:19" s="73" customFormat="1" ht="13.5">
      <c r="B17" s="104">
        <v>10</v>
      </c>
      <c r="C17" s="105"/>
      <c r="D17" s="119"/>
      <c r="E17" s="107"/>
      <c r="F17" s="107"/>
      <c r="G17" s="108"/>
      <c r="H17" s="109"/>
      <c r="I17" s="110">
        <v>10</v>
      </c>
      <c r="J17" s="117"/>
      <c r="K17" s="120"/>
      <c r="L17" s="113"/>
      <c r="M17" s="112"/>
      <c r="N17" s="108"/>
      <c r="O17" s="108"/>
      <c r="P17" s="112"/>
      <c r="Q17" s="112"/>
      <c r="R17" s="114"/>
      <c r="S17" s="134"/>
    </row>
    <row r="18" spans="2:19" s="73" customFormat="1" ht="13.5">
      <c r="B18" s="104">
        <v>11</v>
      </c>
      <c r="C18" s="105"/>
      <c r="D18" s="119"/>
      <c r="E18" s="107"/>
      <c r="F18" s="107"/>
      <c r="G18" s="108"/>
      <c r="H18" s="109"/>
      <c r="I18" s="110">
        <v>11</v>
      </c>
      <c r="J18" s="117"/>
      <c r="K18" s="112"/>
      <c r="L18" s="113"/>
      <c r="M18" s="112"/>
      <c r="N18" s="114"/>
      <c r="O18" s="114"/>
      <c r="P18" s="112"/>
      <c r="Q18" s="112"/>
      <c r="R18" s="114"/>
      <c r="S18" s="134"/>
    </row>
    <row r="19" spans="2:19" s="73" customFormat="1" ht="13.5">
      <c r="B19" s="104">
        <v>12</v>
      </c>
      <c r="C19" s="121"/>
      <c r="D19" s="119"/>
      <c r="E19" s="107"/>
      <c r="F19" s="107"/>
      <c r="G19" s="108"/>
      <c r="H19" s="109"/>
      <c r="I19" s="110">
        <v>12</v>
      </c>
      <c r="J19" s="117"/>
      <c r="K19" s="120"/>
      <c r="L19" s="113"/>
      <c r="M19" s="112"/>
      <c r="N19" s="114"/>
      <c r="O19" s="114"/>
      <c r="P19" s="112"/>
      <c r="Q19" s="112"/>
      <c r="R19" s="114"/>
      <c r="S19" s="134"/>
    </row>
    <row r="20" spans="2:19" s="73" customFormat="1" ht="13.5">
      <c r="B20" s="104">
        <v>13</v>
      </c>
      <c r="C20" s="121"/>
      <c r="D20" s="119"/>
      <c r="E20" s="107"/>
      <c r="F20" s="107"/>
      <c r="G20" s="108"/>
      <c r="H20" s="109"/>
      <c r="I20" s="110">
        <v>13</v>
      </c>
      <c r="J20" s="117"/>
      <c r="K20" s="120"/>
      <c r="L20" s="113"/>
      <c r="M20" s="112"/>
      <c r="N20" s="114"/>
      <c r="O20" s="114"/>
      <c r="P20" s="112"/>
      <c r="Q20" s="112"/>
      <c r="R20" s="114"/>
      <c r="S20" s="134"/>
    </row>
    <row r="21" spans="2:19" s="73" customFormat="1" ht="13.5">
      <c r="B21" s="104">
        <v>14</v>
      </c>
      <c r="C21" s="121"/>
      <c r="D21" s="119"/>
      <c r="E21" s="107"/>
      <c r="F21" s="107"/>
      <c r="G21" s="108"/>
      <c r="H21" s="109"/>
      <c r="I21" s="110">
        <v>14</v>
      </c>
      <c r="J21" s="118"/>
      <c r="K21" s="119"/>
      <c r="L21" s="113"/>
      <c r="M21" s="112"/>
      <c r="N21" s="108"/>
      <c r="O21" s="108"/>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1078"/>
      <c r="E43" s="1079"/>
      <c r="F43" s="1079"/>
      <c r="G43" s="1079"/>
      <c r="H43" s="1079"/>
      <c r="I43" s="1079"/>
      <c r="J43" s="1079"/>
      <c r="K43" s="1079"/>
      <c r="L43" s="1079"/>
      <c r="M43" s="1079"/>
      <c r="N43" s="1079"/>
      <c r="O43" s="1079"/>
      <c r="P43" s="1079"/>
      <c r="Q43" s="1079"/>
      <c r="R43" s="1079"/>
      <c r="S43" s="1080"/>
    </row>
    <row r="44" spans="2:19" ht="24.75" customHeight="1">
      <c r="B44" s="1008" t="s">
        <v>1038</v>
      </c>
      <c r="C44" s="1009"/>
      <c r="D44" s="1081"/>
      <c r="E44" s="1082"/>
      <c r="F44" s="1082"/>
      <c r="G44" s="1082"/>
      <c r="H44" s="1082"/>
      <c r="I44" s="1082"/>
      <c r="J44" s="1082"/>
      <c r="K44" s="1082"/>
      <c r="L44" s="1082"/>
      <c r="M44" s="1082"/>
      <c r="N44" s="1082"/>
      <c r="O44" s="1082"/>
      <c r="P44" s="1082"/>
      <c r="Q44" s="1082"/>
      <c r="R44" s="1082"/>
      <c r="S44" s="1083"/>
    </row>
    <row r="45" spans="2:19" ht="18.75" customHeight="1">
      <c r="B45" s="75"/>
      <c r="C45" s="75"/>
      <c r="D45" s="5"/>
      <c r="E45" s="5"/>
      <c r="F45" s="5"/>
      <c r="G45" s="5"/>
      <c r="H45" s="5"/>
      <c r="I45" s="5"/>
      <c r="J45" s="5"/>
      <c r="K45" s="5"/>
      <c r="L45" s="5"/>
      <c r="M45" s="5"/>
      <c r="N45" s="5"/>
      <c r="O45" s="5"/>
      <c r="P45" s="5"/>
      <c r="Q45" s="5"/>
      <c r="R45" s="5"/>
      <c r="S45" s="5"/>
    </row>
    <row r="46" spans="2:19" ht="18.75" customHeight="1">
      <c r="B46" s="51" t="s">
        <v>1045</v>
      </c>
      <c r="C46" s="73"/>
      <c r="D46" s="4"/>
      <c r="E46" s="4"/>
      <c r="F46" s="4"/>
      <c r="G46" s="4"/>
      <c r="H46" s="4"/>
      <c r="I46" s="4"/>
      <c r="J46" s="4"/>
      <c r="K46" s="4"/>
      <c r="L46" s="4"/>
      <c r="M46" s="4"/>
      <c r="N46" s="5"/>
      <c r="O46" s="5"/>
      <c r="P46" s="4"/>
      <c r="Q46" s="5"/>
      <c r="R46" s="5"/>
      <c r="S46" s="4"/>
    </row>
    <row r="47" spans="2:19" ht="140.44999999999999" customHeight="1">
      <c r="B47" s="1014" t="s">
        <v>1049</v>
      </c>
      <c r="C47" s="1014"/>
      <c r="D47" s="1085"/>
      <c r="E47" s="1084"/>
      <c r="F47" s="1084"/>
      <c r="G47" s="1084"/>
      <c r="H47" s="1084"/>
      <c r="I47" s="1084"/>
      <c r="J47" s="1084"/>
      <c r="K47" s="1084"/>
      <c r="L47" s="1084"/>
      <c r="M47" s="1084"/>
      <c r="N47" s="1084"/>
      <c r="O47" s="1084"/>
      <c r="P47" s="1084"/>
      <c r="Q47" s="1084"/>
      <c r="R47" s="1084"/>
      <c r="S47" s="1084"/>
    </row>
    <row r="48" spans="2:19" ht="33" customHeight="1">
      <c r="B48" s="976" t="s">
        <v>1053</v>
      </c>
      <c r="C48" s="976"/>
      <c r="D48" s="1084"/>
      <c r="E48" s="1084"/>
      <c r="F48" s="1084"/>
      <c r="G48" s="1084"/>
      <c r="H48" s="1084"/>
      <c r="I48" s="1084"/>
      <c r="J48" s="1084"/>
      <c r="K48" s="1084"/>
      <c r="L48" s="1084"/>
      <c r="M48" s="1084"/>
      <c r="N48" s="1084"/>
      <c r="O48" s="1084"/>
      <c r="P48" s="1084"/>
      <c r="Q48" s="1084"/>
      <c r="R48" s="1084"/>
      <c r="S48" s="1084"/>
    </row>
    <row r="49" spans="2:19" ht="71.25" customHeight="1">
      <c r="B49" s="976" t="s">
        <v>1057</v>
      </c>
      <c r="C49" s="976"/>
      <c r="D49" s="1084"/>
      <c r="E49" s="1084"/>
      <c r="F49" s="1084"/>
      <c r="G49" s="1084"/>
      <c r="H49" s="1084"/>
      <c r="I49" s="1084"/>
      <c r="J49" s="1084"/>
      <c r="K49" s="1084"/>
      <c r="L49" s="1084"/>
      <c r="M49" s="1084"/>
      <c r="N49" s="1084"/>
      <c r="O49" s="1084"/>
      <c r="P49" s="1084"/>
      <c r="Q49" s="1084"/>
      <c r="R49" s="1084"/>
      <c r="S49" s="1084"/>
    </row>
    <row r="50" spans="2:19" ht="38.25" customHeight="1">
      <c r="B50" s="976" t="s">
        <v>1061</v>
      </c>
      <c r="C50" s="976"/>
      <c r="D50" s="1084"/>
      <c r="E50" s="1084"/>
      <c r="F50" s="1084"/>
      <c r="G50" s="1084"/>
      <c r="H50" s="1084"/>
      <c r="I50" s="1084"/>
      <c r="J50" s="1084"/>
      <c r="K50" s="1084"/>
      <c r="L50" s="1084"/>
      <c r="M50" s="1084"/>
      <c r="N50" s="1084"/>
      <c r="O50" s="1084"/>
      <c r="P50" s="1084"/>
      <c r="Q50" s="1084"/>
      <c r="R50" s="1084"/>
      <c r="S50" s="1084"/>
    </row>
    <row r="51" spans="2:19" s="73" customFormat="1" ht="15" customHeight="1"/>
    <row r="52" spans="2:19" s="50" customFormat="1" ht="19.5" customHeight="1">
      <c r="B52" s="50" t="s">
        <v>2442</v>
      </c>
      <c r="C52" s="21"/>
      <c r="D52" s="20"/>
      <c r="E52" s="20"/>
      <c r="F52" s="20"/>
      <c r="G52" s="20"/>
      <c r="H52" s="20"/>
      <c r="I52" s="20"/>
      <c r="J52" s="20"/>
      <c r="K52" s="20"/>
      <c r="L52" s="20"/>
      <c r="M52" s="20"/>
      <c r="N52" s="20"/>
      <c r="O52" s="21"/>
      <c r="P52" s="21"/>
      <c r="Q52" s="20"/>
      <c r="R52" s="21"/>
      <c r="S52" s="21"/>
    </row>
    <row r="53" spans="2:19" s="50" customFormat="1" ht="19.5" customHeight="1">
      <c r="B53" s="50" t="s">
        <v>2443</v>
      </c>
      <c r="C53" s="21"/>
      <c r="D53" s="20"/>
      <c r="E53" s="20"/>
      <c r="F53" s="20"/>
      <c r="G53" s="20"/>
      <c r="H53" s="20"/>
      <c r="I53" s="20"/>
      <c r="J53" s="20"/>
      <c r="K53" s="20"/>
      <c r="L53" s="20"/>
      <c r="M53" s="20"/>
      <c r="N53" s="20"/>
      <c r="O53" s="21"/>
      <c r="P53" s="21"/>
      <c r="Q53" s="20"/>
      <c r="R53" s="21"/>
      <c r="S53" s="21"/>
    </row>
    <row r="54" spans="2:19" s="50" customFormat="1" ht="19.5" customHeight="1">
      <c r="B54" s="50" t="s">
        <v>2444</v>
      </c>
      <c r="C54" s="21"/>
      <c r="D54" s="20"/>
      <c r="E54" s="20"/>
      <c r="F54" s="20"/>
      <c r="G54" s="20"/>
      <c r="H54" s="20"/>
      <c r="I54" s="20"/>
      <c r="J54" s="20"/>
      <c r="K54" s="20"/>
      <c r="L54" s="20"/>
      <c r="M54" s="20"/>
      <c r="N54" s="20"/>
      <c r="O54" s="21"/>
      <c r="P54" s="21"/>
      <c r="Q54" s="20"/>
      <c r="R54" s="21"/>
      <c r="S54" s="21"/>
    </row>
    <row r="55" spans="2:19" s="50" customFormat="1" ht="19.5" customHeight="1">
      <c r="B55" s="50" t="s">
        <v>2445</v>
      </c>
      <c r="C55" s="21"/>
      <c r="D55" s="20"/>
      <c r="E55" s="20"/>
      <c r="F55" s="20"/>
      <c r="G55" s="20"/>
      <c r="H55" s="20"/>
      <c r="I55" s="20"/>
      <c r="J55" s="20"/>
      <c r="K55" s="20"/>
      <c r="L55" s="20"/>
      <c r="M55" s="20"/>
      <c r="N55" s="20"/>
      <c r="O55" s="21"/>
      <c r="P55" s="21"/>
      <c r="Q55" s="20"/>
      <c r="R55" s="21"/>
      <c r="S55" s="21"/>
    </row>
    <row r="56" spans="2:19" s="50" customFormat="1" ht="19.5" customHeight="1">
      <c r="B56" s="50" t="s">
        <v>2446</v>
      </c>
      <c r="C56" s="21"/>
      <c r="D56" s="20"/>
      <c r="E56" s="20"/>
      <c r="F56" s="20"/>
      <c r="G56" s="20"/>
      <c r="H56" s="20"/>
      <c r="I56" s="20"/>
      <c r="J56" s="20"/>
      <c r="K56" s="20"/>
      <c r="L56" s="20"/>
      <c r="M56" s="20"/>
      <c r="N56" s="20"/>
      <c r="O56" s="21"/>
      <c r="P56" s="21"/>
      <c r="Q56" s="20"/>
      <c r="R56" s="21"/>
      <c r="S56" s="21"/>
    </row>
    <row r="57" spans="2:19" s="50" customFormat="1" ht="19.5" customHeight="1">
      <c r="B57" s="50" t="s">
        <v>2447</v>
      </c>
    </row>
    <row r="58" spans="2:19" s="50" customFormat="1" ht="19.5" customHeight="1">
      <c r="B58" s="50" t="s">
        <v>2448</v>
      </c>
    </row>
    <row r="59" spans="2:19" s="50" customFormat="1" ht="19.5" customHeight="1">
      <c r="B59" s="50" t="s">
        <v>2449</v>
      </c>
    </row>
    <row r="60" spans="2:19" s="50" customFormat="1" ht="19.5" customHeight="1">
      <c r="B60" s="50" t="s">
        <v>2450</v>
      </c>
    </row>
    <row r="61" spans="2:19" s="50" customFormat="1" ht="19.5" customHeight="1"/>
    <row r="62" spans="2:19" s="50" customFormat="1" ht="15" customHeight="1">
      <c r="B62" s="50" t="s">
        <v>2451</v>
      </c>
    </row>
    <row r="63" spans="2:19" s="50" customFormat="1" ht="15" customHeight="1">
      <c r="B63" t="s">
        <v>2452</v>
      </c>
      <c r="C63" t="s">
        <v>853</v>
      </c>
    </row>
    <row r="64" spans="2:19" customFormat="1" ht="15" customHeight="1">
      <c r="B64" t="s">
        <v>2453</v>
      </c>
      <c r="C64" t="s">
        <v>2454</v>
      </c>
    </row>
    <row r="65" spans="2:3" customFormat="1" ht="15" customHeight="1">
      <c r="B65" t="s">
        <v>2455</v>
      </c>
      <c r="C65" t="s">
        <v>2456</v>
      </c>
    </row>
    <row r="66" spans="2:3" customFormat="1" ht="15" customHeight="1">
      <c r="B66" t="s">
        <v>2457</v>
      </c>
      <c r="C66" t="s">
        <v>2458</v>
      </c>
    </row>
    <row r="67" spans="2:3" customFormat="1" ht="15" customHeight="1">
      <c r="B67" t="s">
        <v>2459</v>
      </c>
      <c r="C67" t="s">
        <v>1808</v>
      </c>
    </row>
    <row r="68" spans="2:3" customFormat="1" ht="15" customHeight="1">
      <c r="B68" t="s">
        <v>2460</v>
      </c>
      <c r="C68" t="s">
        <v>2461</v>
      </c>
    </row>
    <row r="69" spans="2:3" customFormat="1" ht="15" customHeight="1">
      <c r="B69" t="s">
        <v>2462</v>
      </c>
      <c r="C69" t="s">
        <v>2463</v>
      </c>
    </row>
    <row r="70" spans="2:3" customFormat="1" ht="15" customHeight="1">
      <c r="B70" t="s">
        <v>2464</v>
      </c>
      <c r="C70" t="s">
        <v>2465</v>
      </c>
    </row>
    <row r="71" spans="2:3" customFormat="1" ht="15" customHeight="1">
      <c r="B71" t="s">
        <v>2466</v>
      </c>
      <c r="C71" t="s">
        <v>1080</v>
      </c>
    </row>
    <row r="72" spans="2:3" customFormat="1" ht="15" customHeight="1">
      <c r="B72" t="s">
        <v>2467</v>
      </c>
      <c r="C72" t="s">
        <v>1107</v>
      </c>
    </row>
    <row r="73" spans="2:3" customFormat="1" ht="15" customHeight="1">
      <c r="B73" t="s">
        <v>2468</v>
      </c>
      <c r="C73" t="s">
        <v>2469</v>
      </c>
    </row>
    <row r="74" spans="2:3" customFormat="1" ht="15" customHeight="1">
      <c r="B74" t="s">
        <v>2470</v>
      </c>
      <c r="C74" t="s">
        <v>1121</v>
      </c>
    </row>
    <row r="75" spans="2:3" customFormat="1" ht="15" customHeight="1">
      <c r="B75" t="s">
        <v>2471</v>
      </c>
      <c r="C75" t="s">
        <v>2472</v>
      </c>
    </row>
    <row r="76" spans="2:3" customFormat="1" ht="15" customHeight="1">
      <c r="B76" t="s">
        <v>2473</v>
      </c>
      <c r="C76" t="s">
        <v>1697</v>
      </c>
    </row>
    <row r="77" spans="2:3" customFormat="1" ht="15" customHeight="1">
      <c r="B77" t="s">
        <v>2474</v>
      </c>
      <c r="C77" t="s">
        <v>2475</v>
      </c>
    </row>
    <row r="78" spans="2:3" customFormat="1" ht="15" customHeight="1">
      <c r="B78" t="s">
        <v>2476</v>
      </c>
      <c r="C78" t="s">
        <v>1774</v>
      </c>
    </row>
    <row r="79" spans="2:3" customFormat="1" ht="15" customHeight="1">
      <c r="B79" t="s">
        <v>2477</v>
      </c>
      <c r="C79" t="s">
        <v>1780</v>
      </c>
    </row>
    <row r="80" spans="2:3" customFormat="1" ht="15" customHeight="1">
      <c r="B80" t="s">
        <v>2478</v>
      </c>
      <c r="C80" t="s">
        <v>2479</v>
      </c>
    </row>
    <row r="81" spans="2:3" customFormat="1" ht="15" customHeight="1">
      <c r="B81" t="s">
        <v>2480</v>
      </c>
      <c r="C81" t="s">
        <v>1664</v>
      </c>
    </row>
    <row r="82" spans="2:3" s="73" customFormat="1" ht="15" customHeight="1">
      <c r="B82" t="s">
        <v>2481</v>
      </c>
      <c r="C82" t="s">
        <v>1667</v>
      </c>
    </row>
    <row r="83" spans="2:3" s="73" customFormat="1" ht="15" customHeight="1">
      <c r="B83" t="s">
        <v>2482</v>
      </c>
      <c r="C83" t="s">
        <v>1671</v>
      </c>
    </row>
    <row r="84" spans="2:3" s="73" customFormat="1" ht="15" customHeight="1">
      <c r="B84" t="s">
        <v>2483</v>
      </c>
      <c r="C84" t="s">
        <v>1681</v>
      </c>
    </row>
    <row r="85" spans="2:3" s="73" customFormat="1" ht="15" customHeight="1">
      <c r="B85" t="s">
        <v>2484</v>
      </c>
      <c r="C85" t="s">
        <v>2485</v>
      </c>
    </row>
    <row r="86" spans="2:3" s="73" customFormat="1" ht="15" customHeight="1">
      <c r="B86" s="681" t="s">
        <v>2486</v>
      </c>
      <c r="C86" t="s">
        <v>2487</v>
      </c>
    </row>
    <row r="87" spans="2:3">
      <c r="B87" t="s">
        <v>2488</v>
      </c>
      <c r="C87" t="s">
        <v>2489</v>
      </c>
    </row>
    <row r="88" spans="2:3">
      <c r="B88" t="s">
        <v>2490</v>
      </c>
      <c r="C88" t="s">
        <v>1280</v>
      </c>
    </row>
    <row r="89" spans="2:3">
      <c r="B89" t="s">
        <v>2491</v>
      </c>
      <c r="C89" t="s">
        <v>1287</v>
      </c>
    </row>
    <row r="90" spans="2:3">
      <c r="B90" t="s">
        <v>2492</v>
      </c>
      <c r="C90" t="s">
        <v>2493</v>
      </c>
    </row>
    <row r="91" spans="2:3">
      <c r="B91" t="s">
        <v>2494</v>
      </c>
      <c r="C91" t="s">
        <v>2495</v>
      </c>
    </row>
    <row r="92" spans="2:3">
      <c r="B92" t="s">
        <v>2496</v>
      </c>
      <c r="C92" t="s">
        <v>2497</v>
      </c>
    </row>
    <row r="93" spans="2:3">
      <c r="B93" t="s">
        <v>2498</v>
      </c>
      <c r="C93" t="s">
        <v>1113</v>
      </c>
    </row>
    <row r="94" spans="2:3">
      <c r="B94" t="s">
        <v>2499</v>
      </c>
      <c r="C94" t="s">
        <v>1117</v>
      </c>
    </row>
    <row r="95" spans="2:3">
      <c r="B95" t="s">
        <v>2500</v>
      </c>
      <c r="C95" t="s">
        <v>2501</v>
      </c>
    </row>
    <row r="96" spans="2:3">
      <c r="B96" t="s">
        <v>2502</v>
      </c>
      <c r="C96" t="s">
        <v>1178</v>
      </c>
    </row>
    <row r="97" spans="2:3">
      <c r="B97" t="s">
        <v>2503</v>
      </c>
      <c r="C97" t="s">
        <v>2504</v>
      </c>
    </row>
    <row r="98" spans="2:3">
      <c r="B98" t="s">
        <v>2505</v>
      </c>
      <c r="C98" t="s">
        <v>2506</v>
      </c>
    </row>
    <row r="99" spans="2:3">
      <c r="B99" t="s">
        <v>2507</v>
      </c>
      <c r="C99" t="s">
        <v>2508</v>
      </c>
    </row>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BDFFC3B8-DC42-446A-A9D7-F53AFED32DD5}"/>
  </hyperlinks>
  <pageMargins left="0.7" right="0.7" top="0.75" bottom="0.75" header="0.3" footer="0.3"/>
  <customProperties>
    <customPr name="_pios_id" r:id="rId1"/>
  </customProperties>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7FE38-2069-4ADA-ACBF-CD3F9BA9A209}">
  <sheetPr>
    <tabColor theme="9" tint="0.79998168889431442"/>
  </sheetPr>
  <dimension ref="A1:S84"/>
  <sheetViews>
    <sheetView showGridLines="0" workbookViewId="0">
      <selection activeCell="G9" sqref="G9"/>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2509</v>
      </c>
    </row>
    <row r="2" spans="1:19" ht="23.1" customHeight="1">
      <c r="B2" s="992" t="s">
        <v>2510</v>
      </c>
      <c r="C2" s="993"/>
      <c r="D2" s="993"/>
      <c r="E2" s="993"/>
      <c r="F2" s="993"/>
      <c r="G2" s="993"/>
      <c r="H2" s="993"/>
      <c r="I2" s="994"/>
      <c r="J2" s="70" t="s">
        <v>816</v>
      </c>
      <c r="K2" s="998" t="s">
        <v>128</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2511</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22" t="s">
        <v>2512</v>
      </c>
      <c r="D8" s="23"/>
      <c r="E8" s="191" t="s">
        <v>845</v>
      </c>
      <c r="F8" s="192">
        <v>2</v>
      </c>
      <c r="G8" s="24" t="s">
        <v>2513</v>
      </c>
      <c r="H8" s="24" t="s">
        <v>2514</v>
      </c>
      <c r="I8" s="110">
        <v>1</v>
      </c>
      <c r="J8" s="193" t="s">
        <v>2515</v>
      </c>
      <c r="K8" s="194"/>
      <c r="L8" s="195" t="s">
        <v>1272</v>
      </c>
      <c r="M8" s="194">
        <v>1000</v>
      </c>
      <c r="N8" s="24" t="s">
        <v>2516</v>
      </c>
      <c r="O8" s="24" t="s">
        <v>2514</v>
      </c>
      <c r="P8" s="112"/>
      <c r="Q8" s="112"/>
      <c r="R8" s="114"/>
      <c r="S8" s="134"/>
    </row>
    <row r="9" spans="1:19" s="73" customFormat="1" ht="13.5">
      <c r="B9" s="104">
        <v>2</v>
      </c>
      <c r="C9" s="22" t="s">
        <v>2517</v>
      </c>
      <c r="D9" s="23"/>
      <c r="E9" s="196" t="s">
        <v>2024</v>
      </c>
      <c r="F9" s="197">
        <v>4</v>
      </c>
      <c r="G9" s="26" t="s">
        <v>2518</v>
      </c>
      <c r="H9" s="26" t="s">
        <v>2519</v>
      </c>
      <c r="I9" s="110">
        <v>2</v>
      </c>
      <c r="J9" s="193" t="s">
        <v>2520</v>
      </c>
      <c r="K9" s="194"/>
      <c r="L9" s="195" t="s">
        <v>1272</v>
      </c>
      <c r="M9" s="194">
        <v>1000</v>
      </c>
      <c r="N9" s="26" t="s">
        <v>2521</v>
      </c>
      <c r="O9" s="26" t="s">
        <v>2519</v>
      </c>
      <c r="P9" s="112"/>
      <c r="Q9" s="112"/>
      <c r="R9" s="114"/>
      <c r="S9" s="134"/>
    </row>
    <row r="10" spans="1:19" s="73" customFormat="1" ht="13.5">
      <c r="B10" s="104">
        <v>3</v>
      </c>
      <c r="C10" s="22" t="s">
        <v>1273</v>
      </c>
      <c r="D10" s="23"/>
      <c r="E10" s="191" t="s">
        <v>845</v>
      </c>
      <c r="F10" s="192">
        <v>4</v>
      </c>
      <c r="G10" s="24" t="s">
        <v>2522</v>
      </c>
      <c r="H10" s="24" t="s">
        <v>1599</v>
      </c>
      <c r="I10" s="110">
        <v>3</v>
      </c>
      <c r="J10" s="22" t="s">
        <v>1144</v>
      </c>
      <c r="K10" s="196"/>
      <c r="L10" s="195" t="s">
        <v>1272</v>
      </c>
      <c r="M10" s="194">
        <v>1000</v>
      </c>
      <c r="N10" s="24" t="s">
        <v>1959</v>
      </c>
      <c r="O10" s="24" t="s">
        <v>1599</v>
      </c>
      <c r="P10" s="112"/>
      <c r="Q10" s="112"/>
      <c r="R10" s="114"/>
      <c r="S10" s="134"/>
    </row>
    <row r="11" spans="1:19" s="73" customFormat="1" ht="13.5">
      <c r="B11" s="104">
        <v>4</v>
      </c>
      <c r="C11" s="22" t="s">
        <v>1355</v>
      </c>
      <c r="D11" s="23"/>
      <c r="E11" s="191" t="s">
        <v>845</v>
      </c>
      <c r="F11" s="192">
        <v>1</v>
      </c>
      <c r="G11" s="24" t="s">
        <v>1356</v>
      </c>
      <c r="H11" s="24" t="s">
        <v>1357</v>
      </c>
      <c r="I11" s="110">
        <v>4</v>
      </c>
      <c r="J11" s="22" t="s">
        <v>895</v>
      </c>
      <c r="K11" s="23"/>
      <c r="L11" s="195" t="s">
        <v>1272</v>
      </c>
      <c r="M11" s="194">
        <v>1000</v>
      </c>
      <c r="N11" s="24" t="s">
        <v>1356</v>
      </c>
      <c r="O11" s="24" t="s">
        <v>1357</v>
      </c>
      <c r="P11" s="119"/>
      <c r="Q11" s="119"/>
      <c r="R11" s="108"/>
      <c r="S11" s="134"/>
    </row>
    <row r="12" spans="1:19" s="73" customFormat="1" ht="13.5">
      <c r="B12" s="104">
        <v>5</v>
      </c>
      <c r="C12" s="22" t="s">
        <v>2523</v>
      </c>
      <c r="D12" s="23"/>
      <c r="E12" s="196" t="s">
        <v>845</v>
      </c>
      <c r="F12" s="197">
        <v>31</v>
      </c>
      <c r="G12" s="26" t="s">
        <v>2524</v>
      </c>
      <c r="H12" s="26" t="s">
        <v>2525</v>
      </c>
      <c r="I12" s="110">
        <v>5</v>
      </c>
      <c r="J12" s="22" t="s">
        <v>2526</v>
      </c>
      <c r="K12" s="196"/>
      <c r="L12" s="195" t="s">
        <v>1272</v>
      </c>
      <c r="M12" s="194">
        <v>1000</v>
      </c>
      <c r="N12" s="24" t="s">
        <v>2527</v>
      </c>
      <c r="O12" s="24" t="s">
        <v>2525</v>
      </c>
      <c r="P12" s="119"/>
      <c r="Q12" s="119"/>
      <c r="R12" s="108"/>
      <c r="S12" s="134"/>
    </row>
    <row r="13" spans="1:19" s="73" customFormat="1" ht="13.5">
      <c r="B13" s="104">
        <v>6</v>
      </c>
      <c r="C13" s="22" t="s">
        <v>2528</v>
      </c>
      <c r="D13" s="23"/>
      <c r="E13" s="191" t="s">
        <v>845</v>
      </c>
      <c r="F13" s="192">
        <v>31</v>
      </c>
      <c r="G13" s="24" t="s">
        <v>2524</v>
      </c>
      <c r="H13" s="24" t="s">
        <v>2525</v>
      </c>
      <c r="I13" s="110">
        <v>6</v>
      </c>
      <c r="J13" s="22" t="s">
        <v>2529</v>
      </c>
      <c r="K13" s="196"/>
      <c r="L13" s="195" t="s">
        <v>1272</v>
      </c>
      <c r="M13" s="194">
        <v>1000</v>
      </c>
      <c r="N13" s="24" t="s">
        <v>2530</v>
      </c>
      <c r="O13" s="24" t="s">
        <v>2525</v>
      </c>
      <c r="P13" s="119"/>
      <c r="Q13" s="112"/>
      <c r="R13" s="114"/>
      <c r="S13" s="134"/>
    </row>
    <row r="14" spans="1:19" s="73" customFormat="1" ht="15">
      <c r="B14" s="104">
        <v>7</v>
      </c>
      <c r="C14" s="25" t="s">
        <v>2531</v>
      </c>
      <c r="D14" s="23"/>
      <c r="E14" s="191" t="s">
        <v>845</v>
      </c>
      <c r="F14" s="192">
        <v>31</v>
      </c>
      <c r="G14" s="26" t="s">
        <v>2524</v>
      </c>
      <c r="H14" s="26" t="s">
        <v>2525</v>
      </c>
      <c r="I14" s="110">
        <v>7</v>
      </c>
      <c r="J14" s="22" t="s">
        <v>2532</v>
      </c>
      <c r="K14" s="23"/>
      <c r="L14" s="195" t="s">
        <v>1272</v>
      </c>
      <c r="M14" s="194">
        <v>1000</v>
      </c>
      <c r="N14" s="24" t="s">
        <v>2533</v>
      </c>
      <c r="O14" s="24" t="s">
        <v>2525</v>
      </c>
      <c r="P14" s="119"/>
      <c r="Q14" s="112"/>
      <c r="R14" s="114"/>
      <c r="S14" s="134"/>
    </row>
    <row r="15" spans="1:19" s="73" customFormat="1" ht="15">
      <c r="B15" s="104">
        <v>8</v>
      </c>
      <c r="C15" s="25" t="s">
        <v>2534</v>
      </c>
      <c r="D15" s="23"/>
      <c r="E15" s="191" t="s">
        <v>845</v>
      </c>
      <c r="F15" s="192">
        <v>31</v>
      </c>
      <c r="G15" s="26" t="s">
        <v>2524</v>
      </c>
      <c r="H15" s="26" t="s">
        <v>2525</v>
      </c>
      <c r="I15" s="110">
        <v>8</v>
      </c>
      <c r="J15" s="22" t="s">
        <v>2535</v>
      </c>
      <c r="K15" s="23"/>
      <c r="L15" s="195" t="s">
        <v>1272</v>
      </c>
      <c r="M15" s="194">
        <v>1000</v>
      </c>
      <c r="N15" s="24" t="s">
        <v>2536</v>
      </c>
      <c r="O15" s="24" t="s">
        <v>2525</v>
      </c>
      <c r="P15" s="119"/>
      <c r="Q15" s="112"/>
      <c r="R15" s="114"/>
      <c r="S15" s="134"/>
    </row>
    <row r="16" spans="1:19" s="73" customFormat="1" ht="13.5">
      <c r="B16" s="104">
        <v>9</v>
      </c>
      <c r="C16" s="22" t="s">
        <v>2537</v>
      </c>
      <c r="D16" s="23"/>
      <c r="E16" s="196" t="s">
        <v>845</v>
      </c>
      <c r="F16" s="23">
        <v>31</v>
      </c>
      <c r="G16" s="26" t="s">
        <v>2524</v>
      </c>
      <c r="H16" s="26" t="s">
        <v>2525</v>
      </c>
      <c r="I16" s="110">
        <v>9</v>
      </c>
      <c r="J16" s="22" t="s">
        <v>2538</v>
      </c>
      <c r="K16" s="23"/>
      <c r="L16" s="195" t="s">
        <v>1272</v>
      </c>
      <c r="M16" s="194">
        <v>1000</v>
      </c>
      <c r="N16" s="24" t="s">
        <v>2539</v>
      </c>
      <c r="O16" s="24" t="s">
        <v>2525</v>
      </c>
      <c r="P16" s="119"/>
      <c r="Q16" s="112"/>
      <c r="R16" s="114"/>
      <c r="S16" s="134"/>
    </row>
    <row r="17" spans="2:19" s="73" customFormat="1" ht="13.5">
      <c r="B17" s="104">
        <v>10</v>
      </c>
      <c r="C17" s="22" t="s">
        <v>2540</v>
      </c>
      <c r="D17" s="23"/>
      <c r="E17" s="191" t="s">
        <v>845</v>
      </c>
      <c r="F17" s="192">
        <v>31</v>
      </c>
      <c r="G17" s="24" t="s">
        <v>2524</v>
      </c>
      <c r="H17" s="24" t="s">
        <v>2525</v>
      </c>
      <c r="I17" s="110">
        <v>10</v>
      </c>
      <c r="J17" s="22" t="s">
        <v>2541</v>
      </c>
      <c r="K17" s="198"/>
      <c r="L17" s="195" t="s">
        <v>1272</v>
      </c>
      <c r="M17" s="194">
        <v>1000</v>
      </c>
      <c r="N17" s="24" t="s">
        <v>2542</v>
      </c>
      <c r="O17" s="24" t="s">
        <v>2525</v>
      </c>
      <c r="P17" s="112"/>
      <c r="Q17" s="112"/>
      <c r="R17" s="114"/>
      <c r="S17" s="134"/>
    </row>
    <row r="18" spans="2:19" s="73" customFormat="1" ht="13.5">
      <c r="B18" s="104">
        <v>11</v>
      </c>
      <c r="C18" s="22" t="s">
        <v>2543</v>
      </c>
      <c r="D18" s="23"/>
      <c r="E18" s="191" t="s">
        <v>845</v>
      </c>
      <c r="F18" s="192">
        <v>31</v>
      </c>
      <c r="G18" s="24" t="s">
        <v>2524</v>
      </c>
      <c r="H18" s="24" t="s">
        <v>2525</v>
      </c>
      <c r="I18" s="110">
        <v>11</v>
      </c>
      <c r="J18" s="22" t="s">
        <v>2544</v>
      </c>
      <c r="K18" s="196"/>
      <c r="L18" s="195" t="s">
        <v>1272</v>
      </c>
      <c r="M18" s="194">
        <v>1000</v>
      </c>
      <c r="N18" s="24" t="s">
        <v>2545</v>
      </c>
      <c r="O18" s="24" t="s">
        <v>2525</v>
      </c>
      <c r="P18" s="112"/>
      <c r="Q18" s="112"/>
      <c r="R18" s="114"/>
      <c r="S18" s="134"/>
    </row>
    <row r="19" spans="2:19" s="73" customFormat="1" ht="15">
      <c r="B19" s="104">
        <v>12</v>
      </c>
      <c r="C19" s="25" t="s">
        <v>2546</v>
      </c>
      <c r="D19" s="23"/>
      <c r="E19" s="191" t="s">
        <v>845</v>
      </c>
      <c r="F19" s="192">
        <v>31</v>
      </c>
      <c r="G19" s="26" t="s">
        <v>2524</v>
      </c>
      <c r="H19" s="26" t="s">
        <v>2525</v>
      </c>
      <c r="I19" s="110">
        <v>12</v>
      </c>
      <c r="J19" s="22" t="s">
        <v>2547</v>
      </c>
      <c r="K19" s="23"/>
      <c r="L19" s="195" t="s">
        <v>1272</v>
      </c>
      <c r="M19" s="194">
        <v>1000</v>
      </c>
      <c r="N19" s="24" t="s">
        <v>2548</v>
      </c>
      <c r="O19" s="24" t="s">
        <v>2525</v>
      </c>
      <c r="P19" s="112"/>
      <c r="Q19" s="112"/>
      <c r="R19" s="114"/>
      <c r="S19" s="134"/>
    </row>
    <row r="20" spans="2:19" s="73" customFormat="1" ht="15">
      <c r="B20" s="104">
        <v>13</v>
      </c>
      <c r="C20" s="25" t="s">
        <v>2549</v>
      </c>
      <c r="D20" s="23"/>
      <c r="E20" s="191" t="s">
        <v>845</v>
      </c>
      <c r="F20" s="192">
        <v>31</v>
      </c>
      <c r="G20" s="26" t="s">
        <v>2524</v>
      </c>
      <c r="H20" s="26" t="s">
        <v>2525</v>
      </c>
      <c r="I20" s="110">
        <v>13</v>
      </c>
      <c r="J20" s="22" t="s">
        <v>2550</v>
      </c>
      <c r="K20" s="23"/>
      <c r="L20" s="195" t="s">
        <v>1272</v>
      </c>
      <c r="M20" s="194">
        <v>1000</v>
      </c>
      <c r="N20" s="24" t="s">
        <v>2551</v>
      </c>
      <c r="O20" s="24" t="s">
        <v>2525</v>
      </c>
      <c r="P20" s="112"/>
      <c r="Q20" s="112"/>
      <c r="R20" s="114"/>
      <c r="S20" s="134"/>
    </row>
    <row r="21" spans="2:19" s="73" customFormat="1" ht="13.5">
      <c r="B21" s="104">
        <v>14</v>
      </c>
      <c r="C21" s="22" t="s">
        <v>2552</v>
      </c>
      <c r="D21" s="23"/>
      <c r="E21" s="196" t="s">
        <v>845</v>
      </c>
      <c r="F21" s="23">
        <v>31</v>
      </c>
      <c r="G21" s="26" t="s">
        <v>2524</v>
      </c>
      <c r="H21" s="26" t="s">
        <v>2525</v>
      </c>
      <c r="I21" s="110">
        <v>14</v>
      </c>
      <c r="J21" s="22" t="s">
        <v>2553</v>
      </c>
      <c r="K21" s="23"/>
      <c r="L21" s="195" t="s">
        <v>1272</v>
      </c>
      <c r="M21" s="194">
        <v>1000</v>
      </c>
      <c r="N21" s="24" t="s">
        <v>2554</v>
      </c>
      <c r="O21" s="24" t="s">
        <v>2525</v>
      </c>
      <c r="P21" s="119"/>
      <c r="Q21" s="119"/>
      <c r="R21" s="108"/>
      <c r="S21" s="134"/>
    </row>
    <row r="22" spans="2:19" s="73" customFormat="1" ht="13.5">
      <c r="B22" s="104">
        <v>15</v>
      </c>
      <c r="C22" s="22" t="s">
        <v>2555</v>
      </c>
      <c r="D22" s="23"/>
      <c r="E22" s="191" t="s">
        <v>845</v>
      </c>
      <c r="F22" s="192">
        <v>31</v>
      </c>
      <c r="G22" s="24" t="s">
        <v>2524</v>
      </c>
      <c r="H22" s="24" t="s">
        <v>2525</v>
      </c>
      <c r="I22" s="110">
        <v>15</v>
      </c>
      <c r="J22" s="22" t="s">
        <v>2556</v>
      </c>
      <c r="K22" s="198"/>
      <c r="L22" s="195" t="s">
        <v>1272</v>
      </c>
      <c r="M22" s="194">
        <v>1000</v>
      </c>
      <c r="N22" s="24" t="s">
        <v>2557</v>
      </c>
      <c r="O22" s="24" t="s">
        <v>2525</v>
      </c>
      <c r="P22" s="119"/>
      <c r="Q22" s="119"/>
      <c r="R22" s="108"/>
      <c r="S22" s="134"/>
    </row>
    <row r="23" spans="2:19" s="73" customFormat="1" ht="13.5">
      <c r="B23" s="104">
        <v>16</v>
      </c>
      <c r="C23" s="22" t="s">
        <v>2558</v>
      </c>
      <c r="D23" s="23"/>
      <c r="E23" s="191" t="s">
        <v>845</v>
      </c>
      <c r="F23" s="192">
        <v>31</v>
      </c>
      <c r="G23" s="24" t="s">
        <v>2524</v>
      </c>
      <c r="H23" s="24" t="s">
        <v>2525</v>
      </c>
      <c r="I23" s="110">
        <v>16</v>
      </c>
      <c r="J23" s="22" t="s">
        <v>2559</v>
      </c>
      <c r="K23" s="196"/>
      <c r="L23" s="195" t="s">
        <v>1272</v>
      </c>
      <c r="M23" s="194">
        <v>1000</v>
      </c>
      <c r="N23" s="24" t="s">
        <v>2560</v>
      </c>
      <c r="O23" s="24" t="s">
        <v>2525</v>
      </c>
      <c r="P23" s="119"/>
      <c r="Q23" s="119"/>
      <c r="R23" s="108"/>
      <c r="S23" s="134"/>
    </row>
    <row r="24" spans="2:19" s="73" customFormat="1" ht="13.5">
      <c r="B24" s="104">
        <v>17</v>
      </c>
      <c r="C24" s="22" t="s">
        <v>2561</v>
      </c>
      <c r="D24" s="23"/>
      <c r="E24" s="196" t="s">
        <v>2024</v>
      </c>
      <c r="F24" s="197">
        <v>5</v>
      </c>
      <c r="G24" s="26" t="s">
        <v>2562</v>
      </c>
      <c r="H24" s="26" t="s">
        <v>2563</v>
      </c>
      <c r="I24" s="110">
        <v>17</v>
      </c>
      <c r="J24" s="22" t="s">
        <v>2564</v>
      </c>
      <c r="K24" s="198"/>
      <c r="L24" s="195" t="s">
        <v>1272</v>
      </c>
      <c r="M24" s="194">
        <v>1000</v>
      </c>
      <c r="N24" s="199" t="s">
        <v>2562</v>
      </c>
      <c r="O24" s="199" t="s">
        <v>2563</v>
      </c>
      <c r="P24" s="119"/>
      <c r="Q24" s="119"/>
      <c r="R24" s="108"/>
      <c r="S24" s="134"/>
    </row>
    <row r="25" spans="2:19" s="73" customFormat="1" ht="13.5">
      <c r="B25" s="104">
        <v>18</v>
      </c>
      <c r="C25" s="200" t="s">
        <v>2565</v>
      </c>
      <c r="D25" s="194"/>
      <c r="E25" s="201" t="s">
        <v>2024</v>
      </c>
      <c r="F25" s="202">
        <v>3</v>
      </c>
      <c r="G25" s="200" t="s">
        <v>2566</v>
      </c>
      <c r="H25" s="200" t="s">
        <v>2567</v>
      </c>
      <c r="I25" s="110">
        <v>18</v>
      </c>
      <c r="J25" s="22" t="s">
        <v>2568</v>
      </c>
      <c r="K25" s="198"/>
      <c r="L25" s="195" t="s">
        <v>1272</v>
      </c>
      <c r="M25" s="194">
        <v>1000</v>
      </c>
      <c r="N25" s="199" t="s">
        <v>2566</v>
      </c>
      <c r="O25" s="199" t="s">
        <v>2567</v>
      </c>
      <c r="P25" s="119"/>
      <c r="Q25" s="119"/>
      <c r="R25" s="108"/>
      <c r="S25" s="134"/>
    </row>
    <row r="26" spans="2:19" s="73" customFormat="1" ht="13.5">
      <c r="B26" s="104">
        <v>19</v>
      </c>
      <c r="C26" s="203" t="s">
        <v>2569</v>
      </c>
      <c r="D26" s="23"/>
      <c r="E26" s="191" t="s">
        <v>2024</v>
      </c>
      <c r="F26" s="202">
        <v>3</v>
      </c>
      <c r="G26" s="26" t="s">
        <v>2570</v>
      </c>
      <c r="H26" s="26" t="s">
        <v>2571</v>
      </c>
      <c r="I26" s="110">
        <v>19</v>
      </c>
      <c r="J26" s="22" t="s">
        <v>2572</v>
      </c>
      <c r="K26" s="196"/>
      <c r="L26" s="195" t="s">
        <v>1272</v>
      </c>
      <c r="M26" s="194">
        <v>1000</v>
      </c>
      <c r="N26" s="24" t="s">
        <v>2573</v>
      </c>
      <c r="O26" s="24" t="s">
        <v>2571</v>
      </c>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1078"/>
      <c r="E43" s="1079"/>
      <c r="F43" s="1079"/>
      <c r="G43" s="1079"/>
      <c r="H43" s="1079"/>
      <c r="I43" s="1079"/>
      <c r="J43" s="1079"/>
      <c r="K43" s="1079"/>
      <c r="L43" s="1079"/>
      <c r="M43" s="1079"/>
      <c r="N43" s="1079"/>
      <c r="O43" s="1079"/>
      <c r="P43" s="1079"/>
      <c r="Q43" s="1079"/>
      <c r="R43" s="1079"/>
      <c r="S43" s="1080"/>
    </row>
    <row r="44" spans="2:19" ht="24.75" customHeight="1">
      <c r="B44" s="1008" t="s">
        <v>1038</v>
      </c>
      <c r="C44" s="1009"/>
      <c r="D44" s="1081"/>
      <c r="E44" s="1082"/>
      <c r="F44" s="1082"/>
      <c r="G44" s="1082"/>
      <c r="H44" s="1082"/>
      <c r="I44" s="1082"/>
      <c r="J44" s="1082"/>
      <c r="K44" s="1082"/>
      <c r="L44" s="1082"/>
      <c r="M44" s="1082"/>
      <c r="N44" s="1082"/>
      <c r="O44" s="1082"/>
      <c r="P44" s="1082"/>
      <c r="Q44" s="1082"/>
      <c r="R44" s="1082"/>
      <c r="S44" s="1083"/>
    </row>
    <row r="45" spans="2:19" ht="18.75" customHeight="1">
      <c r="B45" s="75"/>
      <c r="C45" s="75"/>
      <c r="D45" s="5"/>
      <c r="E45" s="5"/>
      <c r="F45" s="5"/>
      <c r="G45" s="5"/>
      <c r="H45" s="5"/>
      <c r="I45" s="5"/>
      <c r="J45" s="5"/>
      <c r="K45" s="5"/>
      <c r="L45" s="5"/>
      <c r="M45" s="5"/>
      <c r="N45" s="5"/>
      <c r="O45" s="5"/>
      <c r="P45" s="5"/>
      <c r="Q45" s="5"/>
      <c r="R45" s="5"/>
      <c r="S45" s="5"/>
    </row>
    <row r="46" spans="2:19" ht="18.75" customHeight="1">
      <c r="B46" s="51" t="s">
        <v>1045</v>
      </c>
      <c r="C46" s="73"/>
      <c r="D46" s="4"/>
      <c r="E46" s="4"/>
      <c r="F46" s="4"/>
      <c r="G46" s="4"/>
      <c r="H46" s="4"/>
      <c r="I46" s="4"/>
      <c r="J46" s="4"/>
      <c r="K46" s="4"/>
      <c r="L46" s="4"/>
      <c r="M46" s="4"/>
      <c r="N46" s="5"/>
      <c r="O46" s="5"/>
      <c r="P46" s="4"/>
      <c r="Q46" s="5"/>
      <c r="R46" s="5"/>
      <c r="S46" s="4"/>
    </row>
    <row r="47" spans="2:19" ht="140.44999999999999" customHeight="1">
      <c r="B47" s="1014" t="s">
        <v>1049</v>
      </c>
      <c r="C47" s="1014"/>
      <c r="D47" s="1085"/>
      <c r="E47" s="1084"/>
      <c r="F47" s="1084"/>
      <c r="G47" s="1084"/>
      <c r="H47" s="1084"/>
      <c r="I47" s="1084"/>
      <c r="J47" s="1084"/>
      <c r="K47" s="1084"/>
      <c r="L47" s="1084"/>
      <c r="M47" s="1084"/>
      <c r="N47" s="1084"/>
      <c r="O47" s="1084"/>
      <c r="P47" s="1084"/>
      <c r="Q47" s="1084"/>
      <c r="R47" s="1084"/>
      <c r="S47" s="1084"/>
    </row>
    <row r="48" spans="2:19" ht="33" customHeight="1">
      <c r="B48" s="976" t="s">
        <v>1053</v>
      </c>
      <c r="C48" s="976"/>
      <c r="D48" s="1084"/>
      <c r="E48" s="1084"/>
      <c r="F48" s="1084"/>
      <c r="G48" s="1084"/>
      <c r="H48" s="1084"/>
      <c r="I48" s="1084"/>
      <c r="J48" s="1084"/>
      <c r="K48" s="1084"/>
      <c r="L48" s="1084"/>
      <c r="M48" s="1084"/>
      <c r="N48" s="1084"/>
      <c r="O48" s="1084"/>
      <c r="P48" s="1084"/>
      <c r="Q48" s="1084"/>
      <c r="R48" s="1084"/>
      <c r="S48" s="1084"/>
    </row>
    <row r="49" spans="2:19" ht="71.25" customHeight="1">
      <c r="B49" s="976" t="s">
        <v>1057</v>
      </c>
      <c r="C49" s="976"/>
      <c r="D49" s="1084"/>
      <c r="E49" s="1084"/>
      <c r="F49" s="1084"/>
      <c r="G49" s="1084"/>
      <c r="H49" s="1084"/>
      <c r="I49" s="1084"/>
      <c r="J49" s="1084"/>
      <c r="K49" s="1084"/>
      <c r="L49" s="1084"/>
      <c r="M49" s="1084"/>
      <c r="N49" s="1084"/>
      <c r="O49" s="1084"/>
      <c r="P49" s="1084"/>
      <c r="Q49" s="1084"/>
      <c r="R49" s="1084"/>
      <c r="S49" s="1084"/>
    </row>
    <row r="50" spans="2:19" ht="38.25" customHeight="1">
      <c r="B50" s="976" t="s">
        <v>1061</v>
      </c>
      <c r="C50" s="976"/>
      <c r="D50" s="1084"/>
      <c r="E50" s="1084"/>
      <c r="F50" s="1084"/>
      <c r="G50" s="1084"/>
      <c r="H50" s="1084"/>
      <c r="I50" s="1084"/>
      <c r="J50" s="1084"/>
      <c r="K50" s="1084"/>
      <c r="L50" s="1084"/>
      <c r="M50" s="1084"/>
      <c r="N50" s="1084"/>
      <c r="O50" s="1084"/>
      <c r="P50" s="1084"/>
      <c r="Q50" s="1084"/>
      <c r="R50" s="1084"/>
      <c r="S50" s="1084"/>
    </row>
    <row r="51" spans="2:19" s="73" customFormat="1" ht="15" customHeight="1"/>
    <row r="52" spans="2:19" s="50" customFormat="1" ht="19.5" customHeight="1">
      <c r="B52" s="50" t="s">
        <v>2442</v>
      </c>
      <c r="C52" s="21"/>
      <c r="D52" s="20"/>
      <c r="E52" s="20"/>
      <c r="F52" s="20"/>
      <c r="G52" s="20"/>
      <c r="H52" s="20"/>
      <c r="I52" s="20"/>
      <c r="J52" s="20"/>
      <c r="K52" s="20"/>
      <c r="L52" s="20"/>
      <c r="M52" s="20"/>
      <c r="N52" s="20"/>
      <c r="O52" s="21"/>
      <c r="P52" s="21"/>
      <c r="Q52" s="20"/>
      <c r="R52" s="21"/>
      <c r="S52" s="21"/>
    </row>
    <row r="53" spans="2:19" s="50" customFormat="1" ht="19.5" customHeight="1">
      <c r="B53" s="50" t="s">
        <v>2443</v>
      </c>
      <c r="C53" s="21"/>
      <c r="D53" s="20"/>
      <c r="E53" s="20"/>
      <c r="F53" s="20"/>
      <c r="G53" s="20"/>
      <c r="H53" s="20"/>
      <c r="I53" s="20"/>
      <c r="J53" s="20"/>
      <c r="K53" s="20"/>
      <c r="L53" s="20"/>
      <c r="M53" s="20"/>
      <c r="N53" s="20"/>
      <c r="O53" s="21"/>
      <c r="P53" s="21"/>
      <c r="Q53" s="20"/>
      <c r="R53" s="21"/>
      <c r="S53" s="21"/>
    </row>
    <row r="54" spans="2:19" s="50" customFormat="1" ht="19.5" customHeight="1">
      <c r="B54" s="50" t="s">
        <v>2444</v>
      </c>
      <c r="C54" s="21"/>
      <c r="D54" s="20"/>
      <c r="E54" s="20"/>
      <c r="F54" s="20"/>
      <c r="G54" s="20"/>
      <c r="H54" s="20"/>
      <c r="I54" s="20"/>
      <c r="J54" s="20"/>
      <c r="K54" s="20"/>
      <c r="L54" s="20"/>
      <c r="M54" s="20"/>
      <c r="N54" s="20"/>
      <c r="O54" s="21"/>
      <c r="P54" s="21"/>
      <c r="Q54" s="20"/>
      <c r="R54" s="21"/>
      <c r="S54" s="21"/>
    </row>
    <row r="55" spans="2:19" s="50" customFormat="1" ht="19.5" customHeight="1">
      <c r="B55" s="50" t="s">
        <v>2445</v>
      </c>
      <c r="C55" s="21"/>
      <c r="D55" s="20"/>
      <c r="E55" s="20"/>
      <c r="F55" s="20"/>
      <c r="G55" s="20"/>
      <c r="H55" s="20"/>
      <c r="I55" s="20"/>
      <c r="J55" s="20"/>
      <c r="K55" s="20"/>
      <c r="L55" s="20"/>
      <c r="M55" s="20"/>
      <c r="N55" s="20"/>
      <c r="O55" s="21"/>
      <c r="P55" s="21"/>
      <c r="Q55" s="20"/>
      <c r="R55" s="21"/>
      <c r="S55" s="21"/>
    </row>
    <row r="56" spans="2:19" s="50" customFormat="1" ht="19.5" customHeight="1">
      <c r="B56" s="50" t="s">
        <v>2446</v>
      </c>
      <c r="C56" s="21"/>
      <c r="D56" s="20"/>
      <c r="E56" s="20"/>
      <c r="F56" s="20"/>
      <c r="G56" s="20"/>
      <c r="H56" s="20"/>
      <c r="I56" s="20"/>
      <c r="J56" s="20"/>
      <c r="K56" s="20"/>
      <c r="L56" s="20"/>
      <c r="M56" s="20"/>
      <c r="N56" s="20"/>
      <c r="O56" s="21"/>
      <c r="P56" s="21"/>
      <c r="Q56" s="20"/>
      <c r="R56" s="21"/>
      <c r="S56" s="21"/>
    </row>
    <row r="57" spans="2:19" s="50" customFormat="1" ht="19.5" customHeight="1">
      <c r="B57" s="50" t="s">
        <v>2447</v>
      </c>
    </row>
    <row r="58" spans="2:19" s="50" customFormat="1" ht="19.5" customHeight="1">
      <c r="B58" s="50" t="s">
        <v>2448</v>
      </c>
    </row>
    <row r="59" spans="2:19" s="50" customFormat="1" ht="19.5" customHeight="1">
      <c r="B59" s="50" t="s">
        <v>2449</v>
      </c>
    </row>
    <row r="60" spans="2:19" s="50" customFormat="1" ht="19.5" customHeight="1">
      <c r="B60" s="50" t="s">
        <v>2450</v>
      </c>
    </row>
    <row r="61" spans="2:19" s="50" customFormat="1" ht="15" customHeight="1"/>
    <row r="62" spans="2:19" s="50" customFormat="1" ht="15" customHeight="1"/>
    <row r="63" spans="2:19" customFormat="1" ht="1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s="73" customFormat="1" ht="15" customHeight="1"/>
    <row r="82" s="73" customFormat="1" ht="15" customHeight="1"/>
    <row r="83" s="73" customFormat="1" ht="15" customHeight="1"/>
    <row r="84" s="73" customFormat="1" ht="15" customHeight="1"/>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006C83B1-6F94-48C1-A37B-49ED5A536B27}"/>
  </hyperlinks>
  <pageMargins left="0.7" right="0.7" top="0.75" bottom="0.75" header="0.3" footer="0.3"/>
  <customProperties>
    <customPr name="_pios_id" r:id="rId1"/>
  </customPropertie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12626-3A93-4A02-9BDB-853BDADF57B2}">
  <sheetPr>
    <tabColor theme="9" tint="0.79998168889431442"/>
  </sheetPr>
  <dimension ref="A1:S84"/>
  <sheetViews>
    <sheetView showGridLines="0" zoomScaleNormal="100" workbookViewId="0"/>
  </sheetViews>
  <sheetFormatPr defaultColWidth="12.625" defaultRowHeight="16.5"/>
  <cols>
    <col min="1" max="1" width="2.125" style="69" customWidth="1"/>
    <col min="2" max="2" width="5.125" style="69" customWidth="1"/>
    <col min="3" max="3" width="20"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2574</v>
      </c>
      <c r="C2" s="993"/>
      <c r="D2" s="993"/>
      <c r="E2" s="993"/>
      <c r="F2" s="993"/>
      <c r="G2" s="993"/>
      <c r="H2" s="993"/>
      <c r="I2" s="994"/>
      <c r="J2" s="70" t="s">
        <v>816</v>
      </c>
      <c r="K2" s="998" t="s">
        <v>2575</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ht="26.25" customHeight="1">
      <c r="B5" s="979" t="s">
        <v>2576</v>
      </c>
      <c r="C5" s="980"/>
      <c r="D5" s="980"/>
      <c r="E5" s="980"/>
      <c r="F5" s="980"/>
      <c r="G5" s="980"/>
      <c r="H5" s="981"/>
      <c r="I5" s="982" t="s">
        <v>1390</v>
      </c>
      <c r="J5" s="980"/>
      <c r="K5" s="980"/>
      <c r="L5" s="980"/>
      <c r="M5" s="980"/>
      <c r="N5" s="980"/>
      <c r="O5" s="980"/>
      <c r="P5" s="980"/>
      <c r="Q5" s="980"/>
      <c r="R5" s="983" t="s">
        <v>825</v>
      </c>
      <c r="S5" s="985" t="s">
        <v>826</v>
      </c>
    </row>
    <row r="6" spans="1:19" ht="24" customHeight="1">
      <c r="B6" s="78" t="s">
        <v>828</v>
      </c>
      <c r="C6" s="987"/>
      <c r="D6" s="984"/>
      <c r="E6" s="984"/>
      <c r="F6" s="984"/>
      <c r="G6" s="984"/>
      <c r="H6" s="986"/>
      <c r="I6" s="102" t="s">
        <v>829</v>
      </c>
      <c r="J6" s="988"/>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22" t="s">
        <v>2577</v>
      </c>
      <c r="D8" s="23"/>
      <c r="E8" s="22" t="s">
        <v>845</v>
      </c>
      <c r="F8" s="23"/>
      <c r="G8" s="24" t="s">
        <v>2578</v>
      </c>
      <c r="H8" s="24"/>
      <c r="I8" s="110">
        <v>1</v>
      </c>
      <c r="J8" s="117" t="s">
        <v>2577</v>
      </c>
      <c r="K8" s="119"/>
      <c r="L8" s="113" t="s">
        <v>2579</v>
      </c>
      <c r="M8" s="112">
        <v>1000</v>
      </c>
      <c r="N8" s="114" t="s">
        <v>2580</v>
      </c>
      <c r="O8" s="114"/>
      <c r="P8" s="112"/>
      <c r="Q8" s="112"/>
      <c r="R8" s="114"/>
      <c r="S8" s="134"/>
    </row>
    <row r="9" spans="1:19" s="73" customFormat="1" ht="13.5">
      <c r="B9" s="104">
        <v>2</v>
      </c>
      <c r="C9" s="22" t="s">
        <v>2581</v>
      </c>
      <c r="D9" s="23"/>
      <c r="E9" s="22" t="s">
        <v>845</v>
      </c>
      <c r="F9" s="23"/>
      <c r="G9" s="24" t="s">
        <v>2582</v>
      </c>
      <c r="H9" s="24" t="s">
        <v>2583</v>
      </c>
      <c r="I9" s="110">
        <v>2</v>
      </c>
      <c r="J9" s="117" t="s">
        <v>2581</v>
      </c>
      <c r="K9" s="119"/>
      <c r="L9" s="113" t="s">
        <v>2579</v>
      </c>
      <c r="M9" s="112">
        <v>1000</v>
      </c>
      <c r="N9" s="114" t="s">
        <v>2454</v>
      </c>
      <c r="O9" s="114" t="s">
        <v>2584</v>
      </c>
      <c r="P9" s="112"/>
      <c r="Q9" s="112"/>
      <c r="R9" s="114"/>
      <c r="S9" s="134"/>
    </row>
    <row r="10" spans="1:19" s="73" customFormat="1" ht="13.5">
      <c r="B10" s="104">
        <v>3</v>
      </c>
      <c r="C10" s="22" t="s">
        <v>2585</v>
      </c>
      <c r="D10" s="23"/>
      <c r="E10" s="22" t="s">
        <v>845</v>
      </c>
      <c r="F10" s="23"/>
      <c r="G10" s="24" t="s">
        <v>2586</v>
      </c>
      <c r="H10" s="24" t="s">
        <v>2587</v>
      </c>
      <c r="I10" s="110">
        <v>3</v>
      </c>
      <c r="J10" s="118" t="s">
        <v>2585</v>
      </c>
      <c r="K10" s="119"/>
      <c r="L10" s="113" t="s">
        <v>2579</v>
      </c>
      <c r="M10" s="112">
        <v>1000</v>
      </c>
      <c r="N10" s="108" t="s">
        <v>2588</v>
      </c>
      <c r="O10" s="108" t="s">
        <v>2589</v>
      </c>
      <c r="P10" s="112"/>
      <c r="Q10" s="112"/>
      <c r="R10" s="114"/>
      <c r="S10" s="134"/>
    </row>
    <row r="11" spans="1:19" s="73" customFormat="1" ht="13.5">
      <c r="B11" s="104">
        <v>4</v>
      </c>
      <c r="C11" s="22" t="s">
        <v>2590</v>
      </c>
      <c r="D11" s="23"/>
      <c r="E11" s="22" t="s">
        <v>845</v>
      </c>
      <c r="F11" s="23"/>
      <c r="G11" s="24" t="s">
        <v>2591</v>
      </c>
      <c r="H11" s="24"/>
      <c r="I11" s="110">
        <v>4</v>
      </c>
      <c r="J11" s="118" t="s">
        <v>2590</v>
      </c>
      <c r="K11" s="119"/>
      <c r="L11" s="113" t="s">
        <v>2579</v>
      </c>
      <c r="M11" s="112">
        <v>1000</v>
      </c>
      <c r="N11" s="108" t="s">
        <v>2592</v>
      </c>
      <c r="O11" s="108"/>
      <c r="P11" s="119"/>
      <c r="Q11" s="119"/>
      <c r="R11" s="108"/>
      <c r="S11" s="134"/>
    </row>
    <row r="12" spans="1:19" s="73" customFormat="1" ht="13.5">
      <c r="B12" s="104">
        <v>5</v>
      </c>
      <c r="C12" s="22" t="s">
        <v>2593</v>
      </c>
      <c r="D12" s="23"/>
      <c r="E12" s="22" t="s">
        <v>845</v>
      </c>
      <c r="F12" s="23"/>
      <c r="G12" s="24" t="s">
        <v>2594</v>
      </c>
      <c r="H12" s="24" t="s">
        <v>2595</v>
      </c>
      <c r="I12" s="110">
        <v>5</v>
      </c>
      <c r="J12" s="118" t="s">
        <v>2593</v>
      </c>
      <c r="K12" s="119"/>
      <c r="L12" s="113" t="s">
        <v>2579</v>
      </c>
      <c r="M12" s="112">
        <v>1000</v>
      </c>
      <c r="N12" s="108" t="s">
        <v>2596</v>
      </c>
      <c r="O12" s="108" t="s">
        <v>2597</v>
      </c>
      <c r="P12" s="119"/>
      <c r="Q12" s="119"/>
      <c r="R12" s="108"/>
      <c r="S12" s="134"/>
    </row>
    <row r="13" spans="1:19" s="73" customFormat="1" ht="13.5">
      <c r="B13" s="104">
        <v>6</v>
      </c>
      <c r="C13" s="22" t="s">
        <v>2598</v>
      </c>
      <c r="D13" s="23"/>
      <c r="E13" s="22" t="s">
        <v>845</v>
      </c>
      <c r="F13" s="23"/>
      <c r="G13" s="24" t="s">
        <v>2599</v>
      </c>
      <c r="H13" s="24"/>
      <c r="I13" s="110">
        <v>6</v>
      </c>
      <c r="J13" s="118" t="s">
        <v>2598</v>
      </c>
      <c r="K13" s="106"/>
      <c r="L13" s="113" t="s">
        <v>2579</v>
      </c>
      <c r="M13" s="112">
        <v>1000</v>
      </c>
      <c r="N13" s="108" t="s">
        <v>2456</v>
      </c>
      <c r="O13" s="108"/>
      <c r="P13" s="119"/>
      <c r="Q13" s="112"/>
      <c r="R13" s="114"/>
      <c r="S13" s="134"/>
    </row>
    <row r="14" spans="1:19" s="73" customFormat="1" ht="15">
      <c r="B14" s="104">
        <v>7</v>
      </c>
      <c r="C14" s="25" t="s">
        <v>2600</v>
      </c>
      <c r="D14" s="23"/>
      <c r="E14" s="25" t="s">
        <v>845</v>
      </c>
      <c r="F14" s="27"/>
      <c r="G14" s="26" t="s">
        <v>2601</v>
      </c>
      <c r="H14" s="26"/>
      <c r="I14" s="110">
        <v>7</v>
      </c>
      <c r="J14" s="118" t="s">
        <v>2600</v>
      </c>
      <c r="K14" s="106"/>
      <c r="L14" s="113" t="s">
        <v>2579</v>
      </c>
      <c r="M14" s="112">
        <v>1000</v>
      </c>
      <c r="N14" s="108" t="s">
        <v>2602</v>
      </c>
      <c r="O14" s="108"/>
      <c r="P14" s="119"/>
      <c r="Q14" s="112"/>
      <c r="R14" s="114"/>
      <c r="S14" s="134"/>
    </row>
    <row r="15" spans="1:19" s="73" customFormat="1" ht="13.5">
      <c r="B15" s="104">
        <v>8</v>
      </c>
      <c r="C15" s="22" t="s">
        <v>2603</v>
      </c>
      <c r="D15" s="23"/>
      <c r="E15" s="22" t="s">
        <v>845</v>
      </c>
      <c r="F15" s="23"/>
      <c r="G15" s="264" t="s">
        <v>1871</v>
      </c>
      <c r="H15" s="264" t="s">
        <v>2604</v>
      </c>
      <c r="I15" s="110">
        <v>8</v>
      </c>
      <c r="J15" s="118" t="s">
        <v>2605</v>
      </c>
      <c r="K15" s="106"/>
      <c r="L15" s="113" t="s">
        <v>2579</v>
      </c>
      <c r="M15" s="112">
        <v>1000</v>
      </c>
      <c r="N15" s="108" t="s">
        <v>1675</v>
      </c>
      <c r="O15" s="108" t="s">
        <v>2606</v>
      </c>
      <c r="P15" s="119"/>
      <c r="Q15" s="112"/>
      <c r="R15" s="114"/>
      <c r="S15" s="134"/>
    </row>
    <row r="16" spans="1:19" s="73" customFormat="1" ht="13.5">
      <c r="B16" s="104">
        <v>9</v>
      </c>
      <c r="C16" s="22" t="s">
        <v>2607</v>
      </c>
      <c r="D16" s="23"/>
      <c r="E16" s="22" t="s">
        <v>845</v>
      </c>
      <c r="F16" s="23"/>
      <c r="G16" s="24" t="s">
        <v>2608</v>
      </c>
      <c r="H16" s="24"/>
      <c r="I16" s="110">
        <v>9</v>
      </c>
      <c r="J16" s="118" t="s">
        <v>2607</v>
      </c>
      <c r="K16" s="106"/>
      <c r="L16" s="113" t="s">
        <v>2579</v>
      </c>
      <c r="M16" s="112">
        <v>1000</v>
      </c>
      <c r="N16" s="108" t="s">
        <v>2609</v>
      </c>
      <c r="O16" s="108"/>
      <c r="P16" s="119"/>
      <c r="Q16" s="112"/>
      <c r="R16" s="114"/>
      <c r="S16" s="134"/>
    </row>
    <row r="17" spans="2:19" s="73" customFormat="1" ht="13.5">
      <c r="B17" s="104">
        <v>10</v>
      </c>
      <c r="C17" s="22" t="s">
        <v>2610</v>
      </c>
      <c r="D17" s="23"/>
      <c r="E17" s="22" t="s">
        <v>845</v>
      </c>
      <c r="F17" s="23"/>
      <c r="G17" s="24" t="s">
        <v>2611</v>
      </c>
      <c r="H17" s="24"/>
      <c r="I17" s="110">
        <v>10</v>
      </c>
      <c r="J17" s="117" t="s">
        <v>2610</v>
      </c>
      <c r="K17" s="120"/>
      <c r="L17" s="113" t="s">
        <v>2579</v>
      </c>
      <c r="M17" s="112">
        <v>1000</v>
      </c>
      <c r="N17" s="108" t="s">
        <v>2612</v>
      </c>
      <c r="O17" s="108"/>
      <c r="P17" s="112"/>
      <c r="Q17" s="112"/>
      <c r="R17" s="114"/>
      <c r="S17" s="134"/>
    </row>
    <row r="18" spans="2:19" s="73" customFormat="1" ht="13.5">
      <c r="B18" s="104">
        <v>11</v>
      </c>
      <c r="C18" s="22" t="s">
        <v>880</v>
      </c>
      <c r="D18" s="23"/>
      <c r="E18" s="22" t="s">
        <v>845</v>
      </c>
      <c r="F18" s="23"/>
      <c r="G18" s="24" t="s">
        <v>2613</v>
      </c>
      <c r="H18" s="24"/>
      <c r="I18" s="110">
        <v>11</v>
      </c>
      <c r="J18" s="117" t="s">
        <v>880</v>
      </c>
      <c r="K18" s="112"/>
      <c r="L18" s="113" t="s">
        <v>2579</v>
      </c>
      <c r="M18" s="112">
        <v>1000</v>
      </c>
      <c r="N18" s="114" t="s">
        <v>882</v>
      </c>
      <c r="O18" s="114"/>
      <c r="P18" s="112"/>
      <c r="Q18" s="112"/>
      <c r="R18" s="114"/>
      <c r="S18" s="134"/>
    </row>
    <row r="19" spans="2:19" s="73" customFormat="1" ht="13.5">
      <c r="B19" s="104">
        <v>12</v>
      </c>
      <c r="C19" s="22" t="s">
        <v>2614</v>
      </c>
      <c r="D19" s="23"/>
      <c r="E19" s="22" t="s">
        <v>845</v>
      </c>
      <c r="F19" s="23"/>
      <c r="G19" s="24" t="s">
        <v>2615</v>
      </c>
      <c r="H19" s="24"/>
      <c r="I19" s="110">
        <v>12</v>
      </c>
      <c r="J19" s="117" t="s">
        <v>2614</v>
      </c>
      <c r="K19" s="120"/>
      <c r="L19" s="113" t="s">
        <v>2579</v>
      </c>
      <c r="M19" s="112">
        <v>1000</v>
      </c>
      <c r="N19" s="114" t="s">
        <v>2616</v>
      </c>
      <c r="O19" s="114"/>
      <c r="P19" s="112"/>
      <c r="Q19" s="112"/>
      <c r="R19" s="114"/>
      <c r="S19" s="134"/>
    </row>
    <row r="20" spans="2:19" s="73" customFormat="1" ht="13.5">
      <c r="B20" s="104">
        <v>13</v>
      </c>
      <c r="C20" s="22" t="s">
        <v>2617</v>
      </c>
      <c r="D20" s="23"/>
      <c r="E20" s="22" t="s">
        <v>845</v>
      </c>
      <c r="F20" s="23"/>
      <c r="G20" s="24" t="s">
        <v>2618</v>
      </c>
      <c r="H20" s="24"/>
      <c r="I20" s="110">
        <v>13</v>
      </c>
      <c r="J20" s="117" t="s">
        <v>2617</v>
      </c>
      <c r="K20" s="120"/>
      <c r="L20" s="113" t="s">
        <v>2579</v>
      </c>
      <c r="M20" s="112">
        <v>1000</v>
      </c>
      <c r="N20" s="114" t="s">
        <v>2619</v>
      </c>
      <c r="O20" s="114"/>
      <c r="P20" s="112"/>
      <c r="Q20" s="112"/>
      <c r="R20" s="114"/>
      <c r="S20" s="134"/>
    </row>
    <row r="21" spans="2:19" s="73" customFormat="1" ht="15">
      <c r="B21" s="104">
        <v>14</v>
      </c>
      <c r="C21" s="25" t="s">
        <v>1034</v>
      </c>
      <c r="D21" s="23"/>
      <c r="E21" s="25" t="s">
        <v>845</v>
      </c>
      <c r="F21" s="27"/>
      <c r="G21" s="26" t="s">
        <v>2620</v>
      </c>
      <c r="H21" s="26"/>
      <c r="I21" s="110">
        <v>14</v>
      </c>
      <c r="J21" s="118" t="s">
        <v>1034</v>
      </c>
      <c r="K21" s="119"/>
      <c r="L21" s="113" t="s">
        <v>2579</v>
      </c>
      <c r="M21" s="112">
        <v>1000</v>
      </c>
      <c r="N21" s="108" t="s">
        <v>1036</v>
      </c>
      <c r="O21" s="108"/>
      <c r="P21" s="119"/>
      <c r="Q21" s="119"/>
      <c r="R21" s="108"/>
      <c r="S21" s="134"/>
    </row>
    <row r="22" spans="2:19" s="73" customFormat="1" ht="13.5">
      <c r="B22" s="104">
        <v>15</v>
      </c>
      <c r="C22" s="22" t="s">
        <v>848</v>
      </c>
      <c r="D22" s="23"/>
      <c r="E22" s="22" t="s">
        <v>845</v>
      </c>
      <c r="F22" s="23"/>
      <c r="G22" s="24" t="s">
        <v>2621</v>
      </c>
      <c r="H22" s="24"/>
      <c r="I22" s="110">
        <v>15</v>
      </c>
      <c r="J22" s="118" t="s">
        <v>848</v>
      </c>
      <c r="K22" s="119"/>
      <c r="L22" s="113" t="s">
        <v>2579</v>
      </c>
      <c r="M22" s="112">
        <v>1000</v>
      </c>
      <c r="N22" s="108" t="s">
        <v>850</v>
      </c>
      <c r="O22" s="108"/>
      <c r="P22" s="119"/>
      <c r="Q22" s="119"/>
      <c r="R22" s="108"/>
      <c r="S22" s="134"/>
    </row>
    <row r="23" spans="2:19" s="73" customFormat="1" ht="13.5">
      <c r="B23" s="104">
        <v>16</v>
      </c>
      <c r="C23" s="22" t="s">
        <v>2622</v>
      </c>
      <c r="D23" s="23"/>
      <c r="E23" s="22" t="s">
        <v>845</v>
      </c>
      <c r="F23" s="23"/>
      <c r="G23" s="24" t="s">
        <v>2623</v>
      </c>
      <c r="H23" s="24"/>
      <c r="I23" s="110">
        <v>16</v>
      </c>
      <c r="J23" s="105" t="s">
        <v>2622</v>
      </c>
      <c r="K23" s="119"/>
      <c r="L23" s="113" t="s">
        <v>2579</v>
      </c>
      <c r="M23" s="112">
        <v>1000</v>
      </c>
      <c r="N23" s="114" t="s">
        <v>2624</v>
      </c>
      <c r="O23" s="114"/>
      <c r="P23" s="119"/>
      <c r="Q23" s="119"/>
      <c r="R23" s="108"/>
      <c r="S23" s="134"/>
    </row>
    <row r="24" spans="2:19" s="73" customFormat="1" ht="13.5">
      <c r="B24" s="104">
        <v>17</v>
      </c>
      <c r="C24" s="22" t="s">
        <v>2625</v>
      </c>
      <c r="D24" s="23"/>
      <c r="E24" s="22" t="s">
        <v>845</v>
      </c>
      <c r="F24" s="23"/>
      <c r="G24" s="24" t="s">
        <v>2626</v>
      </c>
      <c r="H24" s="24"/>
      <c r="I24" s="110">
        <v>17</v>
      </c>
      <c r="J24" s="105" t="s">
        <v>2625</v>
      </c>
      <c r="K24" s="119"/>
      <c r="L24" s="113" t="s">
        <v>2579</v>
      </c>
      <c r="M24" s="112">
        <v>1000</v>
      </c>
      <c r="N24" s="114" t="s">
        <v>2329</v>
      </c>
      <c r="O24" s="114"/>
      <c r="P24" s="119"/>
      <c r="Q24" s="119"/>
      <c r="R24" s="108"/>
      <c r="S24" s="134"/>
    </row>
    <row r="25" spans="2:19" s="73" customFormat="1" ht="13.5">
      <c r="B25" s="104">
        <v>18</v>
      </c>
      <c r="C25" s="22" t="s">
        <v>2627</v>
      </c>
      <c r="D25" s="23"/>
      <c r="E25" s="22" t="s">
        <v>845</v>
      </c>
      <c r="F25" s="23"/>
      <c r="G25" s="24" t="s">
        <v>2628</v>
      </c>
      <c r="H25" s="24" t="s">
        <v>2629</v>
      </c>
      <c r="I25" s="110">
        <v>18</v>
      </c>
      <c r="J25" s="105" t="s">
        <v>2627</v>
      </c>
      <c r="K25" s="119"/>
      <c r="L25" s="113" t="s">
        <v>2579</v>
      </c>
      <c r="M25" s="112">
        <v>1000</v>
      </c>
      <c r="N25" s="114" t="s">
        <v>2630</v>
      </c>
      <c r="O25" s="114" t="s">
        <v>2631</v>
      </c>
      <c r="P25" s="119"/>
      <c r="Q25" s="119"/>
      <c r="R25" s="108"/>
      <c r="S25" s="134"/>
    </row>
    <row r="26" spans="2:19" s="73" customFormat="1" ht="13.5">
      <c r="B26" s="104">
        <v>19</v>
      </c>
      <c r="C26" s="22" t="s">
        <v>2632</v>
      </c>
      <c r="D26" s="23"/>
      <c r="E26" s="22" t="s">
        <v>845</v>
      </c>
      <c r="F26" s="23"/>
      <c r="G26" s="24" t="s">
        <v>2633</v>
      </c>
      <c r="H26" s="24"/>
      <c r="I26" s="110">
        <v>19</v>
      </c>
      <c r="J26" s="105" t="s">
        <v>2632</v>
      </c>
      <c r="K26" s="119"/>
      <c r="L26" s="113" t="s">
        <v>2579</v>
      </c>
      <c r="M26" s="112">
        <v>1000</v>
      </c>
      <c r="N26" s="114" t="s">
        <v>2634</v>
      </c>
      <c r="O26" s="114"/>
      <c r="P26" s="119"/>
      <c r="Q26" s="119"/>
      <c r="R26" s="108"/>
      <c r="S26" s="134"/>
    </row>
    <row r="27" spans="2:19" s="73" customFormat="1" ht="13.5">
      <c r="B27" s="104">
        <v>20</v>
      </c>
      <c r="C27" s="22" t="s">
        <v>2635</v>
      </c>
      <c r="D27" s="23"/>
      <c r="E27" s="22" t="s">
        <v>845</v>
      </c>
      <c r="F27" s="23"/>
      <c r="G27" s="24" t="s">
        <v>2636</v>
      </c>
      <c r="H27" s="24"/>
      <c r="I27" s="110">
        <v>20</v>
      </c>
      <c r="J27" s="105" t="s">
        <v>2635</v>
      </c>
      <c r="K27" s="119"/>
      <c r="L27" s="113" t="s">
        <v>2579</v>
      </c>
      <c r="M27" s="112">
        <v>1000</v>
      </c>
      <c r="N27" s="114" t="s">
        <v>2637</v>
      </c>
      <c r="O27" s="114"/>
      <c r="P27" s="119"/>
      <c r="Q27" s="119"/>
      <c r="R27" s="108"/>
      <c r="S27" s="134"/>
    </row>
    <row r="28" spans="2:19" s="73" customFormat="1" ht="27">
      <c r="B28" s="104">
        <v>21</v>
      </c>
      <c r="C28" s="25" t="s">
        <v>2638</v>
      </c>
      <c r="D28" s="23"/>
      <c r="E28" s="25" t="s">
        <v>845</v>
      </c>
      <c r="F28" s="27"/>
      <c r="G28" s="26" t="s">
        <v>2639</v>
      </c>
      <c r="H28" s="26"/>
      <c r="I28" s="110">
        <v>21</v>
      </c>
      <c r="J28" s="105" t="s">
        <v>2638</v>
      </c>
      <c r="K28" s="119"/>
      <c r="L28" s="113" t="s">
        <v>2579</v>
      </c>
      <c r="M28" s="112">
        <v>1000</v>
      </c>
      <c r="N28" s="114" t="s">
        <v>2640</v>
      </c>
      <c r="O28" s="114"/>
      <c r="P28" s="119"/>
      <c r="Q28" s="119"/>
      <c r="R28" s="108"/>
      <c r="S28" s="134"/>
    </row>
    <row r="29" spans="2:19" s="73" customFormat="1" ht="13.5">
      <c r="B29" s="104">
        <v>22</v>
      </c>
      <c r="C29" s="22" t="s">
        <v>2641</v>
      </c>
      <c r="D29" s="23"/>
      <c r="E29" s="22" t="s">
        <v>845</v>
      </c>
      <c r="F29" s="23"/>
      <c r="G29" s="24" t="s">
        <v>2642</v>
      </c>
      <c r="H29" s="24"/>
      <c r="I29" s="110">
        <v>22</v>
      </c>
      <c r="J29" s="105" t="s">
        <v>2641</v>
      </c>
      <c r="K29" s="119"/>
      <c r="L29" s="113" t="s">
        <v>2579</v>
      </c>
      <c r="M29" s="112">
        <v>1000</v>
      </c>
      <c r="N29" s="114" t="s">
        <v>2643</v>
      </c>
      <c r="O29" s="114"/>
      <c r="P29" s="119"/>
      <c r="Q29" s="119"/>
      <c r="R29" s="108"/>
      <c r="S29" s="134"/>
    </row>
    <row r="30" spans="2:19" s="73" customFormat="1" ht="13.5">
      <c r="B30" s="104">
        <v>23</v>
      </c>
      <c r="C30" s="22" t="s">
        <v>2644</v>
      </c>
      <c r="D30" s="23"/>
      <c r="E30" s="22" t="s">
        <v>845</v>
      </c>
      <c r="F30" s="23"/>
      <c r="G30" s="24" t="s">
        <v>2645</v>
      </c>
      <c r="H30" s="24" t="s">
        <v>2646</v>
      </c>
      <c r="I30" s="110">
        <v>23</v>
      </c>
      <c r="J30" s="105" t="s">
        <v>2644</v>
      </c>
      <c r="K30" s="119"/>
      <c r="L30" s="113" t="s">
        <v>2579</v>
      </c>
      <c r="M30" s="112">
        <v>1000</v>
      </c>
      <c r="N30" s="114" t="s">
        <v>2647</v>
      </c>
      <c r="O30" s="114" t="s">
        <v>2648</v>
      </c>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1078"/>
      <c r="E43" s="1079"/>
      <c r="F43" s="1079"/>
      <c r="G43" s="1079"/>
      <c r="H43" s="1079"/>
      <c r="I43" s="1079"/>
      <c r="J43" s="1079"/>
      <c r="K43" s="1079"/>
      <c r="L43" s="1079"/>
      <c r="M43" s="1079"/>
      <c r="N43" s="1079"/>
      <c r="O43" s="1079"/>
      <c r="P43" s="1079"/>
      <c r="Q43" s="1079"/>
      <c r="R43" s="1079"/>
      <c r="S43" s="1080"/>
    </row>
    <row r="44" spans="2:19" ht="24.75" customHeight="1">
      <c r="B44" s="1008" t="s">
        <v>1038</v>
      </c>
      <c r="C44" s="1009"/>
      <c r="D44" s="1081"/>
      <c r="E44" s="1082"/>
      <c r="F44" s="1082"/>
      <c r="G44" s="1082"/>
      <c r="H44" s="1082"/>
      <c r="I44" s="1082"/>
      <c r="J44" s="1082"/>
      <c r="K44" s="1082"/>
      <c r="L44" s="1082"/>
      <c r="M44" s="1082"/>
      <c r="N44" s="1082"/>
      <c r="O44" s="1082"/>
      <c r="P44" s="1082"/>
      <c r="Q44" s="1082"/>
      <c r="R44" s="1082"/>
      <c r="S44" s="1083"/>
    </row>
    <row r="45" spans="2:19" ht="18.75" customHeight="1">
      <c r="B45" s="75"/>
      <c r="C45" s="75"/>
      <c r="D45" s="5"/>
      <c r="E45" s="5"/>
      <c r="F45" s="5"/>
      <c r="G45" s="5"/>
      <c r="H45" s="5"/>
      <c r="I45" s="5"/>
      <c r="J45" s="5"/>
      <c r="K45" s="5"/>
      <c r="L45" s="5"/>
      <c r="M45" s="5"/>
      <c r="N45" s="5"/>
      <c r="O45" s="5"/>
      <c r="P45" s="5"/>
      <c r="Q45" s="5"/>
      <c r="R45" s="5"/>
      <c r="S45" s="5"/>
    </row>
    <row r="46" spans="2:19" ht="18.75" customHeight="1">
      <c r="B46" s="51" t="s">
        <v>1045</v>
      </c>
      <c r="C46" s="73"/>
      <c r="D46" s="4"/>
      <c r="E46" s="4"/>
      <c r="F46" s="4"/>
      <c r="G46" s="4"/>
      <c r="H46" s="4"/>
      <c r="I46" s="4"/>
      <c r="J46" s="4"/>
      <c r="K46" s="4"/>
      <c r="L46" s="4"/>
      <c r="M46" s="4"/>
      <c r="N46" s="5"/>
      <c r="O46" s="5"/>
      <c r="P46" s="4"/>
      <c r="Q46" s="5"/>
      <c r="R46" s="5"/>
      <c r="S46" s="4"/>
    </row>
    <row r="47" spans="2:19" ht="140.44999999999999" customHeight="1">
      <c r="B47" s="1014" t="s">
        <v>1049</v>
      </c>
      <c r="C47" s="1014"/>
      <c r="D47" s="1085"/>
      <c r="E47" s="1084"/>
      <c r="F47" s="1084"/>
      <c r="G47" s="1084"/>
      <c r="H47" s="1084"/>
      <c r="I47" s="1084"/>
      <c r="J47" s="1084"/>
      <c r="K47" s="1084"/>
      <c r="L47" s="1084"/>
      <c r="M47" s="1084"/>
      <c r="N47" s="1084"/>
      <c r="O47" s="1084"/>
      <c r="P47" s="1084"/>
      <c r="Q47" s="1084"/>
      <c r="R47" s="1084"/>
      <c r="S47" s="1084"/>
    </row>
    <row r="48" spans="2:19" ht="33" customHeight="1">
      <c r="B48" s="976" t="s">
        <v>1053</v>
      </c>
      <c r="C48" s="976"/>
      <c r="D48" s="1084"/>
      <c r="E48" s="1084"/>
      <c r="F48" s="1084"/>
      <c r="G48" s="1084"/>
      <c r="H48" s="1084"/>
      <c r="I48" s="1084"/>
      <c r="J48" s="1084"/>
      <c r="K48" s="1084"/>
      <c r="L48" s="1084"/>
      <c r="M48" s="1084"/>
      <c r="N48" s="1084"/>
      <c r="O48" s="1084"/>
      <c r="P48" s="1084"/>
      <c r="Q48" s="1084"/>
      <c r="R48" s="1084"/>
      <c r="S48" s="1084"/>
    </row>
    <row r="49" spans="2:19" ht="71.25" customHeight="1">
      <c r="B49" s="976" t="s">
        <v>1057</v>
      </c>
      <c r="C49" s="976"/>
      <c r="D49" s="1084"/>
      <c r="E49" s="1084"/>
      <c r="F49" s="1084"/>
      <c r="G49" s="1084"/>
      <c r="H49" s="1084"/>
      <c r="I49" s="1084"/>
      <c r="J49" s="1084"/>
      <c r="K49" s="1084"/>
      <c r="L49" s="1084"/>
      <c r="M49" s="1084"/>
      <c r="N49" s="1084"/>
      <c r="O49" s="1084"/>
      <c r="P49" s="1084"/>
      <c r="Q49" s="1084"/>
      <c r="R49" s="1084"/>
      <c r="S49" s="1084"/>
    </row>
    <row r="50" spans="2:19" ht="38.25" customHeight="1">
      <c r="B50" s="976" t="s">
        <v>1061</v>
      </c>
      <c r="C50" s="976"/>
      <c r="D50" s="1084"/>
      <c r="E50" s="1084"/>
      <c r="F50" s="1084"/>
      <c r="G50" s="1084"/>
      <c r="H50" s="1084"/>
      <c r="I50" s="1084"/>
      <c r="J50" s="1084"/>
      <c r="K50" s="1084"/>
      <c r="L50" s="1084"/>
      <c r="M50" s="1084"/>
      <c r="N50" s="1084"/>
      <c r="O50" s="1084"/>
      <c r="P50" s="1084"/>
      <c r="Q50" s="1084"/>
      <c r="R50" s="1084"/>
      <c r="S50" s="1084"/>
    </row>
    <row r="51" spans="2:19" s="73" customFormat="1" ht="15" customHeight="1"/>
    <row r="52" spans="2:19" s="50" customFormat="1" ht="19.5" customHeight="1">
      <c r="B52" s="50" t="s">
        <v>2442</v>
      </c>
      <c r="C52" s="21"/>
      <c r="D52" s="20"/>
      <c r="E52" s="20"/>
      <c r="F52" s="20"/>
      <c r="G52" s="20"/>
      <c r="H52" s="20"/>
      <c r="I52" s="20"/>
      <c r="J52" s="20"/>
      <c r="K52" s="20"/>
      <c r="L52" s="20"/>
      <c r="M52" s="20"/>
      <c r="N52" s="20"/>
      <c r="O52" s="21"/>
      <c r="P52" s="21"/>
      <c r="Q52" s="20"/>
      <c r="R52" s="21"/>
      <c r="S52" s="21"/>
    </row>
    <row r="53" spans="2:19" s="50" customFormat="1" ht="19.5" customHeight="1">
      <c r="B53" s="50" t="s">
        <v>2443</v>
      </c>
      <c r="C53" s="21"/>
      <c r="D53" s="20"/>
      <c r="E53" s="20"/>
      <c r="F53" s="20"/>
      <c r="G53" s="20"/>
      <c r="H53" s="20"/>
      <c r="I53" s="20"/>
      <c r="J53" s="20"/>
      <c r="K53" s="20"/>
      <c r="L53" s="20"/>
      <c r="M53" s="20"/>
      <c r="N53" s="20"/>
      <c r="O53" s="21"/>
      <c r="P53" s="21"/>
      <c r="Q53" s="20"/>
      <c r="R53" s="21"/>
      <c r="S53" s="21"/>
    </row>
    <row r="54" spans="2:19" s="50" customFormat="1" ht="19.5" customHeight="1">
      <c r="B54" s="50" t="s">
        <v>2444</v>
      </c>
      <c r="C54" s="21"/>
      <c r="D54" s="20"/>
      <c r="E54" s="20"/>
      <c r="F54" s="20"/>
      <c r="G54" s="20"/>
      <c r="H54" s="20"/>
      <c r="I54" s="20"/>
      <c r="J54" s="20"/>
      <c r="K54" s="20"/>
      <c r="L54" s="20"/>
      <c r="M54" s="20"/>
      <c r="N54" s="20"/>
      <c r="O54" s="21"/>
      <c r="P54" s="21"/>
      <c r="Q54" s="20"/>
      <c r="R54" s="21"/>
      <c r="S54" s="21"/>
    </row>
    <row r="55" spans="2:19" s="50" customFormat="1" ht="19.5" customHeight="1">
      <c r="B55" s="50" t="s">
        <v>2445</v>
      </c>
      <c r="C55" s="21"/>
      <c r="D55" s="20"/>
      <c r="E55" s="20"/>
      <c r="F55" s="20"/>
      <c r="G55" s="20"/>
      <c r="H55" s="20"/>
      <c r="I55" s="20"/>
      <c r="J55" s="20"/>
      <c r="K55" s="20"/>
      <c r="L55" s="20"/>
      <c r="M55" s="20"/>
      <c r="N55" s="20"/>
      <c r="O55" s="21"/>
      <c r="P55" s="21"/>
      <c r="Q55" s="20"/>
      <c r="R55" s="21"/>
      <c r="S55" s="21"/>
    </row>
    <row r="56" spans="2:19" s="50" customFormat="1" ht="19.5" customHeight="1">
      <c r="B56" s="50" t="s">
        <v>2446</v>
      </c>
      <c r="C56" s="21"/>
      <c r="D56" s="20"/>
      <c r="E56" s="20"/>
      <c r="F56" s="20"/>
      <c r="G56" s="20"/>
      <c r="H56" s="20"/>
      <c r="I56" s="20"/>
      <c r="J56" s="20"/>
      <c r="K56" s="20"/>
      <c r="L56" s="20"/>
      <c r="M56" s="20"/>
      <c r="N56" s="20"/>
      <c r="O56" s="21"/>
      <c r="P56" s="21"/>
      <c r="Q56" s="20"/>
      <c r="R56" s="21"/>
      <c r="S56" s="21"/>
    </row>
    <row r="57" spans="2:19" s="50" customFormat="1" ht="19.5" customHeight="1">
      <c r="B57" s="50" t="s">
        <v>2447</v>
      </c>
    </row>
    <row r="58" spans="2:19" s="50" customFormat="1" ht="19.5" customHeight="1">
      <c r="B58" s="50" t="s">
        <v>2448</v>
      </c>
    </row>
    <row r="59" spans="2:19" s="50" customFormat="1" ht="19.5" customHeight="1">
      <c r="B59" s="50" t="s">
        <v>2449</v>
      </c>
    </row>
    <row r="60" spans="2:19" s="50" customFormat="1" ht="19.5" customHeight="1">
      <c r="B60" s="50" t="s">
        <v>2450</v>
      </c>
    </row>
    <row r="61" spans="2:19" s="50" customFormat="1" ht="15" customHeight="1"/>
    <row r="62" spans="2:19" s="50" customFormat="1" ht="15" customHeight="1"/>
    <row r="63" spans="2:19" customFormat="1" ht="1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s="73" customFormat="1" ht="15" customHeight="1"/>
    <row r="82" s="73" customFormat="1" ht="15" customHeight="1"/>
    <row r="83" s="73" customFormat="1" ht="15" customHeight="1"/>
    <row r="84" s="73" customFormat="1" ht="15" customHeight="1"/>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DF1F670C-FEA2-40FB-A170-E5FA880D3D42}"/>
  </hyperlinks>
  <pageMargins left="0.7" right="0.7" top="0.75" bottom="0.75" header="0.3" footer="0.3"/>
  <customProperties>
    <customPr name="_pios_id" r:id="rId1"/>
  </customPropertie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66C63-9047-49E4-B5CF-0F34F2B70EAB}">
  <sheetPr>
    <tabColor theme="9" tint="0.79998168889431442"/>
  </sheetPr>
  <dimension ref="A1:S102"/>
  <sheetViews>
    <sheetView showGridLines="0" topLeftCell="A12" zoomScale="85" zoomScaleNormal="85" workbookViewId="0">
      <selection activeCell="B14" sqref="B14"/>
    </sheetView>
  </sheetViews>
  <sheetFormatPr defaultColWidth="12.625" defaultRowHeight="16.5"/>
  <cols>
    <col min="1" max="1" width="2.125" style="69" customWidth="1"/>
    <col min="2" max="2" width="5.125" style="69" customWidth="1"/>
    <col min="3" max="3" width="33.6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17.25" thickBot="1">
      <c r="A1" s="67" t="s">
        <v>814</v>
      </c>
    </row>
    <row r="2" spans="1:19">
      <c r="B2" s="992" t="s">
        <v>2649</v>
      </c>
      <c r="C2" s="993"/>
      <c r="D2" s="993"/>
      <c r="E2" s="993"/>
      <c r="F2" s="993"/>
      <c r="G2" s="993"/>
      <c r="H2" s="993"/>
      <c r="I2" s="994"/>
      <c r="J2" s="70" t="s">
        <v>816</v>
      </c>
      <c r="K2" s="998" t="s">
        <v>2575</v>
      </c>
      <c r="L2" s="999"/>
      <c r="M2" s="999"/>
      <c r="N2" s="1000"/>
      <c r="O2" s="70" t="s">
        <v>817</v>
      </c>
      <c r="P2" s="1001" t="s">
        <v>818</v>
      </c>
      <c r="Q2" s="1001"/>
      <c r="R2" s="1001"/>
      <c r="S2" s="1002"/>
    </row>
    <row r="3" spans="1:19" ht="17.25" thickBot="1">
      <c r="B3" s="995"/>
      <c r="C3" s="996"/>
      <c r="D3" s="996"/>
      <c r="E3" s="996"/>
      <c r="F3" s="996"/>
      <c r="G3" s="996"/>
      <c r="H3" s="996"/>
      <c r="I3" s="997"/>
      <c r="J3" s="72" t="s">
        <v>819</v>
      </c>
      <c r="K3" s="1003" t="s">
        <v>820</v>
      </c>
      <c r="L3" s="1004"/>
      <c r="M3" s="1004"/>
      <c r="N3" s="1005"/>
      <c r="O3" s="72" t="s">
        <v>821</v>
      </c>
      <c r="P3" s="1006">
        <v>0.1</v>
      </c>
      <c r="Q3" s="1006"/>
      <c r="R3" s="1006"/>
      <c r="S3" s="1007"/>
    </row>
    <row r="4" spans="1:19" ht="17.25" thickBot="1">
      <c r="B4" s="74" t="s">
        <v>822</v>
      </c>
      <c r="C4" s="73"/>
      <c r="D4" s="73"/>
      <c r="E4" s="73"/>
      <c r="F4" s="73"/>
      <c r="G4" s="73"/>
      <c r="H4" s="73"/>
      <c r="I4" s="73"/>
      <c r="J4" s="73"/>
      <c r="K4" s="73"/>
      <c r="L4" s="73"/>
      <c r="M4" s="73"/>
      <c r="N4" s="75"/>
      <c r="O4" s="75"/>
      <c r="P4" s="73"/>
      <c r="Q4" s="75"/>
      <c r="R4" s="75"/>
      <c r="S4" s="73"/>
    </row>
    <row r="5" spans="1:19">
      <c r="B5" s="979" t="s">
        <v>2650</v>
      </c>
      <c r="C5" s="980"/>
      <c r="D5" s="980"/>
      <c r="E5" s="980"/>
      <c r="F5" s="980"/>
      <c r="G5" s="980"/>
      <c r="H5" s="981"/>
      <c r="I5" s="982" t="s">
        <v>1390</v>
      </c>
      <c r="J5" s="980"/>
      <c r="K5" s="980"/>
      <c r="L5" s="980"/>
      <c r="M5" s="980"/>
      <c r="N5" s="980"/>
      <c r="O5" s="980"/>
      <c r="P5" s="980"/>
      <c r="Q5" s="980"/>
      <c r="R5" s="983" t="s">
        <v>825</v>
      </c>
      <c r="S5" s="985" t="s">
        <v>826</v>
      </c>
    </row>
    <row r="6" spans="1:19" ht="27">
      <c r="B6" s="78" t="s">
        <v>828</v>
      </c>
      <c r="C6" s="987"/>
      <c r="D6" s="984"/>
      <c r="E6" s="984"/>
      <c r="F6" s="984"/>
      <c r="G6" s="984"/>
      <c r="H6" s="986"/>
      <c r="I6" s="102" t="s">
        <v>829</v>
      </c>
      <c r="J6" s="988"/>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23">
        <v>1</v>
      </c>
      <c r="C8" s="269" t="s">
        <v>2651</v>
      </c>
      <c r="D8" s="270"/>
      <c r="E8" s="269" t="s">
        <v>845</v>
      </c>
      <c r="F8" s="270"/>
      <c r="G8" s="271" t="s">
        <v>2652</v>
      </c>
      <c r="H8" s="22"/>
      <c r="I8" s="110">
        <v>1</v>
      </c>
      <c r="J8" s="512" t="s">
        <v>2653</v>
      </c>
      <c r="K8" s="476" t="s">
        <v>1368</v>
      </c>
      <c r="L8" s="483" t="s">
        <v>1188</v>
      </c>
      <c r="M8" s="484">
        <v>1000</v>
      </c>
      <c r="N8" s="513" t="s">
        <v>2654</v>
      </c>
      <c r="O8" s="514" t="s">
        <v>1368</v>
      </c>
      <c r="P8" s="112"/>
      <c r="Q8" s="112"/>
      <c r="R8" s="114"/>
      <c r="S8" s="134"/>
    </row>
    <row r="9" spans="1:19" s="73" customFormat="1" ht="13.5">
      <c r="B9" s="119">
        <f>+B8+1</f>
        <v>2</v>
      </c>
      <c r="C9" s="275" t="s">
        <v>2655</v>
      </c>
      <c r="D9" s="276"/>
      <c r="E9" s="275" t="s">
        <v>845</v>
      </c>
      <c r="F9" s="276"/>
      <c r="G9" s="277" t="s">
        <v>2582</v>
      </c>
      <c r="H9" s="268" t="s">
        <v>2583</v>
      </c>
      <c r="I9" s="110">
        <v>2</v>
      </c>
      <c r="J9" s="515" t="s">
        <v>2581</v>
      </c>
      <c r="K9" s="480" t="s">
        <v>1368</v>
      </c>
      <c r="L9" s="486" t="s">
        <v>1188</v>
      </c>
      <c r="M9" s="487">
        <v>1000</v>
      </c>
      <c r="N9" s="516" t="s">
        <v>2454</v>
      </c>
      <c r="O9" s="499" t="s">
        <v>2584</v>
      </c>
      <c r="P9" s="112"/>
      <c r="Q9" s="112"/>
      <c r="R9" s="114"/>
      <c r="S9" s="134"/>
    </row>
    <row r="10" spans="1:19" s="73" customFormat="1" ht="13.5">
      <c r="B10" s="119">
        <f t="shared" ref="B10:B56" si="0">+B9+1</f>
        <v>3</v>
      </c>
      <c r="C10" s="275" t="s">
        <v>2656</v>
      </c>
      <c r="D10" s="276"/>
      <c r="E10" s="275" t="s">
        <v>845</v>
      </c>
      <c r="F10" s="276"/>
      <c r="G10" s="277" t="s">
        <v>2586</v>
      </c>
      <c r="H10" s="268" t="s">
        <v>2587</v>
      </c>
      <c r="I10" s="110">
        <v>3</v>
      </c>
      <c r="J10" s="517" t="s">
        <v>2585</v>
      </c>
      <c r="K10" s="480" t="s">
        <v>1368</v>
      </c>
      <c r="L10" s="486" t="s">
        <v>1188</v>
      </c>
      <c r="M10" s="487">
        <v>1000</v>
      </c>
      <c r="N10" s="518" t="s">
        <v>2588</v>
      </c>
      <c r="O10" s="499" t="s">
        <v>2589</v>
      </c>
      <c r="P10" s="112"/>
      <c r="Q10" s="112"/>
      <c r="R10" s="114"/>
      <c r="S10" s="134"/>
    </row>
    <row r="11" spans="1:19" s="73" customFormat="1" ht="13.5">
      <c r="B11" s="119">
        <f t="shared" si="0"/>
        <v>4</v>
      </c>
      <c r="C11" s="275" t="s">
        <v>2657</v>
      </c>
      <c r="D11" s="276"/>
      <c r="E11" s="275" t="s">
        <v>845</v>
      </c>
      <c r="F11" s="276"/>
      <c r="G11" s="277" t="s">
        <v>2591</v>
      </c>
      <c r="H11" s="268"/>
      <c r="I11" s="110">
        <v>4</v>
      </c>
      <c r="J11" s="517" t="s">
        <v>2590</v>
      </c>
      <c r="K11" s="480" t="s">
        <v>1368</v>
      </c>
      <c r="L11" s="486" t="s">
        <v>1188</v>
      </c>
      <c r="M11" s="487">
        <v>1000</v>
      </c>
      <c r="N11" s="518" t="s">
        <v>2592</v>
      </c>
      <c r="O11" s="499" t="s">
        <v>1368</v>
      </c>
      <c r="P11" s="119"/>
      <c r="Q11" s="119"/>
      <c r="R11" s="108"/>
      <c r="S11" s="134"/>
    </row>
    <row r="12" spans="1:19" s="73" customFormat="1" ht="13.5">
      <c r="B12" s="119">
        <f t="shared" si="0"/>
        <v>5</v>
      </c>
      <c r="C12" s="275" t="s">
        <v>2658</v>
      </c>
      <c r="D12" s="276"/>
      <c r="E12" s="275" t="s">
        <v>845</v>
      </c>
      <c r="F12" s="276"/>
      <c r="G12" s="277" t="s">
        <v>2594</v>
      </c>
      <c r="H12" s="268" t="s">
        <v>2595</v>
      </c>
      <c r="I12" s="110">
        <v>5</v>
      </c>
      <c r="J12" s="517" t="s">
        <v>2593</v>
      </c>
      <c r="K12" s="480" t="s">
        <v>1368</v>
      </c>
      <c r="L12" s="486" t="s">
        <v>1188</v>
      </c>
      <c r="M12" s="487">
        <v>1000</v>
      </c>
      <c r="N12" s="518" t="s">
        <v>2596</v>
      </c>
      <c r="O12" s="499" t="s">
        <v>2597</v>
      </c>
      <c r="P12" s="119"/>
      <c r="Q12" s="119"/>
      <c r="R12" s="108"/>
      <c r="S12" s="134"/>
    </row>
    <row r="13" spans="1:19" s="73" customFormat="1" ht="13.5">
      <c r="B13" s="119">
        <f t="shared" si="0"/>
        <v>6</v>
      </c>
      <c r="C13" s="275" t="s">
        <v>2659</v>
      </c>
      <c r="D13" s="276"/>
      <c r="E13" s="275" t="s">
        <v>845</v>
      </c>
      <c r="F13" s="276"/>
      <c r="G13" s="277" t="s">
        <v>2599</v>
      </c>
      <c r="H13" s="268"/>
      <c r="I13" s="110">
        <v>6</v>
      </c>
      <c r="J13" s="517" t="s">
        <v>2598</v>
      </c>
      <c r="K13" s="480" t="s">
        <v>1368</v>
      </c>
      <c r="L13" s="486" t="s">
        <v>1188</v>
      </c>
      <c r="M13" s="487">
        <v>1000</v>
      </c>
      <c r="N13" s="518" t="s">
        <v>2456</v>
      </c>
      <c r="O13" s="499" t="s">
        <v>1368</v>
      </c>
      <c r="P13" s="119"/>
      <c r="Q13" s="112"/>
      <c r="R13" s="114"/>
      <c r="S13" s="134"/>
    </row>
    <row r="14" spans="1:19" s="73" customFormat="1">
      <c r="B14" s="119">
        <f t="shared" si="0"/>
        <v>7</v>
      </c>
      <c r="C14" s="68" t="s">
        <v>2600</v>
      </c>
      <c r="D14" s="276"/>
      <c r="E14" s="275" t="s">
        <v>845</v>
      </c>
      <c r="F14" s="276"/>
      <c r="G14" s="277" t="s">
        <v>2601</v>
      </c>
      <c r="H14" s="268"/>
      <c r="I14" s="110"/>
      <c r="J14" s="519" t="s">
        <v>2600</v>
      </c>
      <c r="K14" s="480" t="s">
        <v>1368</v>
      </c>
      <c r="L14" s="486" t="s">
        <v>1188</v>
      </c>
      <c r="M14" s="487">
        <v>1000</v>
      </c>
      <c r="N14" s="518" t="s">
        <v>2602</v>
      </c>
      <c r="O14" s="499" t="s">
        <v>1368</v>
      </c>
      <c r="P14" s="119"/>
      <c r="Q14" s="112"/>
      <c r="R14" s="114"/>
      <c r="S14" s="134"/>
    </row>
    <row r="15" spans="1:19" s="73" customFormat="1">
      <c r="B15" s="119"/>
      <c r="C15" s="68" t="s">
        <v>2605</v>
      </c>
      <c r="D15" s="276"/>
      <c r="E15" s="275" t="s">
        <v>845</v>
      </c>
      <c r="F15" s="276"/>
      <c r="G15" s="277" t="str">
        <f>VLOOKUP(C15,'유통사 판매 재고'!$C$8:$G$30,5,0)</f>
        <v>거래처코드</v>
      </c>
      <c r="H15" s="268"/>
      <c r="I15" s="110"/>
      <c r="J15" s="519" t="s">
        <v>2605</v>
      </c>
      <c r="K15" s="480" t="s">
        <v>1368</v>
      </c>
      <c r="L15" s="486" t="s">
        <v>1188</v>
      </c>
      <c r="M15" s="487">
        <v>1000</v>
      </c>
      <c r="N15" s="518" t="s">
        <v>1675</v>
      </c>
      <c r="O15" s="499" t="s">
        <v>1368</v>
      </c>
      <c r="P15" s="119"/>
      <c r="Q15" s="112"/>
      <c r="R15" s="114"/>
      <c r="S15" s="134"/>
    </row>
    <row r="16" spans="1:19" s="73" customFormat="1">
      <c r="B16" s="119"/>
      <c r="C16" s="68" t="s">
        <v>2607</v>
      </c>
      <c r="D16" s="276"/>
      <c r="E16" s="275" t="s">
        <v>845</v>
      </c>
      <c r="F16" s="276"/>
      <c r="G16" s="277" t="str">
        <f>VLOOKUP(C16,'유통사 판매 재고'!$C$8:$G$30,5,0)</f>
        <v>유통사매장코드</v>
      </c>
      <c r="H16" s="268"/>
      <c r="I16" s="110"/>
      <c r="J16" s="519" t="s">
        <v>2607</v>
      </c>
      <c r="K16" s="480" t="s">
        <v>1368</v>
      </c>
      <c r="L16" s="486" t="s">
        <v>1188</v>
      </c>
      <c r="M16" s="487">
        <v>1000</v>
      </c>
      <c r="N16" s="518" t="s">
        <v>2609</v>
      </c>
      <c r="O16" s="499" t="s">
        <v>1368</v>
      </c>
      <c r="P16" s="119"/>
      <c r="Q16" s="112"/>
      <c r="R16" s="114"/>
      <c r="S16" s="134"/>
    </row>
    <row r="17" spans="2:19" s="73" customFormat="1">
      <c r="B17" s="119"/>
      <c r="C17" s="68" t="s">
        <v>2610</v>
      </c>
      <c r="D17" s="276"/>
      <c r="E17" s="275" t="s">
        <v>845</v>
      </c>
      <c r="F17" s="276"/>
      <c r="G17" s="277" t="str">
        <f>VLOOKUP(C17,'유통사 판매 재고'!$C$8:$G$30,5,0)</f>
        <v>유통사매장명</v>
      </c>
      <c r="H17" s="268"/>
      <c r="I17" s="110"/>
      <c r="J17" s="519" t="s">
        <v>2610</v>
      </c>
      <c r="K17" s="480" t="s">
        <v>1368</v>
      </c>
      <c r="L17" s="486" t="s">
        <v>1188</v>
      </c>
      <c r="M17" s="487">
        <v>1000</v>
      </c>
      <c r="N17" s="518" t="s">
        <v>2612</v>
      </c>
      <c r="O17" s="499" t="s">
        <v>1368</v>
      </c>
      <c r="P17" s="119"/>
      <c r="Q17" s="112"/>
      <c r="R17" s="114"/>
      <c r="S17" s="134"/>
    </row>
    <row r="18" spans="2:19" s="73" customFormat="1">
      <c r="B18" s="119"/>
      <c r="C18" s="68" t="s">
        <v>880</v>
      </c>
      <c r="D18" s="276"/>
      <c r="E18" s="275" t="s">
        <v>845</v>
      </c>
      <c r="F18" s="276"/>
      <c r="G18" s="277" t="str">
        <f>VLOOKUP(C18,'유통사 판매 재고'!$C$8:$G$30,5,0)</f>
        <v>브랜드코드</v>
      </c>
      <c r="H18" s="268"/>
      <c r="I18" s="110"/>
      <c r="J18" s="519" t="s">
        <v>880</v>
      </c>
      <c r="K18" s="480" t="s">
        <v>1368</v>
      </c>
      <c r="L18" s="486" t="s">
        <v>1188</v>
      </c>
      <c r="M18" s="487">
        <v>1000</v>
      </c>
      <c r="N18" s="518" t="s">
        <v>882</v>
      </c>
      <c r="O18" s="499" t="s">
        <v>1368</v>
      </c>
      <c r="P18" s="119"/>
      <c r="Q18" s="112"/>
      <c r="R18" s="114"/>
      <c r="S18" s="134"/>
    </row>
    <row r="19" spans="2:19" s="73" customFormat="1">
      <c r="B19" s="119"/>
      <c r="C19" s="68" t="s">
        <v>2614</v>
      </c>
      <c r="D19" s="276"/>
      <c r="E19" s="275" t="s">
        <v>845</v>
      </c>
      <c r="F19" s="276"/>
      <c r="G19" s="277" t="str">
        <f>VLOOKUP(C19,'유통사 판매 재고'!$C$8:$G$30,5,0)</f>
        <v>유통사상품코드</v>
      </c>
      <c r="H19" s="268"/>
      <c r="I19" s="110"/>
      <c r="J19" s="519" t="s">
        <v>2614</v>
      </c>
      <c r="K19" s="480" t="s">
        <v>1368</v>
      </c>
      <c r="L19" s="486" t="s">
        <v>1188</v>
      </c>
      <c r="M19" s="487">
        <v>1000</v>
      </c>
      <c r="N19" s="518" t="s">
        <v>2616</v>
      </c>
      <c r="O19" s="499" t="s">
        <v>1368</v>
      </c>
      <c r="P19" s="119"/>
      <c r="Q19" s="112"/>
      <c r="R19" s="114"/>
      <c r="S19" s="134"/>
    </row>
    <row r="20" spans="2:19" s="73" customFormat="1">
      <c r="B20" s="119"/>
      <c r="C20" s="68" t="s">
        <v>2617</v>
      </c>
      <c r="D20" s="276"/>
      <c r="E20" s="275" t="s">
        <v>845</v>
      </c>
      <c r="F20" s="276"/>
      <c r="G20" s="277" t="str">
        <f>VLOOKUP(C20,'유통사 판매 재고'!$C$8:$G$30,5,0)</f>
        <v>유통사상품명</v>
      </c>
      <c r="H20" s="268"/>
      <c r="I20" s="110"/>
      <c r="J20" s="519" t="s">
        <v>2617</v>
      </c>
      <c r="K20" s="480" t="s">
        <v>1368</v>
      </c>
      <c r="L20" s="486" t="s">
        <v>1188</v>
      </c>
      <c r="M20" s="487">
        <v>1000</v>
      </c>
      <c r="N20" s="518" t="s">
        <v>2619</v>
      </c>
      <c r="O20" s="499" t="s">
        <v>1368</v>
      </c>
      <c r="P20" s="119"/>
      <c r="Q20" s="112"/>
      <c r="R20" s="114"/>
      <c r="S20" s="134"/>
    </row>
    <row r="21" spans="2:19" s="73" customFormat="1">
      <c r="B21" s="119"/>
      <c r="C21" s="68" t="s">
        <v>1034</v>
      </c>
      <c r="D21" s="276"/>
      <c r="E21" s="275" t="s">
        <v>845</v>
      </c>
      <c r="F21" s="276"/>
      <c r="G21" s="277" t="str">
        <f>VLOOKUP(C21,'유통사 판매 재고'!$C$8:$G$30,5,0)</f>
        <v>상품바코드코드</v>
      </c>
      <c r="H21" s="268"/>
      <c r="I21" s="110"/>
      <c r="J21" s="519" t="s">
        <v>1034</v>
      </c>
      <c r="K21" s="480" t="s">
        <v>1368</v>
      </c>
      <c r="L21" s="486" t="s">
        <v>1188</v>
      </c>
      <c r="M21" s="487">
        <v>1000</v>
      </c>
      <c r="N21" s="518" t="s">
        <v>1036</v>
      </c>
      <c r="O21" s="499" t="s">
        <v>1368</v>
      </c>
      <c r="P21" s="119"/>
      <c r="Q21" s="112"/>
      <c r="R21" s="114"/>
      <c r="S21" s="134"/>
    </row>
    <row r="22" spans="2:19" s="73" customFormat="1">
      <c r="B22" s="119"/>
      <c r="C22" s="68" t="s">
        <v>848</v>
      </c>
      <c r="D22" s="276"/>
      <c r="E22" s="275" t="s">
        <v>845</v>
      </c>
      <c r="F22" s="276"/>
      <c r="G22" s="277" t="str">
        <f>VLOOKUP(C22,'유통사 판매 재고'!$C$8:$G$30,5,0)</f>
        <v>상품코드</v>
      </c>
      <c r="H22" s="268"/>
      <c r="I22" s="110"/>
      <c r="J22" s="519" t="s">
        <v>848</v>
      </c>
      <c r="K22" s="480" t="s">
        <v>1368</v>
      </c>
      <c r="L22" s="486" t="s">
        <v>1188</v>
      </c>
      <c r="M22" s="487">
        <v>1000</v>
      </c>
      <c r="N22" s="518" t="s">
        <v>850</v>
      </c>
      <c r="O22" s="499" t="s">
        <v>1368</v>
      </c>
      <c r="P22" s="119"/>
      <c r="Q22" s="112"/>
      <c r="R22" s="114"/>
      <c r="S22" s="134"/>
    </row>
    <row r="23" spans="2:19" s="73" customFormat="1">
      <c r="B23" s="119"/>
      <c r="C23" s="68" t="s">
        <v>2622</v>
      </c>
      <c r="D23" s="276"/>
      <c r="E23" s="275" t="s">
        <v>845</v>
      </c>
      <c r="F23" s="276"/>
      <c r="G23" s="277" t="str">
        <f>VLOOKUP(C23,'유통사 판매 재고'!$C$8:$G$30,5,0)</f>
        <v>통화코드</v>
      </c>
      <c r="H23" s="268"/>
      <c r="I23" s="110"/>
      <c r="J23" s="519" t="s">
        <v>2622</v>
      </c>
      <c r="K23" s="480" t="s">
        <v>1368</v>
      </c>
      <c r="L23" s="486" t="s">
        <v>1188</v>
      </c>
      <c r="M23" s="487">
        <v>1000</v>
      </c>
      <c r="N23" s="518" t="s">
        <v>2624</v>
      </c>
      <c r="O23" s="499" t="s">
        <v>1368</v>
      </c>
      <c r="P23" s="119"/>
      <c r="Q23" s="112"/>
      <c r="R23" s="114"/>
      <c r="S23" s="134"/>
    </row>
    <row r="24" spans="2:19" s="73" customFormat="1">
      <c r="B24" s="119"/>
      <c r="C24" s="68" t="s">
        <v>2625</v>
      </c>
      <c r="D24" s="276"/>
      <c r="E24" s="275" t="s">
        <v>845</v>
      </c>
      <c r="F24" s="276"/>
      <c r="G24" s="277" t="str">
        <f>VLOOKUP(C24,'유통사 판매 재고'!$C$8:$G$30,5,0)</f>
        <v>재고수량</v>
      </c>
      <c r="H24" s="268"/>
      <c r="I24" s="110"/>
      <c r="J24" s="519" t="s">
        <v>2625</v>
      </c>
      <c r="K24" s="480" t="s">
        <v>1368</v>
      </c>
      <c r="L24" s="486" t="s">
        <v>1188</v>
      </c>
      <c r="M24" s="487">
        <v>1000</v>
      </c>
      <c r="N24" s="518" t="s">
        <v>2329</v>
      </c>
      <c r="O24" s="499" t="s">
        <v>1368</v>
      </c>
      <c r="P24" s="119"/>
      <c r="Q24" s="112"/>
      <c r="R24" s="114"/>
      <c r="S24" s="134"/>
    </row>
    <row r="25" spans="2:19" s="73" customFormat="1">
      <c r="B25" s="119"/>
      <c r="C25" s="68" t="s">
        <v>2627</v>
      </c>
      <c r="D25" s="276"/>
      <c r="E25" s="275" t="s">
        <v>845</v>
      </c>
      <c r="F25" s="276"/>
      <c r="G25" s="277" t="str">
        <f>VLOOKUP(C25,'유통사 판매 재고'!$C$8:$G$30,5,0)</f>
        <v>입고수량</v>
      </c>
      <c r="H25" s="268"/>
      <c r="I25" s="110"/>
      <c r="J25" s="519" t="s">
        <v>2627</v>
      </c>
      <c r="K25" s="480" t="s">
        <v>1368</v>
      </c>
      <c r="L25" s="486" t="s">
        <v>1188</v>
      </c>
      <c r="M25" s="487">
        <v>1000</v>
      </c>
      <c r="N25" s="518" t="s">
        <v>2630</v>
      </c>
      <c r="O25" s="499" t="s">
        <v>1368</v>
      </c>
      <c r="P25" s="119"/>
      <c r="Q25" s="112"/>
      <c r="R25" s="114"/>
      <c r="S25" s="134"/>
    </row>
    <row r="26" spans="2:19" s="73" customFormat="1">
      <c r="B26" s="119"/>
      <c r="C26" s="68" t="s">
        <v>2632</v>
      </c>
      <c r="D26" s="276"/>
      <c r="E26" s="275" t="s">
        <v>845</v>
      </c>
      <c r="F26" s="276"/>
      <c r="G26" s="277" t="str">
        <f>VLOOKUP(C26,'유통사 판매 재고'!$C$8:$G$30,5,0)</f>
        <v>출고수량</v>
      </c>
      <c r="H26" s="268"/>
      <c r="I26" s="110"/>
      <c r="J26" s="519" t="s">
        <v>2632</v>
      </c>
      <c r="K26" s="480" t="s">
        <v>1368</v>
      </c>
      <c r="L26" s="486" t="s">
        <v>1188</v>
      </c>
      <c r="M26" s="487">
        <v>1000</v>
      </c>
      <c r="N26" s="518" t="s">
        <v>2634</v>
      </c>
      <c r="O26" s="499" t="s">
        <v>1368</v>
      </c>
      <c r="P26" s="119"/>
      <c r="Q26" s="112"/>
      <c r="R26" s="114"/>
      <c r="S26" s="134"/>
    </row>
    <row r="27" spans="2:19" s="73" customFormat="1">
      <c r="B27" s="119"/>
      <c r="C27" s="68" t="s">
        <v>2635</v>
      </c>
      <c r="D27" s="276"/>
      <c r="E27" s="275" t="s">
        <v>845</v>
      </c>
      <c r="F27" s="276"/>
      <c r="G27" s="277" t="str">
        <f>VLOOKUP(C27,'유통사 판매 재고'!$C$8:$G$30,5,0)</f>
        <v>매입원가</v>
      </c>
      <c r="H27" s="268"/>
      <c r="I27" s="110"/>
      <c r="J27" s="519" t="s">
        <v>2635</v>
      </c>
      <c r="K27" s="480" t="s">
        <v>1368</v>
      </c>
      <c r="L27" s="486" t="s">
        <v>1188</v>
      </c>
      <c r="M27" s="487">
        <v>1000</v>
      </c>
      <c r="N27" s="518" t="s">
        <v>2637</v>
      </c>
      <c r="O27" s="499" t="s">
        <v>1368</v>
      </c>
      <c r="P27" s="119"/>
      <c r="Q27" s="112"/>
      <c r="R27" s="114"/>
      <c r="S27" s="134"/>
    </row>
    <row r="28" spans="2:19" s="73" customFormat="1">
      <c r="B28" s="119"/>
      <c r="C28" s="68" t="s">
        <v>2638</v>
      </c>
      <c r="D28" s="276"/>
      <c r="E28" s="275" t="s">
        <v>845</v>
      </c>
      <c r="F28" s="276"/>
      <c r="G28" s="277" t="str">
        <f>VLOOKUP(C28,'유통사 판매 재고'!$C$8:$G$30,5,0)</f>
        <v>발생통화내부단가금액</v>
      </c>
      <c r="H28" s="268"/>
      <c r="I28" s="110"/>
      <c r="J28" s="519" t="s">
        <v>2638</v>
      </c>
      <c r="K28" s="480" t="s">
        <v>1368</v>
      </c>
      <c r="L28" s="486" t="s">
        <v>1188</v>
      </c>
      <c r="M28" s="487">
        <v>1000</v>
      </c>
      <c r="N28" s="518" t="s">
        <v>2640</v>
      </c>
      <c r="O28" s="499" t="s">
        <v>1368</v>
      </c>
      <c r="P28" s="119"/>
      <c r="Q28" s="112"/>
      <c r="R28" s="114"/>
      <c r="S28" s="134"/>
    </row>
    <row r="29" spans="2:19" s="73" customFormat="1">
      <c r="B29" s="119"/>
      <c r="C29" s="68" t="s">
        <v>2641</v>
      </c>
      <c r="D29" s="276"/>
      <c r="E29" s="275" t="s">
        <v>845</v>
      </c>
      <c r="F29" s="276"/>
      <c r="G29" s="277" t="str">
        <f>VLOOKUP(C29,'유통사 판매 재고'!$C$8:$G$30,5,0)</f>
        <v>내부단가금액</v>
      </c>
      <c r="H29" s="268"/>
      <c r="I29" s="110"/>
      <c r="J29" s="519" t="s">
        <v>2641</v>
      </c>
      <c r="K29" s="480" t="s">
        <v>1368</v>
      </c>
      <c r="L29" s="486" t="s">
        <v>1188</v>
      </c>
      <c r="M29" s="487">
        <v>1000</v>
      </c>
      <c r="N29" s="518" t="s">
        <v>2643</v>
      </c>
      <c r="O29" s="499" t="s">
        <v>1368</v>
      </c>
      <c r="P29" s="119"/>
      <c r="Q29" s="112"/>
      <c r="R29" s="114"/>
      <c r="S29" s="134"/>
    </row>
    <row r="30" spans="2:19" s="73" customFormat="1">
      <c r="B30" s="119"/>
      <c r="C30" s="68" t="s">
        <v>2644</v>
      </c>
      <c r="D30" s="276"/>
      <c r="E30" s="275" t="s">
        <v>845</v>
      </c>
      <c r="F30" s="276"/>
      <c r="G30" s="277" t="str">
        <f>VLOOKUP(C30,'유통사 판매 재고'!$C$8:$G$30,5,0)</f>
        <v>ETL처리일시</v>
      </c>
      <c r="H30" s="268"/>
      <c r="I30" s="110"/>
      <c r="J30" s="519" t="s">
        <v>2644</v>
      </c>
      <c r="K30" s="480" t="s">
        <v>1368</v>
      </c>
      <c r="L30" s="486" t="s">
        <v>1188</v>
      </c>
      <c r="M30" s="487">
        <v>1000</v>
      </c>
      <c r="N30" s="518" t="s">
        <v>2647</v>
      </c>
      <c r="O30" s="499" t="s">
        <v>1368</v>
      </c>
      <c r="P30" s="119"/>
      <c r="Q30" s="112"/>
      <c r="R30" s="114"/>
      <c r="S30" s="134"/>
    </row>
    <row r="31" spans="2:19" s="73" customFormat="1">
      <c r="B31" s="272"/>
      <c r="C31"/>
      <c r="D31" s="273"/>
      <c r="E31" s="274"/>
      <c r="F31" s="273"/>
      <c r="G31" s="24"/>
      <c r="H31" s="22"/>
      <c r="I31" s="110"/>
      <c r="J31" s="118"/>
      <c r="K31" s="106"/>
      <c r="L31" s="113"/>
      <c r="M31" s="112"/>
      <c r="N31" s="108"/>
      <c r="O31" s="108"/>
      <c r="P31" s="119"/>
      <c r="Q31" s="112"/>
      <c r="R31" s="114"/>
      <c r="S31" s="134"/>
    </row>
    <row r="32" spans="2:19" s="73" customFormat="1" ht="13.5">
      <c r="B32" s="104">
        <f>+B14+1</f>
        <v>8</v>
      </c>
      <c r="C32" s="265" t="s">
        <v>2660</v>
      </c>
      <c r="D32" s="266"/>
      <c r="E32" s="265" t="s">
        <v>845</v>
      </c>
      <c r="F32" s="266"/>
      <c r="G32" s="267" t="s">
        <v>2621</v>
      </c>
      <c r="H32" s="22"/>
      <c r="I32" s="110">
        <v>7</v>
      </c>
      <c r="J32" s="118"/>
      <c r="K32" s="106"/>
      <c r="L32" s="113"/>
      <c r="M32" s="112"/>
      <c r="N32" s="108"/>
      <c r="O32" s="108"/>
      <c r="P32" s="119"/>
      <c r="Q32" s="112"/>
      <c r="R32" s="114"/>
      <c r="S32" s="134"/>
    </row>
    <row r="33" spans="2:19" s="73" customFormat="1" ht="13.5">
      <c r="B33" s="104">
        <f t="shared" si="0"/>
        <v>9</v>
      </c>
      <c r="C33" s="265" t="s">
        <v>2661</v>
      </c>
      <c r="D33" s="266"/>
      <c r="E33" s="265" t="s">
        <v>845</v>
      </c>
      <c r="F33" s="266"/>
      <c r="G33" s="267" t="s">
        <v>2623</v>
      </c>
      <c r="H33" s="22"/>
      <c r="I33" s="110">
        <v>8</v>
      </c>
      <c r="J33" s="118"/>
      <c r="K33" s="106"/>
      <c r="L33" s="113"/>
      <c r="M33" s="112"/>
      <c r="N33" s="108"/>
      <c r="O33" s="108"/>
      <c r="P33" s="119"/>
      <c r="Q33" s="112"/>
      <c r="R33" s="114"/>
      <c r="S33" s="134"/>
    </row>
    <row r="34" spans="2:19" s="73" customFormat="1" ht="13.5">
      <c r="B34" s="104">
        <f t="shared" si="0"/>
        <v>10</v>
      </c>
      <c r="C34" s="265" t="s">
        <v>2662</v>
      </c>
      <c r="D34" s="266"/>
      <c r="E34" s="265" t="s">
        <v>845</v>
      </c>
      <c r="F34" s="266"/>
      <c r="G34" s="267" t="s">
        <v>2663</v>
      </c>
      <c r="H34" s="22"/>
      <c r="I34" s="110">
        <v>9</v>
      </c>
      <c r="J34" s="118"/>
      <c r="K34" s="106"/>
      <c r="L34" s="113"/>
      <c r="M34" s="112"/>
      <c r="N34" s="108"/>
      <c r="O34" s="108"/>
      <c r="P34" s="119"/>
      <c r="Q34" s="112"/>
      <c r="R34" s="114"/>
      <c r="S34" s="134"/>
    </row>
    <row r="35" spans="2:19" s="73" customFormat="1" ht="13.5">
      <c r="B35" s="104">
        <f t="shared" si="0"/>
        <v>11</v>
      </c>
      <c r="C35" s="265" t="s">
        <v>2664</v>
      </c>
      <c r="D35" s="266"/>
      <c r="E35" s="265" t="s">
        <v>845</v>
      </c>
      <c r="F35" s="266"/>
      <c r="G35" s="267" t="s">
        <v>2626</v>
      </c>
      <c r="H35" s="22"/>
      <c r="I35" s="110">
        <v>10</v>
      </c>
      <c r="J35" s="117"/>
      <c r="K35" s="120"/>
      <c r="L35" s="113"/>
      <c r="M35" s="112"/>
      <c r="N35" s="108"/>
      <c r="O35" s="108"/>
      <c r="P35" s="112"/>
      <c r="Q35" s="112"/>
      <c r="R35" s="114"/>
      <c r="S35" s="134"/>
    </row>
    <row r="36" spans="2:19" s="73" customFormat="1" ht="13.5">
      <c r="B36" s="104">
        <f t="shared" si="0"/>
        <v>12</v>
      </c>
      <c r="C36" s="265" t="s">
        <v>2665</v>
      </c>
      <c r="D36" s="266"/>
      <c r="E36" s="265" t="s">
        <v>845</v>
      </c>
      <c r="F36" s="266"/>
      <c r="G36" s="267" t="s">
        <v>2666</v>
      </c>
      <c r="H36" s="22"/>
      <c r="I36" s="110">
        <v>11</v>
      </c>
      <c r="J36" s="117"/>
      <c r="K36" s="112"/>
      <c r="L36" s="113"/>
      <c r="M36" s="112"/>
      <c r="N36" s="114"/>
      <c r="O36" s="114"/>
      <c r="P36" s="112"/>
      <c r="Q36" s="112"/>
      <c r="R36" s="114"/>
      <c r="S36" s="134"/>
    </row>
    <row r="37" spans="2:19" s="73" customFormat="1" ht="13.5">
      <c r="B37" s="104">
        <f t="shared" si="0"/>
        <v>13</v>
      </c>
      <c r="C37" s="265" t="s">
        <v>2667</v>
      </c>
      <c r="D37" s="266"/>
      <c r="E37" s="265" t="s">
        <v>845</v>
      </c>
      <c r="F37" s="266"/>
      <c r="G37" s="267" t="s">
        <v>2668</v>
      </c>
      <c r="H37" s="22"/>
      <c r="I37" s="110">
        <v>12</v>
      </c>
      <c r="J37" s="117"/>
      <c r="K37" s="120"/>
      <c r="L37" s="113"/>
      <c r="M37" s="112"/>
      <c r="N37" s="114"/>
      <c r="O37" s="114"/>
      <c r="P37" s="112"/>
      <c r="Q37" s="112"/>
      <c r="R37" s="114"/>
      <c r="S37" s="134"/>
    </row>
    <row r="38" spans="2:19" s="73" customFormat="1" ht="13.5">
      <c r="B38" s="104">
        <f t="shared" si="0"/>
        <v>14</v>
      </c>
      <c r="C38" s="265" t="s">
        <v>2669</v>
      </c>
      <c r="D38" s="266"/>
      <c r="E38" s="265" t="s">
        <v>845</v>
      </c>
      <c r="F38" s="266"/>
      <c r="G38" s="267" t="s">
        <v>2628</v>
      </c>
      <c r="H38" s="22"/>
      <c r="I38" s="110">
        <v>13</v>
      </c>
      <c r="J38" s="117"/>
      <c r="K38" s="120"/>
      <c r="L38" s="113"/>
      <c r="M38" s="112"/>
      <c r="N38" s="114"/>
      <c r="O38" s="114"/>
      <c r="P38" s="112"/>
      <c r="Q38" s="112"/>
      <c r="R38" s="114"/>
      <c r="S38" s="134"/>
    </row>
    <row r="39" spans="2:19" s="73" customFormat="1" ht="13.5">
      <c r="B39" s="104">
        <f t="shared" si="0"/>
        <v>15</v>
      </c>
      <c r="C39" s="265" t="s">
        <v>2670</v>
      </c>
      <c r="D39" s="266"/>
      <c r="E39" s="265" t="s">
        <v>845</v>
      </c>
      <c r="F39" s="266"/>
      <c r="G39" s="267" t="s">
        <v>2633</v>
      </c>
      <c r="H39" s="22"/>
      <c r="I39" s="110">
        <v>14</v>
      </c>
      <c r="J39" s="118"/>
      <c r="K39" s="119"/>
      <c r="L39" s="113"/>
      <c r="M39" s="112"/>
      <c r="N39" s="108"/>
      <c r="O39" s="108"/>
      <c r="P39" s="119"/>
      <c r="Q39" s="119"/>
      <c r="R39" s="108"/>
      <c r="S39" s="134"/>
    </row>
    <row r="40" spans="2:19" s="73" customFormat="1" ht="13.5">
      <c r="B40" s="104">
        <f t="shared" si="0"/>
        <v>16</v>
      </c>
      <c r="C40" s="265" t="s">
        <v>2671</v>
      </c>
      <c r="D40" s="266"/>
      <c r="E40" s="265" t="s">
        <v>845</v>
      </c>
      <c r="F40" s="266"/>
      <c r="G40" s="267" t="s">
        <v>2672</v>
      </c>
      <c r="H40" s="22"/>
      <c r="I40" s="110">
        <v>15</v>
      </c>
      <c r="J40" s="118"/>
      <c r="K40" s="119"/>
      <c r="L40" s="113"/>
      <c r="M40" s="112"/>
      <c r="N40" s="108"/>
      <c r="O40" s="108"/>
      <c r="P40" s="119"/>
      <c r="Q40" s="119"/>
      <c r="R40" s="108"/>
      <c r="S40" s="134"/>
    </row>
    <row r="41" spans="2:19" s="73" customFormat="1" ht="13.5">
      <c r="B41" s="104">
        <f t="shared" si="0"/>
        <v>17</v>
      </c>
      <c r="C41" s="265" t="s">
        <v>2673</v>
      </c>
      <c r="D41" s="266"/>
      <c r="E41" s="265" t="s">
        <v>845</v>
      </c>
      <c r="F41" s="266"/>
      <c r="G41" s="267" t="s">
        <v>2674</v>
      </c>
      <c r="H41" s="22"/>
      <c r="I41" s="110">
        <v>16</v>
      </c>
      <c r="J41" s="105"/>
      <c r="K41" s="119"/>
      <c r="L41" s="113"/>
      <c r="M41" s="112"/>
      <c r="N41" s="114"/>
      <c r="O41" s="114"/>
      <c r="P41" s="119"/>
      <c r="Q41" s="119"/>
      <c r="R41" s="108"/>
      <c r="S41" s="134"/>
    </row>
    <row r="42" spans="2:19" s="73" customFormat="1" ht="13.5">
      <c r="B42" s="104">
        <f t="shared" si="0"/>
        <v>18</v>
      </c>
      <c r="C42" s="265" t="s">
        <v>2675</v>
      </c>
      <c r="D42" s="266"/>
      <c r="E42" s="265" t="s">
        <v>845</v>
      </c>
      <c r="F42" s="266"/>
      <c r="G42" s="267" t="s">
        <v>2676</v>
      </c>
      <c r="H42" s="22"/>
      <c r="I42" s="110">
        <v>17</v>
      </c>
      <c r="J42" s="105"/>
      <c r="K42" s="119"/>
      <c r="L42" s="113"/>
      <c r="M42" s="112"/>
      <c r="N42" s="114"/>
      <c r="O42" s="114"/>
      <c r="P42" s="119"/>
      <c r="Q42" s="119"/>
      <c r="R42" s="108"/>
      <c r="S42" s="134"/>
    </row>
    <row r="43" spans="2:19" s="73" customFormat="1" ht="13.5">
      <c r="B43" s="104">
        <f t="shared" si="0"/>
        <v>19</v>
      </c>
      <c r="C43" s="265" t="s">
        <v>2677</v>
      </c>
      <c r="D43" s="266"/>
      <c r="E43" s="265" t="s">
        <v>845</v>
      </c>
      <c r="F43" s="266"/>
      <c r="G43" s="267" t="s">
        <v>2678</v>
      </c>
      <c r="H43" s="22"/>
      <c r="I43" s="110">
        <v>18</v>
      </c>
      <c r="J43" s="105"/>
      <c r="K43" s="119"/>
      <c r="L43" s="113"/>
      <c r="M43" s="112"/>
      <c r="N43" s="114"/>
      <c r="O43" s="114"/>
      <c r="P43" s="119"/>
      <c r="Q43" s="119"/>
      <c r="R43" s="108"/>
      <c r="S43" s="134"/>
    </row>
    <row r="44" spans="2:19" s="73" customFormat="1" ht="13.5">
      <c r="B44" s="104">
        <f t="shared" si="0"/>
        <v>20</v>
      </c>
      <c r="C44" s="265" t="s">
        <v>2679</v>
      </c>
      <c r="D44" s="266"/>
      <c r="E44" s="265" t="s">
        <v>845</v>
      </c>
      <c r="F44" s="266"/>
      <c r="G44" s="267" t="s">
        <v>2680</v>
      </c>
      <c r="H44" s="22"/>
      <c r="I44" s="110">
        <v>19</v>
      </c>
      <c r="J44" s="105"/>
      <c r="K44" s="119"/>
      <c r="L44" s="113"/>
      <c r="M44" s="112"/>
      <c r="N44" s="114"/>
      <c r="O44" s="114"/>
      <c r="P44" s="119"/>
      <c r="Q44" s="119"/>
      <c r="R44" s="108"/>
      <c r="S44" s="134"/>
    </row>
    <row r="45" spans="2:19" s="73" customFormat="1" ht="13.5">
      <c r="B45" s="104">
        <f t="shared" si="0"/>
        <v>21</v>
      </c>
      <c r="C45" s="265" t="s">
        <v>2681</v>
      </c>
      <c r="D45" s="266"/>
      <c r="E45" s="265" t="s">
        <v>845</v>
      </c>
      <c r="F45" s="266"/>
      <c r="G45" s="267" t="s">
        <v>2682</v>
      </c>
      <c r="H45" s="22"/>
      <c r="I45" s="110">
        <v>20</v>
      </c>
      <c r="J45" s="105"/>
      <c r="K45" s="119"/>
      <c r="L45" s="113"/>
      <c r="M45" s="112"/>
      <c r="N45" s="114"/>
      <c r="O45" s="114"/>
      <c r="P45" s="119"/>
      <c r="Q45" s="119"/>
      <c r="R45" s="108"/>
      <c r="S45" s="134"/>
    </row>
    <row r="46" spans="2:19" s="73" customFormat="1" ht="13.5">
      <c r="B46" s="104">
        <f t="shared" si="0"/>
        <v>22</v>
      </c>
      <c r="C46" s="265" t="s">
        <v>2683</v>
      </c>
      <c r="D46" s="266"/>
      <c r="E46" s="265" t="s">
        <v>845</v>
      </c>
      <c r="F46" s="266"/>
      <c r="G46" s="267" t="s">
        <v>2684</v>
      </c>
      <c r="H46" s="22"/>
      <c r="I46" s="110">
        <v>21</v>
      </c>
      <c r="J46" s="105"/>
      <c r="K46" s="119"/>
      <c r="L46" s="113"/>
      <c r="M46" s="112"/>
      <c r="N46" s="114"/>
      <c r="O46" s="114"/>
      <c r="P46" s="119"/>
      <c r="Q46" s="119"/>
      <c r="R46" s="108"/>
      <c r="S46" s="134"/>
    </row>
    <row r="47" spans="2:19" s="73" customFormat="1" ht="13.5">
      <c r="B47" s="104">
        <f t="shared" si="0"/>
        <v>23</v>
      </c>
      <c r="C47" s="265" t="s">
        <v>2685</v>
      </c>
      <c r="D47" s="266"/>
      <c r="E47" s="265" t="s">
        <v>845</v>
      </c>
      <c r="F47" s="266"/>
      <c r="G47" s="267" t="s">
        <v>2686</v>
      </c>
      <c r="H47" s="22"/>
      <c r="I47" s="110">
        <v>22</v>
      </c>
      <c r="J47" s="105"/>
      <c r="K47" s="119"/>
      <c r="L47" s="113"/>
      <c r="M47" s="112"/>
      <c r="N47" s="114"/>
      <c r="O47" s="114"/>
      <c r="P47" s="119"/>
      <c r="Q47" s="119"/>
      <c r="R47" s="108"/>
      <c r="S47" s="134"/>
    </row>
    <row r="48" spans="2:19" s="73" customFormat="1" ht="13.5">
      <c r="B48" s="104">
        <f t="shared" si="0"/>
        <v>24</v>
      </c>
      <c r="C48" s="265" t="s">
        <v>2687</v>
      </c>
      <c r="D48" s="266"/>
      <c r="E48" s="265" t="s">
        <v>845</v>
      </c>
      <c r="F48" s="266"/>
      <c r="G48" s="267" t="s">
        <v>2639</v>
      </c>
      <c r="H48" s="22"/>
      <c r="I48" s="110">
        <v>23</v>
      </c>
      <c r="J48" s="105"/>
      <c r="K48" s="119"/>
      <c r="L48" s="113"/>
      <c r="M48" s="112"/>
      <c r="N48" s="114"/>
      <c r="O48" s="114"/>
      <c r="P48" s="119"/>
      <c r="Q48" s="119"/>
      <c r="R48" s="108"/>
      <c r="S48" s="134"/>
    </row>
    <row r="49" spans="2:19" s="73" customFormat="1" ht="13.5">
      <c r="B49" s="104">
        <f t="shared" si="0"/>
        <v>25</v>
      </c>
      <c r="C49" s="265" t="s">
        <v>2688</v>
      </c>
      <c r="D49" s="266"/>
      <c r="E49" s="265" t="s">
        <v>845</v>
      </c>
      <c r="F49" s="266"/>
      <c r="G49" s="267" t="s">
        <v>2645</v>
      </c>
      <c r="H49" s="22"/>
      <c r="I49" s="110">
        <v>24</v>
      </c>
      <c r="J49" s="105"/>
      <c r="K49" s="119"/>
      <c r="L49" s="113"/>
      <c r="M49" s="112"/>
      <c r="N49" s="114"/>
      <c r="O49" s="114"/>
      <c r="P49" s="119"/>
      <c r="Q49" s="119"/>
      <c r="R49" s="108"/>
      <c r="S49" s="134"/>
    </row>
    <row r="50" spans="2:19" s="73" customFormat="1" ht="13.5">
      <c r="B50" s="104">
        <f t="shared" si="0"/>
        <v>26</v>
      </c>
      <c r="C50" s="121"/>
      <c r="D50" s="119"/>
      <c r="E50" s="107"/>
      <c r="F50" s="107"/>
      <c r="G50" s="108"/>
      <c r="H50" s="109"/>
      <c r="I50" s="110">
        <v>25</v>
      </c>
      <c r="J50" s="105"/>
      <c r="K50" s="119"/>
      <c r="L50" s="113"/>
      <c r="M50" s="112"/>
      <c r="N50" s="114"/>
      <c r="O50" s="114"/>
      <c r="P50" s="119"/>
      <c r="Q50" s="119"/>
      <c r="R50" s="108"/>
      <c r="S50" s="134"/>
    </row>
    <row r="51" spans="2:19" s="73" customFormat="1" ht="13.5">
      <c r="B51" s="104">
        <f t="shared" si="0"/>
        <v>27</v>
      </c>
      <c r="C51" s="121"/>
      <c r="D51" s="119"/>
      <c r="E51" s="107"/>
      <c r="F51" s="107"/>
      <c r="G51" s="108"/>
      <c r="H51" s="109"/>
      <c r="I51" s="110">
        <v>26</v>
      </c>
      <c r="J51" s="105"/>
      <c r="K51" s="119"/>
      <c r="L51" s="113"/>
      <c r="M51" s="112"/>
      <c r="N51" s="114"/>
      <c r="O51" s="114"/>
      <c r="P51" s="119"/>
      <c r="Q51" s="119"/>
      <c r="R51" s="108"/>
      <c r="S51" s="134"/>
    </row>
    <row r="52" spans="2:19" s="73" customFormat="1" ht="13.5">
      <c r="B52" s="104">
        <f t="shared" si="0"/>
        <v>28</v>
      </c>
      <c r="C52" s="121"/>
      <c r="D52" s="119"/>
      <c r="E52" s="107"/>
      <c r="F52" s="107"/>
      <c r="G52" s="108"/>
      <c r="H52" s="109"/>
      <c r="I52" s="110">
        <v>27</v>
      </c>
      <c r="J52" s="105"/>
      <c r="K52" s="119"/>
      <c r="L52" s="113"/>
      <c r="M52" s="112"/>
      <c r="N52" s="114"/>
      <c r="O52" s="114"/>
      <c r="P52" s="119"/>
      <c r="Q52" s="119"/>
      <c r="R52" s="108"/>
      <c r="S52" s="134"/>
    </row>
    <row r="53" spans="2:19" s="73" customFormat="1" ht="13.5">
      <c r="B53" s="104">
        <f t="shared" si="0"/>
        <v>29</v>
      </c>
      <c r="C53" s="121"/>
      <c r="D53" s="119"/>
      <c r="E53" s="107"/>
      <c r="F53" s="107"/>
      <c r="G53" s="108"/>
      <c r="H53" s="109"/>
      <c r="I53" s="110">
        <v>28</v>
      </c>
      <c r="J53" s="105"/>
      <c r="K53" s="119"/>
      <c r="L53" s="113"/>
      <c r="M53" s="112"/>
      <c r="N53" s="114"/>
      <c r="O53" s="114"/>
      <c r="P53" s="119"/>
      <c r="Q53" s="119"/>
      <c r="R53" s="108"/>
      <c r="S53" s="134"/>
    </row>
    <row r="54" spans="2:19" s="73" customFormat="1" ht="13.5">
      <c r="B54" s="104">
        <f t="shared" si="0"/>
        <v>30</v>
      </c>
      <c r="C54" s="121"/>
      <c r="D54" s="119"/>
      <c r="E54" s="107"/>
      <c r="F54" s="107"/>
      <c r="G54" s="108"/>
      <c r="H54" s="109"/>
      <c r="I54" s="110">
        <v>29</v>
      </c>
      <c r="J54" s="105"/>
      <c r="K54" s="119"/>
      <c r="L54" s="113"/>
      <c r="M54" s="112"/>
      <c r="N54" s="114"/>
      <c r="O54" s="114"/>
      <c r="P54" s="119"/>
      <c r="Q54" s="119"/>
      <c r="R54" s="108"/>
      <c r="S54" s="134"/>
    </row>
    <row r="55" spans="2:19" s="73" customFormat="1" ht="13.5">
      <c r="B55" s="104">
        <f t="shared" si="0"/>
        <v>31</v>
      </c>
      <c r="C55" s="121"/>
      <c r="D55" s="119"/>
      <c r="E55" s="107"/>
      <c r="F55" s="107"/>
      <c r="G55" s="108"/>
      <c r="H55" s="109"/>
      <c r="I55" s="110">
        <v>30</v>
      </c>
      <c r="J55" s="105"/>
      <c r="K55" s="119"/>
      <c r="L55" s="113"/>
      <c r="M55" s="112"/>
      <c r="N55" s="114"/>
      <c r="O55" s="114"/>
      <c r="P55" s="119"/>
      <c r="Q55" s="119"/>
      <c r="R55" s="108"/>
      <c r="S55" s="134"/>
    </row>
    <row r="56" spans="2:19" s="73" customFormat="1" ht="13.5">
      <c r="B56" s="104">
        <f t="shared" si="0"/>
        <v>32</v>
      </c>
      <c r="C56" s="121"/>
      <c r="D56" s="119"/>
      <c r="E56" s="107"/>
      <c r="F56" s="107"/>
      <c r="G56" s="108"/>
      <c r="H56" s="109"/>
      <c r="I56" s="110">
        <v>31</v>
      </c>
      <c r="J56" s="105"/>
      <c r="K56" s="119"/>
      <c r="L56" s="113"/>
      <c r="M56" s="112"/>
      <c r="N56" s="114"/>
      <c r="O56" s="114"/>
      <c r="P56" s="119"/>
      <c r="Q56" s="119"/>
      <c r="R56" s="108"/>
      <c r="S56" s="134"/>
    </row>
    <row r="57" spans="2:19" s="73" customFormat="1" ht="14.25" thickBot="1">
      <c r="B57" s="129"/>
      <c r="C57" s="130"/>
      <c r="D57" s="131"/>
      <c r="E57" s="131"/>
      <c r="F57" s="131"/>
      <c r="G57" s="131"/>
      <c r="H57" s="132"/>
      <c r="I57" s="135"/>
      <c r="J57" s="130"/>
      <c r="K57" s="131"/>
      <c r="L57" s="130"/>
      <c r="M57" s="131"/>
      <c r="N57" s="131"/>
      <c r="O57" s="131"/>
      <c r="P57" s="131"/>
      <c r="Q57" s="131"/>
      <c r="R57" s="131"/>
      <c r="S57" s="136"/>
    </row>
    <row r="58" spans="2:19">
      <c r="B58" s="100"/>
      <c r="C58" s="100"/>
      <c r="D58" s="100"/>
      <c r="E58" s="100"/>
      <c r="F58" s="100"/>
      <c r="G58" s="100"/>
      <c r="H58" s="100"/>
      <c r="I58" s="100"/>
      <c r="J58" s="100"/>
      <c r="K58" s="100"/>
      <c r="L58" s="100"/>
      <c r="M58" s="100"/>
      <c r="N58" s="133"/>
      <c r="O58" s="133"/>
      <c r="P58" s="100"/>
      <c r="Q58" s="133"/>
      <c r="R58" s="133"/>
      <c r="S58" s="100"/>
    </row>
    <row r="59" spans="2:19">
      <c r="B59" s="51" t="s">
        <v>1025</v>
      </c>
      <c r="C59" s="73"/>
      <c r="D59" s="73"/>
      <c r="E59" s="73"/>
      <c r="F59" s="73"/>
      <c r="G59" s="73"/>
      <c r="H59" s="73"/>
      <c r="I59" s="73"/>
      <c r="J59" s="73"/>
      <c r="K59" s="73"/>
      <c r="L59" s="73"/>
      <c r="M59" s="73"/>
      <c r="N59" s="75"/>
      <c r="O59" s="75"/>
      <c r="P59" s="73"/>
      <c r="Q59" s="75"/>
      <c r="R59" s="75"/>
      <c r="S59" s="73"/>
    </row>
    <row r="60" spans="2:19">
      <c r="B60" s="976" t="s">
        <v>826</v>
      </c>
      <c r="C60" s="976"/>
      <c r="D60" s="976" t="s">
        <v>1029</v>
      </c>
      <c r="E60" s="976"/>
      <c r="F60" s="976"/>
      <c r="G60" s="976"/>
      <c r="H60" s="976"/>
      <c r="I60" s="976"/>
      <c r="J60" s="976"/>
      <c r="K60" s="976"/>
      <c r="L60" s="976"/>
      <c r="M60" s="976"/>
      <c r="N60" s="976"/>
      <c r="O60" s="976"/>
      <c r="P60" s="976"/>
      <c r="Q60" s="976"/>
      <c r="R60" s="976"/>
      <c r="S60" s="976"/>
    </row>
    <row r="61" spans="2:19">
      <c r="B61" s="977" t="s">
        <v>1033</v>
      </c>
      <c r="C61" s="978"/>
      <c r="D61" s="1078"/>
      <c r="E61" s="1079"/>
      <c r="F61" s="1079"/>
      <c r="G61" s="1079"/>
      <c r="H61" s="1079"/>
      <c r="I61" s="1079"/>
      <c r="J61" s="1079"/>
      <c r="K61" s="1079"/>
      <c r="L61" s="1079"/>
      <c r="M61" s="1079"/>
      <c r="N61" s="1079"/>
      <c r="O61" s="1079"/>
      <c r="P61" s="1079"/>
      <c r="Q61" s="1079"/>
      <c r="R61" s="1079"/>
      <c r="S61" s="1080"/>
    </row>
    <row r="62" spans="2:19">
      <c r="B62" s="1008" t="s">
        <v>1038</v>
      </c>
      <c r="C62" s="1009"/>
      <c r="D62" s="1081"/>
      <c r="E62" s="1082"/>
      <c r="F62" s="1082"/>
      <c r="G62" s="1082"/>
      <c r="H62" s="1082"/>
      <c r="I62" s="1082"/>
      <c r="J62" s="1082"/>
      <c r="K62" s="1082"/>
      <c r="L62" s="1082"/>
      <c r="M62" s="1082"/>
      <c r="N62" s="1082"/>
      <c r="O62" s="1082"/>
      <c r="P62" s="1082"/>
      <c r="Q62" s="1082"/>
      <c r="R62" s="1082"/>
      <c r="S62" s="1083"/>
    </row>
    <row r="63" spans="2:19">
      <c r="B63" s="75"/>
      <c r="C63" s="75"/>
      <c r="D63" s="5"/>
      <c r="E63" s="5"/>
      <c r="F63" s="5"/>
      <c r="G63" s="5"/>
      <c r="H63" s="5"/>
      <c r="I63" s="5"/>
      <c r="J63" s="5"/>
      <c r="K63" s="5"/>
      <c r="L63" s="5"/>
      <c r="M63" s="5"/>
      <c r="N63" s="5"/>
      <c r="O63" s="5"/>
      <c r="P63" s="5"/>
      <c r="Q63" s="5"/>
      <c r="R63" s="5"/>
      <c r="S63" s="5"/>
    </row>
    <row r="64" spans="2:19">
      <c r="B64" s="51" t="s">
        <v>1045</v>
      </c>
      <c r="C64" s="73"/>
      <c r="D64" s="4"/>
      <c r="E64" s="4"/>
      <c r="F64" s="4"/>
      <c r="G64" s="4"/>
      <c r="H64" s="4"/>
      <c r="I64" s="4"/>
      <c r="J64" s="4"/>
      <c r="K64" s="4"/>
      <c r="L64" s="4"/>
      <c r="M64" s="4"/>
      <c r="N64" s="5"/>
      <c r="O64" s="5"/>
      <c r="P64" s="4"/>
      <c r="Q64" s="5"/>
      <c r="R64" s="5"/>
      <c r="S64" s="4"/>
    </row>
    <row r="65" spans="2:19">
      <c r="B65" s="1014" t="s">
        <v>1049</v>
      </c>
      <c r="C65" s="1014"/>
      <c r="D65" s="1085"/>
      <c r="E65" s="1084"/>
      <c r="F65" s="1084"/>
      <c r="G65" s="1084"/>
      <c r="H65" s="1084"/>
      <c r="I65" s="1084"/>
      <c r="J65" s="1084"/>
      <c r="K65" s="1084"/>
      <c r="L65" s="1084"/>
      <c r="M65" s="1084"/>
      <c r="N65" s="1084"/>
      <c r="O65" s="1084"/>
      <c r="P65" s="1084"/>
      <c r="Q65" s="1084"/>
      <c r="R65" s="1084"/>
      <c r="S65" s="1084"/>
    </row>
    <row r="66" spans="2:19">
      <c r="B66" s="976" t="s">
        <v>1053</v>
      </c>
      <c r="C66" s="976"/>
      <c r="D66" s="1084"/>
      <c r="E66" s="1084"/>
      <c r="F66" s="1084"/>
      <c r="G66" s="1084"/>
      <c r="H66" s="1084"/>
      <c r="I66" s="1084"/>
      <c r="J66" s="1084"/>
      <c r="K66" s="1084"/>
      <c r="L66" s="1084"/>
      <c r="M66" s="1084"/>
      <c r="N66" s="1084"/>
      <c r="O66" s="1084"/>
      <c r="P66" s="1084"/>
      <c r="Q66" s="1084"/>
      <c r="R66" s="1084"/>
      <c r="S66" s="1084"/>
    </row>
    <row r="67" spans="2:19">
      <c r="B67" s="976" t="s">
        <v>1057</v>
      </c>
      <c r="C67" s="976"/>
      <c r="D67" s="1084"/>
      <c r="E67" s="1084"/>
      <c r="F67" s="1084"/>
      <c r="G67" s="1084"/>
      <c r="H67" s="1084"/>
      <c r="I67" s="1084"/>
      <c r="J67" s="1084"/>
      <c r="K67" s="1084"/>
      <c r="L67" s="1084"/>
      <c r="M67" s="1084"/>
      <c r="N67" s="1084"/>
      <c r="O67" s="1084"/>
      <c r="P67" s="1084"/>
      <c r="Q67" s="1084"/>
      <c r="R67" s="1084"/>
      <c r="S67" s="1084"/>
    </row>
    <row r="68" spans="2:19">
      <c r="B68" s="976" t="s">
        <v>1061</v>
      </c>
      <c r="C68" s="976"/>
      <c r="D68" s="1084"/>
      <c r="E68" s="1084"/>
      <c r="F68" s="1084"/>
      <c r="G68" s="1084"/>
      <c r="H68" s="1084"/>
      <c r="I68" s="1084"/>
      <c r="J68" s="1084"/>
      <c r="K68" s="1084"/>
      <c r="L68" s="1084"/>
      <c r="M68" s="1084"/>
      <c r="N68" s="1084"/>
      <c r="O68" s="1084"/>
      <c r="P68" s="1084"/>
      <c r="Q68" s="1084"/>
      <c r="R68" s="1084"/>
      <c r="S68" s="1084"/>
    </row>
    <row r="69" spans="2:19" s="73" customFormat="1" ht="13.5"/>
    <row r="70" spans="2:19" s="50" customFormat="1" ht="13.5">
      <c r="B70" s="50" t="s">
        <v>2442</v>
      </c>
      <c r="C70" s="21"/>
      <c r="D70" s="20"/>
      <c r="E70" s="20"/>
      <c r="F70" s="20"/>
      <c r="G70" s="20"/>
      <c r="H70" s="20"/>
      <c r="I70" s="20"/>
      <c r="J70" s="20"/>
      <c r="K70" s="20"/>
      <c r="L70" s="20"/>
      <c r="M70" s="20"/>
      <c r="N70" s="20"/>
      <c r="O70" s="21"/>
      <c r="P70" s="21"/>
      <c r="Q70" s="20"/>
      <c r="R70" s="21"/>
      <c r="S70" s="21"/>
    </row>
    <row r="71" spans="2:19" s="50" customFormat="1" ht="13.5">
      <c r="B71" s="50" t="s">
        <v>2443</v>
      </c>
      <c r="C71" s="21"/>
      <c r="D71" s="20"/>
      <c r="E71" s="20"/>
      <c r="F71" s="20"/>
      <c r="G71" s="20"/>
      <c r="H71" s="20"/>
      <c r="I71" s="20"/>
      <c r="J71" s="20"/>
      <c r="K71" s="20"/>
      <c r="L71" s="20"/>
      <c r="M71" s="20"/>
      <c r="N71" s="20"/>
      <c r="O71" s="21"/>
      <c r="P71" s="21"/>
      <c r="Q71" s="20"/>
      <c r="R71" s="21"/>
      <c r="S71" s="21"/>
    </row>
    <row r="72" spans="2:19" s="50" customFormat="1" ht="13.5">
      <c r="B72" s="50" t="s">
        <v>2444</v>
      </c>
      <c r="C72" s="21"/>
      <c r="D72" s="20"/>
      <c r="E72" s="20"/>
      <c r="F72" s="20"/>
      <c r="G72" s="20"/>
      <c r="H72" s="20"/>
      <c r="I72" s="20"/>
      <c r="J72" s="20"/>
      <c r="K72" s="20"/>
      <c r="L72" s="20"/>
      <c r="M72" s="20"/>
      <c r="N72" s="20"/>
      <c r="O72" s="21"/>
      <c r="P72" s="21"/>
      <c r="Q72" s="20"/>
      <c r="R72" s="21"/>
      <c r="S72" s="21"/>
    </row>
    <row r="73" spans="2:19" s="50" customFormat="1" ht="13.5">
      <c r="B73" s="50" t="s">
        <v>2445</v>
      </c>
      <c r="C73" s="21"/>
      <c r="D73" s="20"/>
      <c r="E73" s="20"/>
      <c r="F73" s="20"/>
      <c r="G73" s="20"/>
      <c r="H73" s="20"/>
      <c r="I73" s="20"/>
      <c r="J73" s="20"/>
      <c r="K73" s="20"/>
      <c r="L73" s="20"/>
      <c r="M73" s="20"/>
      <c r="N73" s="20"/>
      <c r="O73" s="21"/>
      <c r="P73" s="21"/>
      <c r="Q73" s="20"/>
      <c r="R73" s="21"/>
      <c r="S73" s="21"/>
    </row>
    <row r="74" spans="2:19" s="50" customFormat="1" ht="13.5">
      <c r="B74" s="50" t="s">
        <v>2446</v>
      </c>
      <c r="C74" s="21"/>
      <c r="D74" s="20"/>
      <c r="E74" s="20"/>
      <c r="F74" s="20"/>
      <c r="G74" s="20"/>
      <c r="H74" s="20"/>
      <c r="I74" s="20"/>
      <c r="J74" s="20"/>
      <c r="K74" s="20"/>
      <c r="L74" s="20"/>
      <c r="M74" s="20"/>
      <c r="N74" s="20"/>
      <c r="O74" s="21"/>
      <c r="P74" s="21"/>
      <c r="Q74" s="20"/>
      <c r="R74" s="21"/>
      <c r="S74" s="21"/>
    </row>
    <row r="75" spans="2:19" s="50" customFormat="1" ht="13.5">
      <c r="B75" s="50" t="s">
        <v>2447</v>
      </c>
    </row>
    <row r="76" spans="2:19" s="50" customFormat="1" ht="13.5">
      <c r="B76" s="50" t="s">
        <v>2448</v>
      </c>
    </row>
    <row r="77" spans="2:19" s="50" customFormat="1" ht="13.5">
      <c r="B77" s="50" t="s">
        <v>2449</v>
      </c>
    </row>
    <row r="78" spans="2:19" s="50" customFormat="1" ht="13.5">
      <c r="B78" s="50" t="s">
        <v>2450</v>
      </c>
    </row>
    <row r="79" spans="2:19" s="50" customFormat="1" ht="13.5"/>
    <row r="80" spans="2:19" s="50" customFormat="1" ht="13.5"/>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s="73" customFormat="1" ht="13.5"/>
    <row r="100" s="73" customFormat="1" ht="13.5"/>
    <row r="101" s="73" customFormat="1" ht="13.5"/>
    <row r="102" s="73" customFormat="1" ht="13.5"/>
  </sheetData>
  <mergeCells count="25">
    <mergeCell ref="B60:C60"/>
    <mergeCell ref="D60:S60"/>
    <mergeCell ref="B61:C61"/>
    <mergeCell ref="B5:H5"/>
    <mergeCell ref="I5:Q5"/>
    <mergeCell ref="R5:R7"/>
    <mergeCell ref="S5:S7"/>
    <mergeCell ref="C6:H6"/>
    <mergeCell ref="J6:Q6"/>
    <mergeCell ref="D61:S61"/>
    <mergeCell ref="B2:I3"/>
    <mergeCell ref="K2:N2"/>
    <mergeCell ref="P2:S2"/>
    <mergeCell ref="K3:N3"/>
    <mergeCell ref="P3:S3"/>
    <mergeCell ref="B62:C62"/>
    <mergeCell ref="D62:S62"/>
    <mergeCell ref="B68:C68"/>
    <mergeCell ref="D68:S68"/>
    <mergeCell ref="B65:C65"/>
    <mergeCell ref="D65:S65"/>
    <mergeCell ref="B66:C66"/>
    <mergeCell ref="D66:S66"/>
    <mergeCell ref="B67:C67"/>
    <mergeCell ref="D67:S67"/>
  </mergeCells>
  <phoneticPr fontId="4" type="noConversion"/>
  <hyperlinks>
    <hyperlink ref="A1" location="List!A1" display="Top" xr:uid="{DB46AFF1-AF23-4E83-8B95-3B41A28218C9}"/>
  </hyperlinks>
  <pageMargins left="0.7" right="0.7" top="0.75" bottom="0.75" header="0.3" footer="0.3"/>
  <customProperties>
    <customPr name="_pios_id" r:id="rId1"/>
  </customPropertie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FFA4C-A4AB-47F6-A3A5-73AE7B43B98E}">
  <sheetPr>
    <tabColor theme="9" tint="0.79998168889431442"/>
  </sheetPr>
  <dimension ref="A1:S84"/>
  <sheetViews>
    <sheetView showGridLines="0" workbookViewId="0">
      <selection activeCell="C9" sqref="C9"/>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2689</v>
      </c>
      <c r="C2" s="993"/>
      <c r="D2" s="993"/>
      <c r="E2" s="993"/>
      <c r="F2" s="993"/>
      <c r="G2" s="993"/>
      <c r="H2" s="993"/>
      <c r="I2" s="994"/>
      <c r="J2" s="70" t="s">
        <v>816</v>
      </c>
      <c r="K2" s="998" t="s">
        <v>2575</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2690</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22"/>
      <c r="D8" s="23"/>
      <c r="E8" s="22"/>
      <c r="F8" s="23"/>
      <c r="G8" s="24"/>
      <c r="H8" s="22"/>
      <c r="I8" s="110">
        <v>1</v>
      </c>
      <c r="J8" s="117"/>
      <c r="K8" s="119"/>
      <c r="L8" s="113"/>
      <c r="M8" s="112"/>
      <c r="N8" s="114"/>
      <c r="O8" s="114"/>
      <c r="P8" s="112"/>
      <c r="Q8" s="112"/>
      <c r="R8" s="114"/>
      <c r="S8" s="134"/>
    </row>
    <row r="9" spans="1:19" s="73" customFormat="1" ht="13.5">
      <c r="B9" s="104">
        <v>2</v>
      </c>
      <c r="C9" s="22"/>
      <c r="D9" s="23"/>
      <c r="E9" s="22"/>
      <c r="F9" s="23"/>
      <c r="G9" s="24"/>
      <c r="H9" s="22"/>
      <c r="I9" s="110">
        <v>2</v>
      </c>
      <c r="J9" s="117"/>
      <c r="K9" s="119"/>
      <c r="L9" s="113"/>
      <c r="M9" s="112"/>
      <c r="N9" s="114"/>
      <c r="O9" s="114"/>
      <c r="P9" s="112"/>
      <c r="Q9" s="112"/>
      <c r="R9" s="114"/>
      <c r="S9" s="134"/>
    </row>
    <row r="10" spans="1:19" s="73" customFormat="1" ht="13.5">
      <c r="B10" s="104">
        <v>3</v>
      </c>
      <c r="C10" s="22"/>
      <c r="D10" s="23"/>
      <c r="E10" s="22"/>
      <c r="F10" s="23"/>
      <c r="G10" s="24"/>
      <c r="H10" s="22"/>
      <c r="I10" s="110">
        <v>3</v>
      </c>
      <c r="J10" s="118"/>
      <c r="K10" s="119"/>
      <c r="L10" s="113"/>
      <c r="M10" s="112"/>
      <c r="N10" s="108"/>
      <c r="O10" s="108"/>
      <c r="P10" s="112"/>
      <c r="Q10" s="112"/>
      <c r="R10" s="114"/>
      <c r="S10" s="134"/>
    </row>
    <row r="11" spans="1:19" s="73" customFormat="1" ht="13.5">
      <c r="B11" s="104">
        <v>4</v>
      </c>
      <c r="C11" s="22"/>
      <c r="D11" s="23"/>
      <c r="E11" s="22"/>
      <c r="F11" s="23"/>
      <c r="G11" s="24"/>
      <c r="H11" s="22"/>
      <c r="I11" s="110">
        <v>4</v>
      </c>
      <c r="J11" s="118"/>
      <c r="K11" s="119"/>
      <c r="L11" s="113"/>
      <c r="M11" s="112"/>
      <c r="N11" s="108"/>
      <c r="O11" s="108"/>
      <c r="P11" s="119"/>
      <c r="Q11" s="119"/>
      <c r="R11" s="108"/>
      <c r="S11" s="134"/>
    </row>
    <row r="12" spans="1:19" s="73" customFormat="1" ht="13.5">
      <c r="B12" s="104">
        <v>5</v>
      </c>
      <c r="C12" s="22"/>
      <c r="D12" s="23"/>
      <c r="E12" s="22"/>
      <c r="F12" s="23"/>
      <c r="G12" s="24"/>
      <c r="H12" s="22"/>
      <c r="I12" s="110">
        <v>5</v>
      </c>
      <c r="J12" s="118"/>
      <c r="K12" s="119"/>
      <c r="L12" s="113"/>
      <c r="M12" s="112"/>
      <c r="N12" s="108"/>
      <c r="O12" s="108"/>
      <c r="P12" s="119"/>
      <c r="Q12" s="119"/>
      <c r="R12" s="108"/>
      <c r="S12" s="134"/>
    </row>
    <row r="13" spans="1:19" s="73" customFormat="1" ht="13.5">
      <c r="B13" s="104">
        <v>6</v>
      </c>
      <c r="C13" s="22"/>
      <c r="D13" s="23"/>
      <c r="E13" s="22"/>
      <c r="F13" s="23"/>
      <c r="G13" s="24"/>
      <c r="H13" s="22"/>
      <c r="I13" s="110">
        <v>6</v>
      </c>
      <c r="J13" s="118"/>
      <c r="K13" s="106"/>
      <c r="L13" s="113"/>
      <c r="M13" s="112"/>
      <c r="N13" s="108"/>
      <c r="O13" s="108"/>
      <c r="P13" s="119"/>
      <c r="Q13" s="112"/>
      <c r="R13" s="114"/>
      <c r="S13" s="134"/>
    </row>
    <row r="14" spans="1:19" s="73" customFormat="1" ht="13.5">
      <c r="B14" s="104">
        <v>7</v>
      </c>
      <c r="C14" s="22"/>
      <c r="D14" s="23"/>
      <c r="E14" s="22"/>
      <c r="F14" s="23"/>
      <c r="G14" s="24"/>
      <c r="H14" s="22"/>
      <c r="I14" s="110">
        <v>7</v>
      </c>
      <c r="J14" s="118"/>
      <c r="K14" s="106"/>
      <c r="L14" s="113"/>
      <c r="M14" s="112"/>
      <c r="N14" s="108"/>
      <c r="O14" s="108"/>
      <c r="P14" s="119"/>
      <c r="Q14" s="112"/>
      <c r="R14" s="114"/>
      <c r="S14" s="134"/>
    </row>
    <row r="15" spans="1:19" s="73" customFormat="1" ht="13.5">
      <c r="B15" s="104">
        <v>8</v>
      </c>
      <c r="C15" s="22"/>
      <c r="D15" s="23"/>
      <c r="E15" s="22"/>
      <c r="F15" s="23"/>
      <c r="G15" s="24"/>
      <c r="H15" s="22"/>
      <c r="I15" s="110">
        <v>8</v>
      </c>
      <c r="J15" s="118"/>
      <c r="K15" s="106"/>
      <c r="L15" s="113"/>
      <c r="M15" s="112"/>
      <c r="N15" s="108"/>
      <c r="O15" s="108"/>
      <c r="P15" s="119"/>
      <c r="Q15" s="112"/>
      <c r="R15" s="114"/>
      <c r="S15" s="134"/>
    </row>
    <row r="16" spans="1:19" s="73" customFormat="1" ht="13.5">
      <c r="B16" s="104">
        <v>9</v>
      </c>
      <c r="C16" s="22"/>
      <c r="D16" s="23"/>
      <c r="E16" s="22"/>
      <c r="F16" s="23"/>
      <c r="G16" s="24"/>
      <c r="H16" s="22"/>
      <c r="I16" s="110">
        <v>9</v>
      </c>
      <c r="J16" s="118"/>
      <c r="K16" s="106"/>
      <c r="L16" s="113"/>
      <c r="M16" s="112"/>
      <c r="N16" s="108"/>
      <c r="O16" s="108"/>
      <c r="P16" s="119"/>
      <c r="Q16" s="112"/>
      <c r="R16" s="114"/>
      <c r="S16" s="134"/>
    </row>
    <row r="17" spans="2:19" s="73" customFormat="1" ht="13.5">
      <c r="B17" s="104">
        <v>10</v>
      </c>
      <c r="C17" s="22"/>
      <c r="D17" s="23"/>
      <c r="E17" s="22"/>
      <c r="F17" s="23"/>
      <c r="G17" s="24"/>
      <c r="H17" s="22"/>
      <c r="I17" s="110">
        <v>10</v>
      </c>
      <c r="J17" s="117"/>
      <c r="K17" s="120"/>
      <c r="L17" s="113"/>
      <c r="M17" s="112"/>
      <c r="N17" s="108"/>
      <c r="O17" s="108"/>
      <c r="P17" s="112"/>
      <c r="Q17" s="112"/>
      <c r="R17" s="114"/>
      <c r="S17" s="134"/>
    </row>
    <row r="18" spans="2:19" s="73" customFormat="1" ht="13.5">
      <c r="B18" s="104">
        <v>11</v>
      </c>
      <c r="C18" s="22"/>
      <c r="D18" s="23"/>
      <c r="E18" s="22"/>
      <c r="F18" s="23"/>
      <c r="G18" s="24"/>
      <c r="H18" s="22"/>
      <c r="I18" s="110">
        <v>11</v>
      </c>
      <c r="J18" s="117"/>
      <c r="K18" s="112"/>
      <c r="L18" s="113"/>
      <c r="M18" s="112"/>
      <c r="N18" s="114"/>
      <c r="O18" s="114"/>
      <c r="P18" s="112"/>
      <c r="Q18" s="112"/>
      <c r="R18" s="114"/>
      <c r="S18" s="134"/>
    </row>
    <row r="19" spans="2:19" s="73" customFormat="1" ht="13.5">
      <c r="B19" s="104">
        <v>12</v>
      </c>
      <c r="C19" s="22"/>
      <c r="D19" s="23"/>
      <c r="E19" s="22"/>
      <c r="F19" s="23"/>
      <c r="G19" s="24"/>
      <c r="H19" s="22"/>
      <c r="I19" s="110">
        <v>12</v>
      </c>
      <c r="J19" s="117"/>
      <c r="K19" s="120"/>
      <c r="L19" s="113"/>
      <c r="M19" s="112"/>
      <c r="N19" s="114"/>
      <c r="O19" s="114"/>
      <c r="P19" s="112"/>
      <c r="Q19" s="112"/>
      <c r="R19" s="114"/>
      <c r="S19" s="134"/>
    </row>
    <row r="20" spans="2:19" s="73" customFormat="1" ht="13.5">
      <c r="B20" s="104">
        <v>13</v>
      </c>
      <c r="C20" s="22"/>
      <c r="D20" s="23"/>
      <c r="E20" s="22"/>
      <c r="F20" s="23"/>
      <c r="G20" s="24"/>
      <c r="H20" s="22"/>
      <c r="I20" s="110">
        <v>13</v>
      </c>
      <c r="J20" s="117"/>
      <c r="K20" s="120"/>
      <c r="L20" s="113"/>
      <c r="M20" s="112"/>
      <c r="N20" s="114"/>
      <c r="O20" s="114"/>
      <c r="P20" s="112"/>
      <c r="Q20" s="112"/>
      <c r="R20" s="114"/>
      <c r="S20" s="134"/>
    </row>
    <row r="21" spans="2:19" s="73" customFormat="1" ht="13.5">
      <c r="B21" s="104">
        <v>14</v>
      </c>
      <c r="C21" s="22"/>
      <c r="D21" s="23"/>
      <c r="E21" s="22"/>
      <c r="F21" s="23"/>
      <c r="G21" s="24"/>
      <c r="H21" s="22"/>
      <c r="I21" s="110">
        <v>14</v>
      </c>
      <c r="J21" s="118"/>
      <c r="K21" s="119"/>
      <c r="L21" s="113"/>
      <c r="M21" s="112"/>
      <c r="N21" s="108"/>
      <c r="O21" s="108"/>
      <c r="P21" s="119"/>
      <c r="Q21" s="119"/>
      <c r="R21" s="108"/>
      <c r="S21" s="134"/>
    </row>
    <row r="22" spans="2:19" s="73" customFormat="1" ht="13.5">
      <c r="B22" s="104">
        <v>15</v>
      </c>
      <c r="C22" s="22"/>
      <c r="D22" s="23"/>
      <c r="E22" s="22"/>
      <c r="F22" s="23"/>
      <c r="G22" s="24"/>
      <c r="H22" s="22"/>
      <c r="I22" s="110">
        <v>15</v>
      </c>
      <c r="J22" s="118"/>
      <c r="K22" s="119"/>
      <c r="L22" s="113"/>
      <c r="M22" s="112"/>
      <c r="N22" s="108"/>
      <c r="O22" s="108"/>
      <c r="P22" s="119"/>
      <c r="Q22" s="119"/>
      <c r="R22" s="108"/>
      <c r="S22" s="134"/>
    </row>
    <row r="23" spans="2:19" s="73" customFormat="1" ht="13.5">
      <c r="B23" s="104">
        <v>16</v>
      </c>
      <c r="C23" s="22"/>
      <c r="D23" s="23"/>
      <c r="E23" s="22"/>
      <c r="F23" s="23"/>
      <c r="G23" s="24"/>
      <c r="H23" s="22"/>
      <c r="I23" s="110">
        <v>16</v>
      </c>
      <c r="J23" s="105"/>
      <c r="K23" s="119"/>
      <c r="L23" s="113"/>
      <c r="M23" s="112"/>
      <c r="N23" s="114"/>
      <c r="O23" s="114"/>
      <c r="P23" s="119"/>
      <c r="Q23" s="119"/>
      <c r="R23" s="108"/>
      <c r="S23" s="134"/>
    </row>
    <row r="24" spans="2:19" s="73" customFormat="1" ht="13.5">
      <c r="B24" s="104">
        <v>17</v>
      </c>
      <c r="C24" s="22"/>
      <c r="D24" s="23"/>
      <c r="E24" s="22"/>
      <c r="F24" s="23"/>
      <c r="G24" s="24"/>
      <c r="H24" s="22"/>
      <c r="I24" s="110">
        <v>17</v>
      </c>
      <c r="J24" s="105"/>
      <c r="K24" s="119"/>
      <c r="L24" s="113"/>
      <c r="M24" s="112"/>
      <c r="N24" s="114"/>
      <c r="O24" s="114"/>
      <c r="P24" s="119"/>
      <c r="Q24" s="119"/>
      <c r="R24" s="108"/>
      <c r="S24" s="134"/>
    </row>
    <row r="25" spans="2:19" s="73" customFormat="1" ht="13.5">
      <c r="B25" s="104">
        <v>18</v>
      </c>
      <c r="C25" s="22"/>
      <c r="D25" s="23"/>
      <c r="E25" s="22"/>
      <c r="F25" s="23"/>
      <c r="G25" s="24"/>
      <c r="H25" s="22"/>
      <c r="I25" s="110">
        <v>18</v>
      </c>
      <c r="J25" s="105"/>
      <c r="K25" s="119"/>
      <c r="L25" s="113"/>
      <c r="M25" s="112"/>
      <c r="N25" s="114"/>
      <c r="O25" s="114"/>
      <c r="P25" s="119"/>
      <c r="Q25" s="119"/>
      <c r="R25" s="108"/>
      <c r="S25" s="134"/>
    </row>
    <row r="26" spans="2:19" s="73" customFormat="1" ht="13.5">
      <c r="B26" s="104">
        <v>19</v>
      </c>
      <c r="C26" s="22"/>
      <c r="D26" s="23"/>
      <c r="E26" s="22"/>
      <c r="F26" s="23"/>
      <c r="G26" s="24"/>
      <c r="H26" s="22"/>
      <c r="I26" s="110">
        <v>19</v>
      </c>
      <c r="J26" s="105"/>
      <c r="K26" s="119"/>
      <c r="L26" s="113"/>
      <c r="M26" s="112"/>
      <c r="N26" s="114"/>
      <c r="O26" s="114"/>
      <c r="P26" s="119"/>
      <c r="Q26" s="119"/>
      <c r="R26" s="108"/>
      <c r="S26" s="134"/>
    </row>
    <row r="27" spans="2:19" s="73" customFormat="1" ht="13.5">
      <c r="B27" s="104">
        <v>20</v>
      </c>
      <c r="C27" s="22"/>
      <c r="D27" s="23"/>
      <c r="E27" s="22"/>
      <c r="F27" s="23"/>
      <c r="G27" s="24"/>
      <c r="H27" s="22"/>
      <c r="I27" s="110">
        <v>20</v>
      </c>
      <c r="J27" s="105"/>
      <c r="K27" s="119"/>
      <c r="L27" s="113"/>
      <c r="M27" s="112"/>
      <c r="N27" s="114"/>
      <c r="O27" s="114"/>
      <c r="P27" s="119"/>
      <c r="Q27" s="119"/>
      <c r="R27" s="108"/>
      <c r="S27" s="134"/>
    </row>
    <row r="28" spans="2:19" s="73" customFormat="1" ht="13.5">
      <c r="B28" s="104">
        <v>21</v>
      </c>
      <c r="C28" s="22"/>
      <c r="D28" s="23"/>
      <c r="E28" s="22"/>
      <c r="F28" s="23"/>
      <c r="G28" s="24"/>
      <c r="H28" s="22"/>
      <c r="I28" s="110">
        <v>21</v>
      </c>
      <c r="J28" s="105"/>
      <c r="K28" s="119"/>
      <c r="L28" s="113"/>
      <c r="M28" s="112"/>
      <c r="N28" s="114"/>
      <c r="O28" s="114"/>
      <c r="P28" s="119"/>
      <c r="Q28" s="119"/>
      <c r="R28" s="108"/>
      <c r="S28" s="134"/>
    </row>
    <row r="29" spans="2:19" s="73" customFormat="1" ht="13.5">
      <c r="B29" s="104">
        <v>22</v>
      </c>
      <c r="C29" s="22"/>
      <c r="D29" s="23"/>
      <c r="E29" s="22"/>
      <c r="F29" s="23"/>
      <c r="G29" s="24"/>
      <c r="H29" s="22"/>
      <c r="I29" s="110">
        <v>22</v>
      </c>
      <c r="J29" s="105"/>
      <c r="K29" s="119"/>
      <c r="L29" s="113"/>
      <c r="M29" s="112"/>
      <c r="N29" s="114"/>
      <c r="O29" s="114"/>
      <c r="P29" s="119"/>
      <c r="Q29" s="119"/>
      <c r="R29" s="108"/>
      <c r="S29" s="134"/>
    </row>
    <row r="30" spans="2:19" s="73" customFormat="1" ht="13.5">
      <c r="B30" s="104">
        <v>23</v>
      </c>
      <c r="C30" s="22"/>
      <c r="D30" s="23"/>
      <c r="E30" s="22"/>
      <c r="F30" s="23"/>
      <c r="G30" s="24"/>
      <c r="H30" s="22"/>
      <c r="I30" s="110">
        <v>23</v>
      </c>
      <c r="J30" s="105"/>
      <c r="K30" s="119"/>
      <c r="L30" s="113"/>
      <c r="M30" s="112"/>
      <c r="N30" s="114"/>
      <c r="O30" s="114"/>
      <c r="P30" s="119"/>
      <c r="Q30" s="119"/>
      <c r="R30" s="108"/>
      <c r="S30" s="134"/>
    </row>
    <row r="31" spans="2:19" s="73" customFormat="1" ht="13.5">
      <c r="B31" s="104">
        <v>24</v>
      </c>
      <c r="C31" s="22"/>
      <c r="D31" s="23"/>
      <c r="E31" s="22"/>
      <c r="F31" s="23"/>
      <c r="G31" s="24"/>
      <c r="H31" s="22"/>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1078"/>
      <c r="E43" s="1079"/>
      <c r="F43" s="1079"/>
      <c r="G43" s="1079"/>
      <c r="H43" s="1079"/>
      <c r="I43" s="1079"/>
      <c r="J43" s="1079"/>
      <c r="K43" s="1079"/>
      <c r="L43" s="1079"/>
      <c r="M43" s="1079"/>
      <c r="N43" s="1079"/>
      <c r="O43" s="1079"/>
      <c r="P43" s="1079"/>
      <c r="Q43" s="1079"/>
      <c r="R43" s="1079"/>
      <c r="S43" s="1080"/>
    </row>
    <row r="44" spans="2:19" ht="24.75" customHeight="1">
      <c r="B44" s="1008" t="s">
        <v>1038</v>
      </c>
      <c r="C44" s="1009"/>
      <c r="D44" s="1081"/>
      <c r="E44" s="1082"/>
      <c r="F44" s="1082"/>
      <c r="G44" s="1082"/>
      <c r="H44" s="1082"/>
      <c r="I44" s="1082"/>
      <c r="J44" s="1082"/>
      <c r="K44" s="1082"/>
      <c r="L44" s="1082"/>
      <c r="M44" s="1082"/>
      <c r="N44" s="1082"/>
      <c r="O44" s="1082"/>
      <c r="P44" s="1082"/>
      <c r="Q44" s="1082"/>
      <c r="R44" s="1082"/>
      <c r="S44" s="1083"/>
    </row>
    <row r="45" spans="2:19" ht="18.75" customHeight="1">
      <c r="B45" s="75"/>
      <c r="C45" s="75"/>
      <c r="D45" s="5"/>
      <c r="E45" s="5"/>
      <c r="F45" s="5"/>
      <c r="G45" s="5"/>
      <c r="H45" s="5"/>
      <c r="I45" s="5"/>
      <c r="J45" s="5"/>
      <c r="K45" s="5"/>
      <c r="L45" s="5"/>
      <c r="M45" s="5"/>
      <c r="N45" s="5"/>
      <c r="O45" s="5"/>
      <c r="P45" s="5"/>
      <c r="Q45" s="5"/>
      <c r="R45" s="5"/>
      <c r="S45" s="5"/>
    </row>
    <row r="46" spans="2:19" ht="18.75" customHeight="1">
      <c r="B46" s="51" t="s">
        <v>1045</v>
      </c>
      <c r="C46" s="73"/>
      <c r="D46" s="4"/>
      <c r="E46" s="4"/>
      <c r="F46" s="4"/>
      <c r="G46" s="4"/>
      <c r="H46" s="4"/>
      <c r="I46" s="4"/>
      <c r="J46" s="4"/>
      <c r="K46" s="4"/>
      <c r="L46" s="4"/>
      <c r="M46" s="4"/>
      <c r="N46" s="5"/>
      <c r="O46" s="5"/>
      <c r="P46" s="4"/>
      <c r="Q46" s="5"/>
      <c r="R46" s="5"/>
      <c r="S46" s="4"/>
    </row>
    <row r="47" spans="2:19" ht="140.44999999999999" customHeight="1">
      <c r="B47" s="1014" t="s">
        <v>1049</v>
      </c>
      <c r="C47" s="1014"/>
      <c r="D47" s="1085"/>
      <c r="E47" s="1084"/>
      <c r="F47" s="1084"/>
      <c r="G47" s="1084"/>
      <c r="H47" s="1084"/>
      <c r="I47" s="1084"/>
      <c r="J47" s="1084"/>
      <c r="K47" s="1084"/>
      <c r="L47" s="1084"/>
      <c r="M47" s="1084"/>
      <c r="N47" s="1084"/>
      <c r="O47" s="1084"/>
      <c r="P47" s="1084"/>
      <c r="Q47" s="1084"/>
      <c r="R47" s="1084"/>
      <c r="S47" s="1084"/>
    </row>
    <row r="48" spans="2:19" ht="33" customHeight="1">
      <c r="B48" s="976" t="s">
        <v>1053</v>
      </c>
      <c r="C48" s="976"/>
      <c r="D48" s="1084"/>
      <c r="E48" s="1084"/>
      <c r="F48" s="1084"/>
      <c r="G48" s="1084"/>
      <c r="H48" s="1084"/>
      <c r="I48" s="1084"/>
      <c r="J48" s="1084"/>
      <c r="K48" s="1084"/>
      <c r="L48" s="1084"/>
      <c r="M48" s="1084"/>
      <c r="N48" s="1084"/>
      <c r="O48" s="1084"/>
      <c r="P48" s="1084"/>
      <c r="Q48" s="1084"/>
      <c r="R48" s="1084"/>
      <c r="S48" s="1084"/>
    </row>
    <row r="49" spans="2:19" ht="71.25" customHeight="1">
      <c r="B49" s="976" t="s">
        <v>1057</v>
      </c>
      <c r="C49" s="976"/>
      <c r="D49" s="1084"/>
      <c r="E49" s="1084"/>
      <c r="F49" s="1084"/>
      <c r="G49" s="1084"/>
      <c r="H49" s="1084"/>
      <c r="I49" s="1084"/>
      <c r="J49" s="1084"/>
      <c r="K49" s="1084"/>
      <c r="L49" s="1084"/>
      <c r="M49" s="1084"/>
      <c r="N49" s="1084"/>
      <c r="O49" s="1084"/>
      <c r="P49" s="1084"/>
      <c r="Q49" s="1084"/>
      <c r="R49" s="1084"/>
      <c r="S49" s="1084"/>
    </row>
    <row r="50" spans="2:19" ht="38.25" customHeight="1">
      <c r="B50" s="976" t="s">
        <v>1061</v>
      </c>
      <c r="C50" s="976"/>
      <c r="D50" s="1084"/>
      <c r="E50" s="1084"/>
      <c r="F50" s="1084"/>
      <c r="G50" s="1084"/>
      <c r="H50" s="1084"/>
      <c r="I50" s="1084"/>
      <c r="J50" s="1084"/>
      <c r="K50" s="1084"/>
      <c r="L50" s="1084"/>
      <c r="M50" s="1084"/>
      <c r="N50" s="1084"/>
      <c r="O50" s="1084"/>
      <c r="P50" s="1084"/>
      <c r="Q50" s="1084"/>
      <c r="R50" s="1084"/>
      <c r="S50" s="1084"/>
    </row>
    <row r="51" spans="2:19" s="73" customFormat="1" ht="15" customHeight="1"/>
    <row r="52" spans="2:19" s="50" customFormat="1" ht="19.5" customHeight="1">
      <c r="B52" s="50" t="s">
        <v>2442</v>
      </c>
      <c r="C52" s="21"/>
      <c r="D52" s="20"/>
      <c r="E52" s="20"/>
      <c r="F52" s="20"/>
      <c r="G52" s="20"/>
      <c r="H52" s="20"/>
      <c r="I52" s="20"/>
      <c r="J52" s="20"/>
      <c r="K52" s="20"/>
      <c r="L52" s="20"/>
      <c r="M52" s="20"/>
      <c r="N52" s="20"/>
      <c r="O52" s="21"/>
      <c r="P52" s="21"/>
      <c r="Q52" s="20"/>
      <c r="R52" s="21"/>
      <c r="S52" s="21"/>
    </row>
    <row r="53" spans="2:19" s="50" customFormat="1" ht="19.5" customHeight="1">
      <c r="B53" s="50" t="s">
        <v>2443</v>
      </c>
      <c r="C53" s="21"/>
      <c r="D53" s="20"/>
      <c r="E53" s="20"/>
      <c r="F53" s="20"/>
      <c r="G53" s="20"/>
      <c r="H53" s="20"/>
      <c r="I53" s="20"/>
      <c r="J53" s="20"/>
      <c r="K53" s="20"/>
      <c r="L53" s="20"/>
      <c r="M53" s="20"/>
      <c r="N53" s="20"/>
      <c r="O53" s="21"/>
      <c r="P53" s="21"/>
      <c r="Q53" s="20"/>
      <c r="R53" s="21"/>
      <c r="S53" s="21"/>
    </row>
    <row r="54" spans="2:19" s="50" customFormat="1" ht="19.5" customHeight="1">
      <c r="B54" s="50" t="s">
        <v>2444</v>
      </c>
      <c r="C54" s="21"/>
      <c r="D54" s="20"/>
      <c r="E54" s="20"/>
      <c r="F54" s="20"/>
      <c r="G54" s="20"/>
      <c r="H54" s="20"/>
      <c r="I54" s="20"/>
      <c r="J54" s="20"/>
      <c r="K54" s="20"/>
      <c r="L54" s="20"/>
      <c r="M54" s="20"/>
      <c r="N54" s="20"/>
      <c r="O54" s="21"/>
      <c r="P54" s="21"/>
      <c r="Q54" s="20"/>
      <c r="R54" s="21"/>
      <c r="S54" s="21"/>
    </row>
    <row r="55" spans="2:19" s="50" customFormat="1" ht="19.5" customHeight="1">
      <c r="B55" s="50" t="s">
        <v>2445</v>
      </c>
      <c r="C55" s="21"/>
      <c r="D55" s="20"/>
      <c r="E55" s="20"/>
      <c r="F55" s="20"/>
      <c r="G55" s="20"/>
      <c r="H55" s="20"/>
      <c r="I55" s="20"/>
      <c r="J55" s="20"/>
      <c r="K55" s="20"/>
      <c r="L55" s="20"/>
      <c r="M55" s="20"/>
      <c r="N55" s="20"/>
      <c r="O55" s="21"/>
      <c r="P55" s="21"/>
      <c r="Q55" s="20"/>
      <c r="R55" s="21"/>
      <c r="S55" s="21"/>
    </row>
    <row r="56" spans="2:19" s="50" customFormat="1" ht="19.5" customHeight="1">
      <c r="B56" s="50" t="s">
        <v>2446</v>
      </c>
      <c r="C56" s="21"/>
      <c r="D56" s="20"/>
      <c r="E56" s="20"/>
      <c r="F56" s="20"/>
      <c r="G56" s="20"/>
      <c r="H56" s="20"/>
      <c r="I56" s="20"/>
      <c r="J56" s="20"/>
      <c r="K56" s="20"/>
      <c r="L56" s="20"/>
      <c r="M56" s="20"/>
      <c r="N56" s="20"/>
      <c r="O56" s="21"/>
      <c r="P56" s="21"/>
      <c r="Q56" s="20"/>
      <c r="R56" s="21"/>
      <c r="S56" s="21"/>
    </row>
    <row r="57" spans="2:19" s="50" customFormat="1" ht="19.5" customHeight="1">
      <c r="B57" s="50" t="s">
        <v>2447</v>
      </c>
    </row>
    <row r="58" spans="2:19" s="50" customFormat="1" ht="19.5" customHeight="1">
      <c r="B58" s="50" t="s">
        <v>2448</v>
      </c>
    </row>
    <row r="59" spans="2:19" s="50" customFormat="1" ht="19.5" customHeight="1">
      <c r="B59" s="50" t="s">
        <v>2449</v>
      </c>
    </row>
    <row r="60" spans="2:19" s="50" customFormat="1" ht="19.5" customHeight="1">
      <c r="B60" s="50" t="s">
        <v>2450</v>
      </c>
    </row>
    <row r="61" spans="2:19" s="50" customFormat="1" ht="15" customHeight="1"/>
    <row r="62" spans="2:19" s="50" customFormat="1" ht="15" customHeight="1"/>
    <row r="63" spans="2:19" customFormat="1" ht="1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s="73" customFormat="1" ht="15" customHeight="1"/>
    <row r="82" s="73" customFormat="1" ht="15" customHeight="1"/>
    <row r="83" s="73" customFormat="1" ht="15" customHeight="1"/>
    <row r="84" s="73" customFormat="1" ht="15" customHeight="1"/>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197A00CA-B39D-4711-A302-BCE7DC82CB14}"/>
  </hyperlinks>
  <pageMargins left="0.7" right="0.7" top="0.75" bottom="0.75" header="0.3" footer="0.3"/>
  <customProperties>
    <customPr name="_pios_id" r:id="rId1"/>
  </customPropertie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FB8B3-C682-4E84-B115-E54ECE4E5208}">
  <sheetPr>
    <tabColor theme="9" tint="0.79998168889431442"/>
  </sheetPr>
  <dimension ref="A1:S97"/>
  <sheetViews>
    <sheetView showGridLines="0" topLeftCell="I1" zoomScale="115" zoomScaleNormal="115" workbookViewId="0">
      <selection activeCell="N18" sqref="N18"/>
    </sheetView>
  </sheetViews>
  <sheetFormatPr defaultColWidth="12.625" defaultRowHeight="16.5"/>
  <cols>
    <col min="1" max="1" width="2.125" style="69" customWidth="1"/>
    <col min="2" max="2" width="5.125" style="69" customWidth="1"/>
    <col min="3" max="3" width="25.6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2691</v>
      </c>
      <c r="C2" s="993"/>
      <c r="D2" s="993"/>
      <c r="E2" s="993"/>
      <c r="F2" s="993"/>
      <c r="G2" s="993"/>
      <c r="H2" s="993"/>
      <c r="I2" s="994"/>
      <c r="J2" s="70" t="s">
        <v>816</v>
      </c>
      <c r="K2" s="998" t="s">
        <v>2575</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t="s">
        <v>2692</v>
      </c>
      <c r="H4" s="73"/>
      <c r="I4" s="73"/>
      <c r="J4" s="73"/>
      <c r="K4" s="73"/>
      <c r="L4" s="73"/>
      <c r="M4" s="73"/>
      <c r="N4" s="75"/>
      <c r="O4" s="75"/>
      <c r="P4" s="73"/>
      <c r="Q4" s="75"/>
      <c r="R4" s="75"/>
      <c r="S4" s="73"/>
    </row>
    <row r="5" spans="1:19">
      <c r="B5" s="979" t="s">
        <v>2693</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22" t="s">
        <v>2694</v>
      </c>
      <c r="D8" s="23"/>
      <c r="E8" s="22"/>
      <c r="F8" s="23"/>
      <c r="G8" s="24"/>
      <c r="H8" s="22"/>
      <c r="I8" s="110">
        <v>1</v>
      </c>
      <c r="J8" s="117" t="s">
        <v>2695</v>
      </c>
      <c r="K8" s="119"/>
      <c r="L8" s="113" t="s">
        <v>1188</v>
      </c>
      <c r="M8" s="112">
        <v>1000</v>
      </c>
      <c r="N8" s="114"/>
      <c r="O8" s="114"/>
      <c r="P8" s="112"/>
      <c r="Q8" s="112"/>
      <c r="R8" s="114"/>
      <c r="S8" s="134"/>
    </row>
    <row r="9" spans="1:19" s="73" customFormat="1" ht="13.5">
      <c r="B9" s="104">
        <f>+B8+1</f>
        <v>2</v>
      </c>
      <c r="C9" s="22" t="s">
        <v>2696</v>
      </c>
      <c r="D9" s="23"/>
      <c r="E9" s="22"/>
      <c r="F9" s="23"/>
      <c r="G9" s="24"/>
      <c r="H9" s="22"/>
      <c r="I9" s="110">
        <v>2</v>
      </c>
      <c r="J9" s="117" t="s">
        <v>2696</v>
      </c>
      <c r="K9" s="119"/>
      <c r="L9" s="113" t="s">
        <v>1188</v>
      </c>
      <c r="M9" s="112">
        <v>1000</v>
      </c>
      <c r="N9" s="114"/>
      <c r="O9" s="114"/>
      <c r="P9" s="112"/>
      <c r="Q9" s="112"/>
      <c r="R9" s="114"/>
      <c r="S9" s="134"/>
    </row>
    <row r="10" spans="1:19" s="73" customFormat="1" ht="13.5">
      <c r="B10" s="104">
        <f t="shared" ref="B10:B51" si="0">+B9+1</f>
        <v>3</v>
      </c>
      <c r="C10" s="22" t="s">
        <v>1700</v>
      </c>
      <c r="D10" s="23"/>
      <c r="E10" s="22"/>
      <c r="F10" s="23"/>
      <c r="G10" s="278" t="s">
        <v>2697</v>
      </c>
      <c r="H10" s="22"/>
      <c r="I10" s="110">
        <v>3</v>
      </c>
      <c r="J10" s="118" t="s">
        <v>1700</v>
      </c>
      <c r="K10" s="119"/>
      <c r="L10" s="113" t="s">
        <v>1188</v>
      </c>
      <c r="M10" s="112">
        <v>1000</v>
      </c>
      <c r="N10" s="108" t="s">
        <v>877</v>
      </c>
      <c r="O10" s="108"/>
      <c r="P10" s="112"/>
      <c r="Q10" s="112"/>
      <c r="R10" s="114"/>
      <c r="S10" s="134"/>
    </row>
    <row r="11" spans="1:19" s="73" customFormat="1" ht="13.5">
      <c r="B11" s="104">
        <f t="shared" si="0"/>
        <v>4</v>
      </c>
      <c r="C11" s="22" t="s">
        <v>2698</v>
      </c>
      <c r="D11" s="23"/>
      <c r="E11" s="22"/>
      <c r="F11" s="23"/>
      <c r="G11" s="24" t="s">
        <v>2699</v>
      </c>
      <c r="H11" s="22"/>
      <c r="I11" s="110">
        <v>4</v>
      </c>
      <c r="J11" s="118" t="s">
        <v>2698</v>
      </c>
      <c r="K11" s="119"/>
      <c r="L11" s="113" t="s">
        <v>1188</v>
      </c>
      <c r="M11" s="112">
        <v>1000</v>
      </c>
      <c r="N11" s="108" t="s">
        <v>2699</v>
      </c>
      <c r="O11" s="108"/>
      <c r="P11" s="119"/>
      <c r="Q11" s="119"/>
      <c r="R11" s="108"/>
      <c r="S11" s="134"/>
    </row>
    <row r="12" spans="1:19" s="73" customFormat="1" ht="13.5">
      <c r="B12" s="104">
        <f t="shared" si="0"/>
        <v>5</v>
      </c>
      <c r="C12" s="22" t="s">
        <v>2700</v>
      </c>
      <c r="D12" s="23"/>
      <c r="E12" s="22"/>
      <c r="F12" s="23"/>
      <c r="G12" s="278" t="s">
        <v>2701</v>
      </c>
      <c r="H12" s="22"/>
      <c r="I12" s="110">
        <v>5</v>
      </c>
      <c r="J12" s="118" t="s">
        <v>2700</v>
      </c>
      <c r="K12" s="119"/>
      <c r="L12" s="113" t="s">
        <v>1188</v>
      </c>
      <c r="M12" s="112">
        <v>1000</v>
      </c>
      <c r="N12" s="108" t="s">
        <v>2702</v>
      </c>
      <c r="O12" s="108"/>
      <c r="P12" s="119"/>
      <c r="Q12" s="119"/>
      <c r="R12" s="108"/>
      <c r="S12" s="134"/>
    </row>
    <row r="13" spans="1:19" s="73" customFormat="1" ht="13.5">
      <c r="B13" s="104">
        <f t="shared" si="0"/>
        <v>6</v>
      </c>
      <c r="C13" s="22" t="s">
        <v>2092</v>
      </c>
      <c r="D13" s="23"/>
      <c r="E13" s="22"/>
      <c r="F13" s="23"/>
      <c r="G13" s="278" t="s">
        <v>2091</v>
      </c>
      <c r="H13" s="22"/>
      <c r="I13" s="110">
        <v>6</v>
      </c>
      <c r="J13" s="118" t="s">
        <v>2092</v>
      </c>
      <c r="K13" s="106"/>
      <c r="L13" s="113" t="s">
        <v>1188</v>
      </c>
      <c r="M13" s="112">
        <v>1000</v>
      </c>
      <c r="N13" s="108" t="s">
        <v>1274</v>
      </c>
      <c r="O13" s="108"/>
      <c r="P13" s="119"/>
      <c r="Q13" s="112"/>
      <c r="R13" s="114"/>
      <c r="S13" s="134"/>
    </row>
    <row r="14" spans="1:19" s="73" customFormat="1" ht="13.5">
      <c r="B14" s="104">
        <f t="shared" si="0"/>
        <v>7</v>
      </c>
      <c r="C14" s="22" t="s">
        <v>2703</v>
      </c>
      <c r="D14" s="23"/>
      <c r="E14" s="22"/>
      <c r="F14" s="23"/>
      <c r="G14" s="278" t="s">
        <v>2704</v>
      </c>
      <c r="H14" s="22"/>
      <c r="I14" s="110"/>
      <c r="J14" s="118" t="s">
        <v>2703</v>
      </c>
      <c r="K14" s="106"/>
      <c r="L14" s="113" t="s">
        <v>1188</v>
      </c>
      <c r="M14" s="112">
        <v>1000</v>
      </c>
      <c r="N14" s="108" t="s">
        <v>2705</v>
      </c>
      <c r="O14" s="108"/>
      <c r="P14" s="119"/>
      <c r="Q14" s="112"/>
      <c r="R14" s="114"/>
      <c r="S14" s="134"/>
    </row>
    <row r="15" spans="1:19" s="73" customFormat="1" ht="13.5">
      <c r="B15" s="104">
        <f t="shared" si="0"/>
        <v>8</v>
      </c>
      <c r="C15" s="22" t="s">
        <v>2706</v>
      </c>
      <c r="D15" s="23"/>
      <c r="E15" s="22"/>
      <c r="F15" s="23"/>
      <c r="G15" s="278" t="s">
        <v>2707</v>
      </c>
      <c r="H15" s="22"/>
      <c r="I15" s="110"/>
      <c r="J15" s="118" t="s">
        <v>2706</v>
      </c>
      <c r="K15" s="106"/>
      <c r="L15" s="113" t="s">
        <v>1188</v>
      </c>
      <c r="M15" s="112">
        <v>1000</v>
      </c>
      <c r="N15" s="108" t="s">
        <v>1467</v>
      </c>
      <c r="O15" s="108"/>
      <c r="P15" s="119"/>
      <c r="Q15" s="112"/>
      <c r="R15" s="114"/>
      <c r="S15" s="134"/>
    </row>
    <row r="16" spans="1:19" s="73" customFormat="1" ht="13.5">
      <c r="B16" s="104">
        <f t="shared" si="0"/>
        <v>9</v>
      </c>
      <c r="C16" s="22" t="s">
        <v>2708</v>
      </c>
      <c r="D16" s="23"/>
      <c r="E16" s="22"/>
      <c r="F16" s="23"/>
      <c r="G16" s="278" t="s">
        <v>2709</v>
      </c>
      <c r="H16" s="22"/>
      <c r="I16" s="110"/>
      <c r="J16" s="118" t="s">
        <v>2708</v>
      </c>
      <c r="K16" s="106"/>
      <c r="L16" s="113" t="s">
        <v>1188</v>
      </c>
      <c r="M16" s="112">
        <v>1000</v>
      </c>
      <c r="N16" s="108" t="s">
        <v>2710</v>
      </c>
      <c r="O16" s="108"/>
      <c r="P16" s="119"/>
      <c r="Q16" s="112"/>
      <c r="R16" s="114"/>
      <c r="S16" s="134"/>
    </row>
    <row r="17" spans="2:19" s="73" customFormat="1" ht="13.5">
      <c r="B17" s="104">
        <f t="shared" si="0"/>
        <v>10</v>
      </c>
      <c r="C17" s="22" t="s">
        <v>2711</v>
      </c>
      <c r="D17" s="23"/>
      <c r="E17" s="22"/>
      <c r="F17" s="23"/>
      <c r="G17" s="278" t="s">
        <v>2712</v>
      </c>
      <c r="H17" s="22"/>
      <c r="I17" s="110"/>
      <c r="J17" s="118" t="s">
        <v>2711</v>
      </c>
      <c r="K17" s="106"/>
      <c r="L17" s="113" t="s">
        <v>1188</v>
      </c>
      <c r="M17" s="112">
        <v>1000</v>
      </c>
      <c r="N17" s="108" t="s">
        <v>2713</v>
      </c>
      <c r="O17" s="108"/>
      <c r="P17" s="119"/>
      <c r="Q17" s="112"/>
      <c r="R17" s="114"/>
      <c r="S17" s="134"/>
    </row>
    <row r="18" spans="2:19" s="73" customFormat="1" ht="13.5">
      <c r="B18" s="104">
        <f t="shared" si="0"/>
        <v>11</v>
      </c>
      <c r="C18" s="22" t="s">
        <v>2714</v>
      </c>
      <c r="D18" s="23"/>
      <c r="E18" s="22"/>
      <c r="F18" s="23"/>
      <c r="G18" s="278" t="s">
        <v>2715</v>
      </c>
      <c r="H18" s="22"/>
      <c r="I18" s="110"/>
      <c r="J18" s="118" t="s">
        <v>2714</v>
      </c>
      <c r="K18" s="106"/>
      <c r="L18" s="113" t="s">
        <v>1188</v>
      </c>
      <c r="M18" s="112">
        <v>1000</v>
      </c>
      <c r="N18" s="108" t="s">
        <v>2368</v>
      </c>
      <c r="O18" s="108"/>
      <c r="P18" s="119"/>
      <c r="Q18" s="112"/>
      <c r="R18" s="114"/>
      <c r="S18" s="134"/>
    </row>
    <row r="19" spans="2:19" s="73" customFormat="1" ht="13.5">
      <c r="B19" s="104">
        <f t="shared" si="0"/>
        <v>12</v>
      </c>
      <c r="C19" s="22" t="s">
        <v>2716</v>
      </c>
      <c r="D19" s="23"/>
      <c r="E19" s="22"/>
      <c r="F19" s="23"/>
      <c r="G19" s="278" t="s">
        <v>2717</v>
      </c>
      <c r="H19" s="22"/>
      <c r="I19" s="110"/>
      <c r="J19" s="118" t="s">
        <v>2716</v>
      </c>
      <c r="K19" s="106"/>
      <c r="L19" s="113" t="s">
        <v>1188</v>
      </c>
      <c r="M19" s="112">
        <v>1000</v>
      </c>
      <c r="N19" s="108" t="s">
        <v>2717</v>
      </c>
      <c r="O19" s="108"/>
      <c r="P19" s="119"/>
      <c r="Q19" s="112"/>
      <c r="R19" s="114"/>
      <c r="S19" s="134"/>
    </row>
    <row r="20" spans="2:19" s="73" customFormat="1" ht="13.5">
      <c r="B20" s="104">
        <f t="shared" si="0"/>
        <v>13</v>
      </c>
      <c r="C20" s="22" t="s">
        <v>2718</v>
      </c>
      <c r="D20" s="23"/>
      <c r="E20" s="22"/>
      <c r="F20" s="23"/>
      <c r="G20" s="278" t="s">
        <v>2719</v>
      </c>
      <c r="H20" s="22"/>
      <c r="I20" s="110"/>
      <c r="J20" s="118" t="s">
        <v>2718</v>
      </c>
      <c r="K20" s="106"/>
      <c r="L20" s="113" t="s">
        <v>1188</v>
      </c>
      <c r="M20" s="112">
        <v>1000</v>
      </c>
      <c r="N20" s="108" t="s">
        <v>2720</v>
      </c>
      <c r="O20" s="108"/>
      <c r="P20" s="119"/>
      <c r="Q20" s="112"/>
      <c r="R20" s="114"/>
      <c r="S20" s="134"/>
    </row>
    <row r="21" spans="2:19" s="73" customFormat="1" ht="13.5">
      <c r="B21" s="104">
        <f t="shared" si="0"/>
        <v>14</v>
      </c>
      <c r="C21" s="22" t="s">
        <v>2721</v>
      </c>
      <c r="D21" s="23"/>
      <c r="E21" s="22"/>
      <c r="F21" s="23"/>
      <c r="G21" s="278" t="s">
        <v>2722</v>
      </c>
      <c r="H21" s="22"/>
      <c r="I21" s="110"/>
      <c r="J21" s="118" t="s">
        <v>2721</v>
      </c>
      <c r="K21" s="106"/>
      <c r="L21" s="113" t="s">
        <v>1188</v>
      </c>
      <c r="M21" s="112">
        <v>1000</v>
      </c>
      <c r="N21" s="108" t="s">
        <v>2723</v>
      </c>
      <c r="O21" s="108"/>
      <c r="P21" s="119"/>
      <c r="Q21" s="112"/>
      <c r="R21" s="114"/>
      <c r="S21" s="134"/>
    </row>
    <row r="22" spans="2:19" s="73" customFormat="1" ht="13.5">
      <c r="B22" s="104">
        <f t="shared" si="0"/>
        <v>15</v>
      </c>
      <c r="C22" s="22" t="s">
        <v>2724</v>
      </c>
      <c r="D22" s="23"/>
      <c r="E22" s="22"/>
      <c r="F22" s="23"/>
      <c r="G22" s="24" t="s">
        <v>2725</v>
      </c>
      <c r="H22" s="22"/>
      <c r="I22" s="110"/>
      <c r="J22" s="118" t="s">
        <v>2724</v>
      </c>
      <c r="K22" s="106"/>
      <c r="L22" s="113" t="s">
        <v>1188</v>
      </c>
      <c r="M22" s="112">
        <v>1000</v>
      </c>
      <c r="N22" s="108" t="s">
        <v>2725</v>
      </c>
      <c r="O22" s="108"/>
      <c r="P22" s="119"/>
      <c r="Q22" s="112"/>
      <c r="R22" s="114"/>
      <c r="S22" s="134"/>
    </row>
    <row r="23" spans="2:19" s="73" customFormat="1" ht="27">
      <c r="B23" s="104">
        <f t="shared" si="0"/>
        <v>16</v>
      </c>
      <c r="C23" s="22" t="s">
        <v>2726</v>
      </c>
      <c r="D23" s="23"/>
      <c r="E23" s="22"/>
      <c r="F23" s="23"/>
      <c r="G23" s="24" t="s">
        <v>2727</v>
      </c>
      <c r="H23" s="22"/>
      <c r="I23" s="110"/>
      <c r="J23" s="118" t="s">
        <v>2726</v>
      </c>
      <c r="K23" s="106"/>
      <c r="L23" s="113" t="s">
        <v>1188</v>
      </c>
      <c r="M23" s="112">
        <v>1000</v>
      </c>
      <c r="N23" s="108" t="s">
        <v>2727</v>
      </c>
      <c r="O23" s="108"/>
      <c r="P23" s="119"/>
      <c r="Q23" s="112"/>
      <c r="R23" s="114"/>
      <c r="S23" s="134"/>
    </row>
    <row r="24" spans="2:19" s="73" customFormat="1" ht="13.5">
      <c r="B24" s="104">
        <f t="shared" si="0"/>
        <v>17</v>
      </c>
      <c r="C24" s="22" t="s">
        <v>2728</v>
      </c>
      <c r="D24" s="23"/>
      <c r="E24" s="22"/>
      <c r="F24" s="23"/>
      <c r="G24" s="24" t="s">
        <v>2729</v>
      </c>
      <c r="H24" s="22"/>
      <c r="I24" s="110"/>
      <c r="J24" s="118" t="s">
        <v>2728</v>
      </c>
      <c r="K24" s="106"/>
      <c r="L24" s="113" t="s">
        <v>1188</v>
      </c>
      <c r="M24" s="112">
        <v>1000</v>
      </c>
      <c r="N24" s="108" t="s">
        <v>2729</v>
      </c>
      <c r="O24" s="108"/>
      <c r="P24" s="119"/>
      <c r="Q24" s="112"/>
      <c r="R24" s="114"/>
      <c r="S24" s="134"/>
    </row>
    <row r="25" spans="2:19" s="73" customFormat="1" ht="13.5">
      <c r="B25" s="104">
        <f t="shared" si="0"/>
        <v>18</v>
      </c>
      <c r="C25" s="22" t="s">
        <v>2730</v>
      </c>
      <c r="D25" s="23"/>
      <c r="E25" s="22"/>
      <c r="F25" s="23"/>
      <c r="G25" s="24"/>
      <c r="H25" s="22"/>
      <c r="I25" s="110"/>
      <c r="J25" s="118" t="s">
        <v>2730</v>
      </c>
      <c r="K25" s="106"/>
      <c r="L25" s="113" t="s">
        <v>1188</v>
      </c>
      <c r="M25" s="112">
        <v>1000</v>
      </c>
      <c r="N25" s="108"/>
      <c r="O25" s="108"/>
      <c r="P25" s="119"/>
      <c r="Q25" s="112"/>
      <c r="R25" s="114"/>
      <c r="S25" s="134"/>
    </row>
    <row r="26" spans="2:19" s="73" customFormat="1" ht="13.5">
      <c r="B26" s="104">
        <f t="shared" si="0"/>
        <v>19</v>
      </c>
      <c r="C26" s="22" t="s">
        <v>2731</v>
      </c>
      <c r="D26" s="23"/>
      <c r="E26" s="22"/>
      <c r="F26" s="23"/>
      <c r="G26" s="24" t="s">
        <v>2732</v>
      </c>
      <c r="H26" s="22"/>
      <c r="I26" s="110"/>
      <c r="J26" s="118" t="s">
        <v>2731</v>
      </c>
      <c r="K26" s="106"/>
      <c r="L26" s="113" t="s">
        <v>1188</v>
      </c>
      <c r="M26" s="112">
        <v>1000</v>
      </c>
      <c r="N26" s="108" t="s">
        <v>2732</v>
      </c>
      <c r="O26" s="108"/>
      <c r="P26" s="119"/>
      <c r="Q26" s="112"/>
      <c r="R26" s="114"/>
      <c r="S26" s="134"/>
    </row>
    <row r="27" spans="2:19" s="73" customFormat="1" ht="13.5">
      <c r="B27" s="104">
        <f t="shared" si="0"/>
        <v>20</v>
      </c>
      <c r="C27" s="22" t="s">
        <v>2733</v>
      </c>
      <c r="D27" s="23"/>
      <c r="E27" s="22"/>
      <c r="F27" s="23"/>
      <c r="G27" s="24"/>
      <c r="H27" s="22"/>
      <c r="I27" s="110">
        <v>7</v>
      </c>
      <c r="J27" s="118" t="s">
        <v>2733</v>
      </c>
      <c r="K27" s="106"/>
      <c r="L27" s="113" t="s">
        <v>1188</v>
      </c>
      <c r="M27" s="112">
        <v>1000</v>
      </c>
      <c r="N27" s="108"/>
      <c r="O27" s="108"/>
      <c r="P27" s="119"/>
      <c r="Q27" s="112"/>
      <c r="R27" s="114"/>
      <c r="S27" s="134"/>
    </row>
    <row r="28" spans="2:19" s="73" customFormat="1" ht="13.5">
      <c r="B28" s="104">
        <f t="shared" si="0"/>
        <v>21</v>
      </c>
      <c r="C28" s="22" t="s">
        <v>2734</v>
      </c>
      <c r="D28" s="23"/>
      <c r="E28" s="22"/>
      <c r="F28" s="23"/>
      <c r="G28" s="24"/>
      <c r="H28" s="22"/>
      <c r="I28" s="110">
        <v>8</v>
      </c>
      <c r="J28" s="118" t="s">
        <v>2734</v>
      </c>
      <c r="K28" s="106"/>
      <c r="L28" s="113" t="s">
        <v>1188</v>
      </c>
      <c r="M28" s="112">
        <v>1000</v>
      </c>
      <c r="N28" s="108"/>
      <c r="O28" s="108"/>
      <c r="P28" s="119"/>
      <c r="Q28" s="112"/>
      <c r="R28" s="114"/>
      <c r="S28" s="134"/>
    </row>
    <row r="29" spans="2:19" s="73" customFormat="1" ht="13.5">
      <c r="B29" s="104">
        <f t="shared" si="0"/>
        <v>22</v>
      </c>
      <c r="C29" s="22" t="s">
        <v>2735</v>
      </c>
      <c r="D29" s="23"/>
      <c r="E29" s="22"/>
      <c r="F29" s="23"/>
      <c r="G29" s="24"/>
      <c r="H29" s="22"/>
      <c r="I29" s="110">
        <v>9</v>
      </c>
      <c r="J29" s="118" t="s">
        <v>2735</v>
      </c>
      <c r="K29" s="106"/>
      <c r="L29" s="113" t="s">
        <v>1188</v>
      </c>
      <c r="M29" s="112">
        <v>1000</v>
      </c>
      <c r="N29" s="108"/>
      <c r="O29" s="108"/>
      <c r="P29" s="119"/>
      <c r="Q29" s="112"/>
      <c r="R29" s="114"/>
      <c r="S29" s="134"/>
    </row>
    <row r="30" spans="2:19" s="73" customFormat="1" ht="13.5">
      <c r="B30" s="104">
        <f t="shared" si="0"/>
        <v>23</v>
      </c>
      <c r="C30" s="22" t="s">
        <v>2736</v>
      </c>
      <c r="D30" s="23"/>
      <c r="E30" s="22"/>
      <c r="F30" s="23"/>
      <c r="G30" s="24" t="s">
        <v>2737</v>
      </c>
      <c r="H30" s="336" t="s">
        <v>2738</v>
      </c>
      <c r="I30" s="110">
        <v>10</v>
      </c>
      <c r="J30" s="117" t="s">
        <v>2736</v>
      </c>
      <c r="K30" s="120"/>
      <c r="L30" s="113" t="s">
        <v>1188</v>
      </c>
      <c r="M30" s="112">
        <v>1000</v>
      </c>
      <c r="N30" s="108" t="s">
        <v>2737</v>
      </c>
      <c r="O30" s="108" t="s">
        <v>2739</v>
      </c>
      <c r="P30" s="112"/>
      <c r="Q30" s="112"/>
      <c r="R30" s="114"/>
      <c r="S30" s="134"/>
    </row>
    <row r="31" spans="2:19" s="73" customFormat="1" ht="27">
      <c r="B31" s="104">
        <f t="shared" si="0"/>
        <v>24</v>
      </c>
      <c r="C31" s="22" t="s">
        <v>2740</v>
      </c>
      <c r="D31" s="23"/>
      <c r="E31" s="22"/>
      <c r="F31" s="23"/>
      <c r="G31" s="24" t="s">
        <v>2741</v>
      </c>
      <c r="H31" s="22"/>
      <c r="I31" s="110">
        <v>11</v>
      </c>
      <c r="J31" s="117" t="s">
        <v>2740</v>
      </c>
      <c r="K31" s="112"/>
      <c r="L31" s="113" t="s">
        <v>1188</v>
      </c>
      <c r="M31" s="112">
        <v>1000</v>
      </c>
      <c r="N31" s="114" t="s">
        <v>2741</v>
      </c>
      <c r="O31" s="114"/>
      <c r="P31" s="112"/>
      <c r="Q31" s="112"/>
      <c r="R31" s="114"/>
      <c r="S31" s="134"/>
    </row>
    <row r="32" spans="2:19" s="73" customFormat="1" ht="13.5">
      <c r="B32" s="104">
        <f t="shared" si="0"/>
        <v>25</v>
      </c>
      <c r="C32" s="22" t="s">
        <v>2742</v>
      </c>
      <c r="D32" s="23"/>
      <c r="E32" s="22"/>
      <c r="F32" s="23"/>
      <c r="G32" s="24" t="s">
        <v>2743</v>
      </c>
      <c r="H32" s="22"/>
      <c r="I32" s="110">
        <v>12</v>
      </c>
      <c r="J32" s="117" t="s">
        <v>2742</v>
      </c>
      <c r="K32" s="120"/>
      <c r="L32" s="113" t="s">
        <v>1188</v>
      </c>
      <c r="M32" s="112">
        <v>1000</v>
      </c>
      <c r="N32" s="114" t="s">
        <v>2743</v>
      </c>
      <c r="O32" s="114"/>
      <c r="P32" s="112"/>
      <c r="Q32" s="112"/>
      <c r="R32" s="114"/>
      <c r="S32" s="134"/>
    </row>
    <row r="33" spans="2:19" s="73" customFormat="1" ht="13.5">
      <c r="B33" s="104">
        <f t="shared" si="0"/>
        <v>26</v>
      </c>
      <c r="C33" s="22" t="s">
        <v>2744</v>
      </c>
      <c r="D33" s="23"/>
      <c r="E33" s="22"/>
      <c r="F33" s="23"/>
      <c r="G33" s="24" t="s">
        <v>2745</v>
      </c>
      <c r="H33" s="22"/>
      <c r="I33" s="110">
        <v>13</v>
      </c>
      <c r="J33" s="117" t="s">
        <v>2744</v>
      </c>
      <c r="K33" s="120"/>
      <c r="L33" s="113" t="s">
        <v>1188</v>
      </c>
      <c r="M33" s="112">
        <v>1000</v>
      </c>
      <c r="N33" s="114" t="s">
        <v>2745</v>
      </c>
      <c r="O33" s="114"/>
      <c r="P33" s="112"/>
      <c r="Q33" s="112"/>
      <c r="R33" s="114"/>
      <c r="S33" s="134"/>
    </row>
    <row r="34" spans="2:19" s="73" customFormat="1" ht="27">
      <c r="B34" s="104">
        <f t="shared" si="0"/>
        <v>27</v>
      </c>
      <c r="C34" s="22" t="s">
        <v>2746</v>
      </c>
      <c r="D34" s="23"/>
      <c r="E34" s="22"/>
      <c r="F34" s="23"/>
      <c r="G34" s="24" t="s">
        <v>2747</v>
      </c>
      <c r="H34" s="22"/>
      <c r="I34" s="110">
        <v>14</v>
      </c>
      <c r="J34" s="118" t="s">
        <v>2746</v>
      </c>
      <c r="K34" s="119"/>
      <c r="L34" s="113" t="s">
        <v>1188</v>
      </c>
      <c r="M34" s="112">
        <v>1000</v>
      </c>
      <c r="N34" s="108" t="s">
        <v>2747</v>
      </c>
      <c r="O34" s="108"/>
      <c r="P34" s="119"/>
      <c r="Q34" s="119"/>
      <c r="R34" s="108"/>
      <c r="S34" s="134"/>
    </row>
    <row r="35" spans="2:19" s="73" customFormat="1" ht="13.5">
      <c r="B35" s="104">
        <f t="shared" si="0"/>
        <v>28</v>
      </c>
      <c r="C35" s="22" t="s">
        <v>2748</v>
      </c>
      <c r="D35" s="23"/>
      <c r="E35" s="22"/>
      <c r="F35" s="23"/>
      <c r="G35" s="24"/>
      <c r="H35" s="22"/>
      <c r="I35" s="110">
        <v>15</v>
      </c>
      <c r="J35" s="118" t="s">
        <v>2748</v>
      </c>
      <c r="K35" s="119"/>
      <c r="L35" s="113" t="s">
        <v>1188</v>
      </c>
      <c r="M35" s="112">
        <v>1000</v>
      </c>
      <c r="N35" s="108"/>
      <c r="O35" s="108"/>
      <c r="P35" s="119"/>
      <c r="Q35" s="119"/>
      <c r="R35" s="108"/>
      <c r="S35" s="134"/>
    </row>
    <row r="36" spans="2:19" s="73" customFormat="1" ht="13.5">
      <c r="B36" s="104">
        <f t="shared" si="0"/>
        <v>29</v>
      </c>
      <c r="C36" s="22" t="s">
        <v>2749</v>
      </c>
      <c r="D36" s="23"/>
      <c r="E36" s="22"/>
      <c r="F36" s="23"/>
      <c r="G36" s="24"/>
      <c r="H36" s="22"/>
      <c r="I36" s="110">
        <v>16</v>
      </c>
      <c r="J36" s="105" t="s">
        <v>2749</v>
      </c>
      <c r="K36" s="119"/>
      <c r="L36" s="113" t="s">
        <v>1188</v>
      </c>
      <c r="M36" s="112">
        <v>1000</v>
      </c>
      <c r="N36" s="114"/>
      <c r="O36" s="114"/>
      <c r="P36" s="119"/>
      <c r="Q36" s="119"/>
      <c r="R36" s="108"/>
      <c r="S36" s="134"/>
    </row>
    <row r="37" spans="2:19" s="73" customFormat="1" ht="13.5">
      <c r="B37" s="104">
        <f t="shared" si="0"/>
        <v>30</v>
      </c>
      <c r="C37" s="22" t="s">
        <v>2750</v>
      </c>
      <c r="D37" s="23"/>
      <c r="E37" s="22"/>
      <c r="F37" s="23"/>
      <c r="G37" s="24"/>
      <c r="H37" s="22"/>
      <c r="I37" s="110">
        <v>17</v>
      </c>
      <c r="J37" s="105" t="s">
        <v>2750</v>
      </c>
      <c r="K37" s="119"/>
      <c r="L37" s="113" t="s">
        <v>1188</v>
      </c>
      <c r="M37" s="112">
        <v>1000</v>
      </c>
      <c r="N37" s="114"/>
      <c r="O37" s="114"/>
      <c r="P37" s="119"/>
      <c r="Q37" s="119"/>
      <c r="R37" s="108"/>
      <c r="S37" s="134"/>
    </row>
    <row r="38" spans="2:19" s="73" customFormat="1" ht="13.5">
      <c r="B38" s="104">
        <f t="shared" si="0"/>
        <v>31</v>
      </c>
      <c r="C38" s="22" t="s">
        <v>857</v>
      </c>
      <c r="D38" s="23"/>
      <c r="E38" s="22"/>
      <c r="F38" s="23"/>
      <c r="G38" s="278" t="s">
        <v>2751</v>
      </c>
      <c r="H38" s="22"/>
      <c r="I38" s="110">
        <v>18</v>
      </c>
      <c r="J38" s="105" t="s">
        <v>857</v>
      </c>
      <c r="K38" s="119"/>
      <c r="L38" s="113" t="s">
        <v>1188</v>
      </c>
      <c r="M38" s="112">
        <v>1000</v>
      </c>
      <c r="N38" s="114" t="s">
        <v>2752</v>
      </c>
      <c r="O38" s="114"/>
      <c r="P38" s="119"/>
      <c r="Q38" s="119"/>
      <c r="R38" s="108"/>
      <c r="S38" s="134"/>
    </row>
    <row r="39" spans="2:19" s="73" customFormat="1" ht="13.5">
      <c r="B39" s="104">
        <f t="shared" si="0"/>
        <v>32</v>
      </c>
      <c r="C39" s="22" t="s">
        <v>896</v>
      </c>
      <c r="D39" s="23"/>
      <c r="E39" s="22"/>
      <c r="F39" s="23"/>
      <c r="G39" s="278" t="s">
        <v>2753</v>
      </c>
      <c r="H39" s="22"/>
      <c r="I39" s="110">
        <v>19</v>
      </c>
      <c r="J39" s="105" t="s">
        <v>896</v>
      </c>
      <c r="K39" s="119"/>
      <c r="L39" s="113" t="s">
        <v>1188</v>
      </c>
      <c r="M39" s="112">
        <v>1000</v>
      </c>
      <c r="N39" s="114" t="s">
        <v>897</v>
      </c>
      <c r="O39" s="114"/>
      <c r="P39" s="119"/>
      <c r="Q39" s="119"/>
      <c r="R39" s="108"/>
      <c r="S39" s="134"/>
    </row>
    <row r="40" spans="2:19" s="73" customFormat="1" ht="13.5">
      <c r="B40" s="104">
        <f t="shared" si="0"/>
        <v>33</v>
      </c>
      <c r="C40" s="22" t="s">
        <v>903</v>
      </c>
      <c r="D40" s="23"/>
      <c r="E40" s="22"/>
      <c r="F40" s="23"/>
      <c r="G40" s="278" t="s">
        <v>2754</v>
      </c>
      <c r="H40" s="22"/>
      <c r="I40" s="110">
        <v>20</v>
      </c>
      <c r="J40" s="105" t="s">
        <v>903</v>
      </c>
      <c r="K40" s="119"/>
      <c r="L40" s="113" t="s">
        <v>1188</v>
      </c>
      <c r="M40" s="112">
        <v>1000</v>
      </c>
      <c r="N40" s="114" t="s">
        <v>904</v>
      </c>
      <c r="O40" s="114"/>
      <c r="P40" s="119"/>
      <c r="Q40" s="119"/>
      <c r="R40" s="108"/>
      <c r="S40" s="134"/>
    </row>
    <row r="41" spans="2:19" s="73" customFormat="1" ht="13.5">
      <c r="B41" s="104">
        <f t="shared" si="0"/>
        <v>34</v>
      </c>
      <c r="C41" s="22" t="s">
        <v>2622</v>
      </c>
      <c r="D41" s="23"/>
      <c r="E41" s="22"/>
      <c r="F41" s="23"/>
      <c r="G41" s="278" t="s">
        <v>2755</v>
      </c>
      <c r="H41" s="22"/>
      <c r="I41" s="110">
        <v>21</v>
      </c>
      <c r="J41" s="105" t="s">
        <v>2622</v>
      </c>
      <c r="K41" s="119"/>
      <c r="L41" s="113" t="s">
        <v>1188</v>
      </c>
      <c r="M41" s="112">
        <v>1000</v>
      </c>
      <c r="N41" s="114" t="s">
        <v>1404</v>
      </c>
      <c r="O41" s="114"/>
      <c r="P41" s="119"/>
      <c r="Q41" s="119"/>
      <c r="R41" s="108"/>
      <c r="S41" s="134"/>
    </row>
    <row r="42" spans="2:19" s="73" customFormat="1" ht="13.5">
      <c r="B42" s="104">
        <f t="shared" si="0"/>
        <v>35</v>
      </c>
      <c r="C42" s="22" t="s">
        <v>2641</v>
      </c>
      <c r="D42" s="23"/>
      <c r="E42" s="22"/>
      <c r="F42" s="23"/>
      <c r="G42" s="24"/>
      <c r="H42" s="22"/>
      <c r="I42" s="110">
        <v>22</v>
      </c>
      <c r="J42" s="105" t="s">
        <v>2641</v>
      </c>
      <c r="K42" s="119"/>
      <c r="L42" s="113" t="s">
        <v>1188</v>
      </c>
      <c r="M42" s="112">
        <v>1000</v>
      </c>
      <c r="N42" s="114"/>
      <c r="O42" s="114"/>
      <c r="P42" s="119"/>
      <c r="Q42" s="119"/>
      <c r="R42" s="108"/>
      <c r="S42" s="134"/>
    </row>
    <row r="43" spans="2:19" s="73" customFormat="1" ht="13.5">
      <c r="B43" s="104">
        <f t="shared" si="0"/>
        <v>36</v>
      </c>
      <c r="C43" s="22" t="s">
        <v>2644</v>
      </c>
      <c r="D43" s="23"/>
      <c r="E43" s="22"/>
      <c r="F43" s="23"/>
      <c r="G43" s="24"/>
      <c r="H43" s="22"/>
      <c r="I43" s="110">
        <v>23</v>
      </c>
      <c r="J43" s="105" t="s">
        <v>2644</v>
      </c>
      <c r="K43" s="119"/>
      <c r="L43" s="113" t="s">
        <v>1188</v>
      </c>
      <c r="M43" s="112">
        <v>1000</v>
      </c>
      <c r="N43" s="114"/>
      <c r="O43" s="114"/>
      <c r="P43" s="119"/>
      <c r="Q43" s="119"/>
      <c r="R43" s="108"/>
      <c r="S43" s="134"/>
    </row>
    <row r="44" spans="2:19" s="73" customFormat="1" ht="13.5">
      <c r="B44" s="104">
        <f t="shared" si="0"/>
        <v>37</v>
      </c>
      <c r="C44" s="22"/>
      <c r="D44" s="23"/>
      <c r="E44" s="22"/>
      <c r="F44" s="23"/>
      <c r="G44" s="24"/>
      <c r="H44" s="22"/>
      <c r="I44" s="110">
        <v>24</v>
      </c>
      <c r="J44" s="105"/>
      <c r="K44" s="119"/>
      <c r="L44" s="113"/>
      <c r="M44" s="112"/>
      <c r="N44" s="114"/>
      <c r="O44" s="114"/>
      <c r="P44" s="119"/>
      <c r="Q44" s="119"/>
      <c r="R44" s="108"/>
      <c r="S44" s="134"/>
    </row>
    <row r="45" spans="2:19" s="73" customFormat="1" ht="13.5">
      <c r="B45" s="104">
        <f t="shared" si="0"/>
        <v>38</v>
      </c>
      <c r="C45" s="121"/>
      <c r="D45" s="119"/>
      <c r="E45" s="107"/>
      <c r="F45" s="107"/>
      <c r="G45" s="108"/>
      <c r="H45" s="109"/>
      <c r="I45" s="110">
        <v>25</v>
      </c>
      <c r="J45" s="105"/>
      <c r="K45" s="119"/>
      <c r="L45" s="113"/>
      <c r="M45" s="112"/>
      <c r="N45" s="114"/>
      <c r="O45" s="114"/>
      <c r="P45" s="119"/>
      <c r="Q45" s="119"/>
      <c r="R45" s="108"/>
      <c r="S45" s="134"/>
    </row>
    <row r="46" spans="2:19" s="73" customFormat="1" ht="13.5">
      <c r="B46" s="104">
        <f t="shared" si="0"/>
        <v>39</v>
      </c>
      <c r="C46" s="121"/>
      <c r="D46" s="119"/>
      <c r="E46" s="107"/>
      <c r="F46" s="107"/>
      <c r="G46" s="108"/>
      <c r="H46" s="109"/>
      <c r="I46" s="110">
        <v>26</v>
      </c>
      <c r="J46" s="105"/>
      <c r="K46" s="119"/>
      <c r="L46" s="113"/>
      <c r="M46" s="112"/>
      <c r="N46" s="114"/>
      <c r="O46" s="114"/>
      <c r="P46" s="119"/>
      <c r="Q46" s="119"/>
      <c r="R46" s="108"/>
      <c r="S46" s="134"/>
    </row>
    <row r="47" spans="2:19" s="73" customFormat="1" ht="13.5">
      <c r="B47" s="104">
        <f t="shared" si="0"/>
        <v>40</v>
      </c>
      <c r="C47" s="121"/>
      <c r="D47" s="119"/>
      <c r="E47" s="107"/>
      <c r="F47" s="107"/>
      <c r="G47" s="108"/>
      <c r="H47" s="109"/>
      <c r="I47" s="110">
        <v>27</v>
      </c>
      <c r="J47" s="105"/>
      <c r="K47" s="119"/>
      <c r="L47" s="113"/>
      <c r="M47" s="112"/>
      <c r="N47" s="114"/>
      <c r="O47" s="114"/>
      <c r="P47" s="119"/>
      <c r="Q47" s="119"/>
      <c r="R47" s="108"/>
      <c r="S47" s="134"/>
    </row>
    <row r="48" spans="2:19" s="73" customFormat="1" ht="13.5">
      <c r="B48" s="104">
        <f t="shared" si="0"/>
        <v>41</v>
      </c>
      <c r="C48" s="121"/>
      <c r="D48" s="119"/>
      <c r="E48" s="107"/>
      <c r="F48" s="107"/>
      <c r="G48" s="108"/>
      <c r="H48" s="109"/>
      <c r="I48" s="110">
        <v>28</v>
      </c>
      <c r="J48" s="105"/>
      <c r="K48" s="119"/>
      <c r="L48" s="113"/>
      <c r="M48" s="112"/>
      <c r="N48" s="114"/>
      <c r="O48" s="114"/>
      <c r="P48" s="119"/>
      <c r="Q48" s="119"/>
      <c r="R48" s="108"/>
      <c r="S48" s="134"/>
    </row>
    <row r="49" spans="2:19" s="73" customFormat="1" ht="13.5">
      <c r="B49" s="104">
        <f t="shared" si="0"/>
        <v>42</v>
      </c>
      <c r="C49" s="121"/>
      <c r="D49" s="119"/>
      <c r="E49" s="107"/>
      <c r="F49" s="107"/>
      <c r="G49" s="108"/>
      <c r="H49" s="109"/>
      <c r="I49" s="110">
        <v>29</v>
      </c>
      <c r="J49" s="105"/>
      <c r="K49" s="119"/>
      <c r="L49" s="113"/>
      <c r="M49" s="112"/>
      <c r="N49" s="114"/>
      <c r="O49" s="114"/>
      <c r="P49" s="119"/>
      <c r="Q49" s="119"/>
      <c r="R49" s="108"/>
      <c r="S49" s="134"/>
    </row>
    <row r="50" spans="2:19" s="73" customFormat="1" ht="13.5">
      <c r="B50" s="104">
        <f t="shared" si="0"/>
        <v>43</v>
      </c>
      <c r="C50" s="121"/>
      <c r="D50" s="119"/>
      <c r="E50" s="107"/>
      <c r="F50" s="107"/>
      <c r="G50" s="108"/>
      <c r="H50" s="109"/>
      <c r="I50" s="110">
        <v>30</v>
      </c>
      <c r="J50" s="105"/>
      <c r="K50" s="119"/>
      <c r="L50" s="113"/>
      <c r="M50" s="112"/>
      <c r="N50" s="114"/>
      <c r="O50" s="114"/>
      <c r="P50" s="119"/>
      <c r="Q50" s="119"/>
      <c r="R50" s="108"/>
      <c r="S50" s="134"/>
    </row>
    <row r="51" spans="2:19" s="73" customFormat="1" ht="13.5">
      <c r="B51" s="104">
        <f t="shared" si="0"/>
        <v>44</v>
      </c>
      <c r="C51" s="121"/>
      <c r="D51" s="119"/>
      <c r="E51" s="107"/>
      <c r="F51" s="107"/>
      <c r="G51" s="108"/>
      <c r="H51" s="109"/>
      <c r="I51" s="110">
        <v>31</v>
      </c>
      <c r="J51" s="105"/>
      <c r="K51" s="119"/>
      <c r="L51" s="113"/>
      <c r="M51" s="112"/>
      <c r="N51" s="114"/>
      <c r="O51" s="114"/>
      <c r="P51" s="119"/>
      <c r="Q51" s="119"/>
      <c r="R51" s="108"/>
      <c r="S51" s="134"/>
    </row>
    <row r="52" spans="2:19" s="73" customFormat="1" ht="14.25" thickBot="1">
      <c r="B52" s="129"/>
      <c r="C52" s="130"/>
      <c r="D52" s="131"/>
      <c r="E52" s="131"/>
      <c r="F52" s="131"/>
      <c r="G52" s="131"/>
      <c r="H52" s="132"/>
      <c r="I52" s="135"/>
      <c r="J52" s="130"/>
      <c r="K52" s="131"/>
      <c r="L52" s="130"/>
      <c r="M52" s="131"/>
      <c r="N52" s="131"/>
      <c r="O52" s="131"/>
      <c r="P52" s="131"/>
      <c r="Q52" s="131"/>
      <c r="R52" s="131"/>
      <c r="S52" s="136"/>
    </row>
    <row r="53" spans="2:19" ht="18.75" customHeight="1">
      <c r="B53" s="100"/>
      <c r="C53" s="100"/>
      <c r="D53" s="100"/>
      <c r="E53" s="100"/>
      <c r="F53" s="100"/>
      <c r="G53" s="100"/>
      <c r="H53" s="100"/>
      <c r="I53" s="100"/>
      <c r="J53" s="100"/>
      <c r="K53" s="100"/>
      <c r="L53" s="100"/>
      <c r="M53" s="100"/>
      <c r="N53" s="133"/>
      <c r="O53" s="133"/>
      <c r="P53" s="100"/>
      <c r="Q53" s="133"/>
      <c r="R53" s="133"/>
      <c r="S53" s="100"/>
    </row>
    <row r="54" spans="2:19" ht="18.75" customHeight="1">
      <c r="B54" s="51" t="s">
        <v>1025</v>
      </c>
      <c r="C54" s="73"/>
      <c r="D54" s="73"/>
      <c r="E54" s="73"/>
      <c r="F54" s="73"/>
      <c r="G54" s="73"/>
      <c r="H54" s="73"/>
      <c r="I54" s="73"/>
      <c r="J54" s="73"/>
      <c r="K54" s="73"/>
      <c r="L54" s="73"/>
      <c r="M54" s="73"/>
      <c r="N54" s="75"/>
      <c r="O54" s="75"/>
      <c r="P54" s="73"/>
      <c r="Q54" s="75"/>
      <c r="R54" s="75"/>
      <c r="S54" s="73"/>
    </row>
    <row r="55" spans="2:19" ht="18.75" customHeight="1">
      <c r="B55" s="976" t="s">
        <v>826</v>
      </c>
      <c r="C55" s="976"/>
      <c r="D55" s="976" t="s">
        <v>1029</v>
      </c>
      <c r="E55" s="976"/>
      <c r="F55" s="976"/>
      <c r="G55" s="976"/>
      <c r="H55" s="976"/>
      <c r="I55" s="976"/>
      <c r="J55" s="976"/>
      <c r="K55" s="976"/>
      <c r="L55" s="976"/>
      <c r="M55" s="976"/>
      <c r="N55" s="976"/>
      <c r="O55" s="976"/>
      <c r="P55" s="976"/>
      <c r="Q55" s="976"/>
      <c r="R55" s="976"/>
      <c r="S55" s="976"/>
    </row>
    <row r="56" spans="2:19" ht="22.5" customHeight="1">
      <c r="B56" s="977" t="s">
        <v>1033</v>
      </c>
      <c r="C56" s="978"/>
      <c r="D56" s="1078"/>
      <c r="E56" s="1079"/>
      <c r="F56" s="1079"/>
      <c r="G56" s="1079"/>
      <c r="H56" s="1079"/>
      <c r="I56" s="1079"/>
      <c r="J56" s="1079"/>
      <c r="K56" s="1079"/>
      <c r="L56" s="1079"/>
      <c r="M56" s="1079"/>
      <c r="N56" s="1079"/>
      <c r="O56" s="1079"/>
      <c r="P56" s="1079"/>
      <c r="Q56" s="1079"/>
      <c r="R56" s="1079"/>
      <c r="S56" s="1080"/>
    </row>
    <row r="57" spans="2:19" ht="24.75" customHeight="1">
      <c r="B57" s="1008" t="s">
        <v>1038</v>
      </c>
      <c r="C57" s="1009"/>
      <c r="D57" s="1081"/>
      <c r="E57" s="1082"/>
      <c r="F57" s="1082"/>
      <c r="G57" s="1082"/>
      <c r="H57" s="1082"/>
      <c r="I57" s="1082"/>
      <c r="J57" s="1082"/>
      <c r="K57" s="1082"/>
      <c r="L57" s="1082"/>
      <c r="M57" s="1082"/>
      <c r="N57" s="1082"/>
      <c r="O57" s="1082"/>
      <c r="P57" s="1082"/>
      <c r="Q57" s="1082"/>
      <c r="R57" s="1082"/>
      <c r="S57" s="1083"/>
    </row>
    <row r="58" spans="2:19" ht="18.75" customHeight="1">
      <c r="B58" s="75"/>
      <c r="C58" s="75"/>
      <c r="D58" s="5"/>
      <c r="E58" s="5"/>
      <c r="F58" s="5"/>
      <c r="G58" s="5"/>
      <c r="H58" s="5"/>
      <c r="I58" s="5"/>
      <c r="J58" s="5"/>
      <c r="K58" s="5"/>
      <c r="L58" s="5"/>
      <c r="M58" s="5"/>
      <c r="N58" s="5"/>
      <c r="O58" s="5"/>
      <c r="P58" s="5"/>
      <c r="Q58" s="5"/>
      <c r="R58" s="5"/>
      <c r="S58" s="5"/>
    </row>
    <row r="59" spans="2:19" ht="18.75" customHeight="1">
      <c r="B59" s="51" t="s">
        <v>1045</v>
      </c>
      <c r="C59" s="73"/>
      <c r="D59" s="4"/>
      <c r="E59" s="4"/>
      <c r="F59" s="4"/>
      <c r="G59" s="4"/>
      <c r="H59" s="4"/>
      <c r="I59" s="4"/>
      <c r="J59" s="4"/>
      <c r="K59" s="4"/>
      <c r="L59" s="4"/>
      <c r="M59" s="4"/>
      <c r="N59" s="5"/>
      <c r="O59" s="5"/>
      <c r="P59" s="4"/>
      <c r="Q59" s="5"/>
      <c r="R59" s="5"/>
      <c r="S59" s="4"/>
    </row>
    <row r="60" spans="2:19" ht="140.44999999999999" customHeight="1">
      <c r="B60" s="1014" t="s">
        <v>1049</v>
      </c>
      <c r="C60" s="1014"/>
      <c r="D60" s="1085"/>
      <c r="E60" s="1084"/>
      <c r="F60" s="1084"/>
      <c r="G60" s="1084"/>
      <c r="H60" s="1084"/>
      <c r="I60" s="1084"/>
      <c r="J60" s="1084"/>
      <c r="K60" s="1084"/>
      <c r="L60" s="1084"/>
      <c r="M60" s="1084"/>
      <c r="N60" s="1084"/>
      <c r="O60" s="1084"/>
      <c r="P60" s="1084"/>
      <c r="Q60" s="1084"/>
      <c r="R60" s="1084"/>
      <c r="S60" s="1084"/>
    </row>
    <row r="61" spans="2:19" ht="33" customHeight="1">
      <c r="B61" s="976" t="s">
        <v>1053</v>
      </c>
      <c r="C61" s="976"/>
      <c r="D61" s="1084"/>
      <c r="E61" s="1084"/>
      <c r="F61" s="1084"/>
      <c r="G61" s="1084"/>
      <c r="H61" s="1084"/>
      <c r="I61" s="1084"/>
      <c r="J61" s="1084"/>
      <c r="K61" s="1084"/>
      <c r="L61" s="1084"/>
      <c r="M61" s="1084"/>
      <c r="N61" s="1084"/>
      <c r="O61" s="1084"/>
      <c r="P61" s="1084"/>
      <c r="Q61" s="1084"/>
      <c r="R61" s="1084"/>
      <c r="S61" s="1084"/>
    </row>
    <row r="62" spans="2:19" ht="71.25" customHeight="1">
      <c r="B62" s="976" t="s">
        <v>1057</v>
      </c>
      <c r="C62" s="976"/>
      <c r="D62" s="1084"/>
      <c r="E62" s="1084"/>
      <c r="F62" s="1084"/>
      <c r="G62" s="1084"/>
      <c r="H62" s="1084"/>
      <c r="I62" s="1084"/>
      <c r="J62" s="1084"/>
      <c r="K62" s="1084"/>
      <c r="L62" s="1084"/>
      <c r="M62" s="1084"/>
      <c r="N62" s="1084"/>
      <c r="O62" s="1084"/>
      <c r="P62" s="1084"/>
      <c r="Q62" s="1084"/>
      <c r="R62" s="1084"/>
      <c r="S62" s="1084"/>
    </row>
    <row r="63" spans="2:19" ht="38.25" customHeight="1">
      <c r="B63" s="976" t="s">
        <v>1061</v>
      </c>
      <c r="C63" s="976"/>
      <c r="D63" s="1084"/>
      <c r="E63" s="1084"/>
      <c r="F63" s="1084"/>
      <c r="G63" s="1084"/>
      <c r="H63" s="1084"/>
      <c r="I63" s="1084"/>
      <c r="J63" s="1084"/>
      <c r="K63" s="1084"/>
      <c r="L63" s="1084"/>
      <c r="M63" s="1084"/>
      <c r="N63" s="1084"/>
      <c r="O63" s="1084"/>
      <c r="P63" s="1084"/>
      <c r="Q63" s="1084"/>
      <c r="R63" s="1084"/>
      <c r="S63" s="1084"/>
    </row>
    <row r="64" spans="2:19" s="73" customFormat="1" ht="15" customHeight="1"/>
    <row r="65" spans="2:19" s="50" customFormat="1" ht="19.5" customHeight="1">
      <c r="B65" s="50" t="s">
        <v>2442</v>
      </c>
      <c r="C65" s="21"/>
      <c r="D65" s="20"/>
      <c r="E65" s="20"/>
      <c r="F65" s="20"/>
      <c r="G65" s="20"/>
      <c r="H65" s="20"/>
      <c r="I65" s="20"/>
      <c r="J65" s="20"/>
      <c r="K65" s="20"/>
      <c r="L65" s="20"/>
      <c r="M65" s="20"/>
      <c r="N65" s="20"/>
      <c r="O65" s="21"/>
      <c r="P65" s="21"/>
      <c r="Q65" s="20"/>
      <c r="R65" s="21"/>
      <c r="S65" s="21"/>
    </row>
    <row r="66" spans="2:19" s="50" customFormat="1" ht="19.5" customHeight="1">
      <c r="B66" s="50" t="s">
        <v>2443</v>
      </c>
      <c r="C66" s="21"/>
      <c r="D66" s="20"/>
      <c r="E66" s="20"/>
      <c r="F66" s="20"/>
      <c r="G66" s="20"/>
      <c r="H66" s="20"/>
      <c r="I66" s="20"/>
      <c r="J66" s="20"/>
      <c r="K66" s="20"/>
      <c r="L66" s="20"/>
      <c r="M66" s="20"/>
      <c r="N66" s="20"/>
      <c r="O66" s="21"/>
      <c r="P66" s="21"/>
      <c r="Q66" s="20"/>
      <c r="R66" s="21"/>
      <c r="S66" s="21"/>
    </row>
    <row r="67" spans="2:19" s="50" customFormat="1" ht="19.5" customHeight="1">
      <c r="B67" s="50" t="s">
        <v>2444</v>
      </c>
      <c r="C67" s="21"/>
      <c r="D67" s="20"/>
      <c r="E67" s="20"/>
      <c r="F67" s="20"/>
      <c r="G67" s="20"/>
      <c r="H67" s="20"/>
      <c r="I67" s="20"/>
      <c r="J67" s="20"/>
      <c r="K67" s="20"/>
      <c r="L67" s="20"/>
      <c r="M67" s="20"/>
      <c r="N67" s="20"/>
      <c r="O67" s="21"/>
      <c r="P67" s="21"/>
      <c r="Q67" s="20"/>
      <c r="R67" s="21"/>
      <c r="S67" s="21"/>
    </row>
    <row r="68" spans="2:19" s="50" customFormat="1" ht="19.5" customHeight="1">
      <c r="B68" s="50" t="s">
        <v>2445</v>
      </c>
      <c r="C68" s="21"/>
      <c r="D68" s="20"/>
      <c r="E68" s="20"/>
      <c r="F68" s="20"/>
      <c r="G68" s="20"/>
      <c r="H68" s="20"/>
      <c r="I68" s="20"/>
      <c r="J68" s="20"/>
      <c r="K68" s="20"/>
      <c r="L68" s="20"/>
      <c r="M68" s="20"/>
      <c r="N68" s="20"/>
      <c r="O68" s="21"/>
      <c r="P68" s="21"/>
      <c r="Q68" s="20"/>
      <c r="R68" s="21"/>
      <c r="S68" s="21"/>
    </row>
    <row r="69" spans="2:19" s="50" customFormat="1" ht="19.5" customHeight="1">
      <c r="B69" s="50" t="s">
        <v>2446</v>
      </c>
      <c r="C69" s="21"/>
      <c r="D69" s="20"/>
      <c r="E69" s="20"/>
      <c r="F69" s="20"/>
      <c r="G69" s="20"/>
      <c r="H69" s="20"/>
      <c r="I69" s="20"/>
      <c r="J69" s="20"/>
      <c r="K69" s="20"/>
      <c r="L69" s="20"/>
      <c r="M69" s="20"/>
      <c r="N69" s="20"/>
      <c r="O69" s="21"/>
      <c r="P69" s="21"/>
      <c r="Q69" s="20"/>
      <c r="R69" s="21"/>
      <c r="S69" s="21"/>
    </row>
    <row r="70" spans="2:19" s="50" customFormat="1" ht="19.5" customHeight="1">
      <c r="B70" s="50" t="s">
        <v>2447</v>
      </c>
    </row>
    <row r="71" spans="2:19" s="50" customFormat="1" ht="19.5" customHeight="1">
      <c r="B71" s="50" t="s">
        <v>2448</v>
      </c>
    </row>
    <row r="72" spans="2:19" s="50" customFormat="1" ht="19.5" customHeight="1">
      <c r="B72" s="50" t="s">
        <v>2449</v>
      </c>
    </row>
    <row r="73" spans="2:19" s="50" customFormat="1" ht="19.5" customHeight="1">
      <c r="B73" s="50" t="s">
        <v>2450</v>
      </c>
    </row>
    <row r="74" spans="2:19" s="50" customFormat="1" ht="15" customHeight="1"/>
    <row r="75" spans="2:19" s="50" customFormat="1" ht="15" customHeight="1"/>
    <row r="76" spans="2:19" customFormat="1" ht="15" customHeight="1"/>
    <row r="77" spans="2:19" customFormat="1" ht="15" customHeight="1"/>
    <row r="78" spans="2:19" customFormat="1" ht="15" customHeight="1"/>
    <row r="79" spans="2:19" customFormat="1" ht="15" customHeight="1"/>
    <row r="80" spans="2:19" customFormat="1" ht="15" customHeight="1"/>
    <row r="81" customFormat="1" ht="15" customHeight="1"/>
    <row r="82" customFormat="1" ht="15" customHeight="1"/>
    <row r="83" customFormat="1" ht="15" customHeight="1"/>
    <row r="84" customFormat="1" ht="15" customHeight="1"/>
    <row r="85" customFormat="1" ht="15" customHeight="1"/>
    <row r="86" customFormat="1" ht="15" customHeight="1"/>
    <row r="87" customFormat="1" ht="15" customHeight="1"/>
    <row r="88" customFormat="1" ht="15" customHeight="1"/>
    <row r="89" customFormat="1" ht="15" customHeight="1"/>
    <row r="90" customFormat="1" ht="15" customHeight="1"/>
    <row r="91" customFormat="1" ht="15" customHeight="1"/>
    <row r="92" customFormat="1" ht="15" customHeight="1"/>
    <row r="93" customFormat="1" ht="15" customHeight="1"/>
    <row r="94" s="73" customFormat="1" ht="15" customHeight="1"/>
    <row r="95" s="73" customFormat="1" ht="15" customHeight="1"/>
    <row r="96" s="73" customFormat="1" ht="15" customHeight="1"/>
    <row r="97" s="73" customFormat="1" ht="15" customHeight="1"/>
  </sheetData>
  <mergeCells count="25">
    <mergeCell ref="B55:C55"/>
    <mergeCell ref="D55:S55"/>
    <mergeCell ref="B56:C56"/>
    <mergeCell ref="B5:H5"/>
    <mergeCell ref="I5:Q5"/>
    <mergeCell ref="R5:R7"/>
    <mergeCell ref="S5:S7"/>
    <mergeCell ref="C6:H6"/>
    <mergeCell ref="J6:Q6"/>
    <mergeCell ref="D56:S56"/>
    <mergeCell ref="B2:I3"/>
    <mergeCell ref="K2:N2"/>
    <mergeCell ref="P2:S2"/>
    <mergeCell ref="K3:N3"/>
    <mergeCell ref="P3:S3"/>
    <mergeCell ref="B57:C57"/>
    <mergeCell ref="D57:S57"/>
    <mergeCell ref="B63:C63"/>
    <mergeCell ref="D63:S63"/>
    <mergeCell ref="B60:C60"/>
    <mergeCell ref="D60:S60"/>
    <mergeCell ref="B61:C61"/>
    <mergeCell ref="D61:S61"/>
    <mergeCell ref="B62:C62"/>
    <mergeCell ref="D62:S62"/>
  </mergeCells>
  <phoneticPr fontId="4" type="noConversion"/>
  <hyperlinks>
    <hyperlink ref="A1" location="List!A1" display="Top" xr:uid="{DFCE92FA-23CE-43B2-B5AF-082DE006DE8A}"/>
  </hyperlinks>
  <pageMargins left="0.7" right="0.7" top="0.75" bottom="0.75" header="0.3" footer="0.3"/>
  <customProperties>
    <customPr name="_pios_id" r:id="rId1"/>
  </customPropertie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5307F-DF3A-44CE-9932-F304FEA91EDC}">
  <sheetPr>
    <tabColor theme="9" tint="0.79998168889431442"/>
  </sheetPr>
  <dimension ref="A1:S84"/>
  <sheetViews>
    <sheetView showGridLines="0" workbookViewId="0">
      <selection activeCell="L26" sqref="L26"/>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2756</v>
      </c>
      <c r="C2" s="993"/>
      <c r="D2" s="993"/>
      <c r="E2" s="993"/>
      <c r="F2" s="993"/>
      <c r="G2" s="993"/>
      <c r="H2" s="993"/>
      <c r="I2" s="994"/>
      <c r="J2" s="70" t="s">
        <v>816</v>
      </c>
      <c r="K2" s="998" t="s">
        <v>2575</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2757</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22" t="s">
        <v>2758</v>
      </c>
      <c r="D8" s="23"/>
      <c r="E8" s="22" t="s">
        <v>845</v>
      </c>
      <c r="F8" s="23"/>
      <c r="G8" s="24" t="s">
        <v>2759</v>
      </c>
      <c r="H8" s="22"/>
      <c r="I8" s="110">
        <v>1</v>
      </c>
      <c r="J8" s="117" t="s">
        <v>2760</v>
      </c>
      <c r="K8" s="119"/>
      <c r="L8" s="113" t="s">
        <v>1188</v>
      </c>
      <c r="M8" s="112">
        <v>1000</v>
      </c>
      <c r="N8" s="114" t="s">
        <v>2761</v>
      </c>
      <c r="O8" s="114"/>
      <c r="P8" s="112"/>
      <c r="Q8" s="112"/>
      <c r="R8" s="114"/>
      <c r="S8" s="134"/>
    </row>
    <row r="9" spans="1:19" s="73" customFormat="1" ht="13.5">
      <c r="B9" s="104">
        <v>2</v>
      </c>
      <c r="C9" s="22" t="s">
        <v>2762</v>
      </c>
      <c r="D9" s="23"/>
      <c r="E9" s="22" t="s">
        <v>845</v>
      </c>
      <c r="F9" s="23"/>
      <c r="G9" s="24" t="s">
        <v>2763</v>
      </c>
      <c r="H9" s="22"/>
      <c r="I9" s="110">
        <v>2</v>
      </c>
      <c r="J9" s="117" t="s">
        <v>2764</v>
      </c>
      <c r="K9" s="119"/>
      <c r="L9" s="113" t="s">
        <v>1188</v>
      </c>
      <c r="M9" s="112">
        <v>1000</v>
      </c>
      <c r="N9" s="114" t="s">
        <v>2765</v>
      </c>
      <c r="O9" s="114"/>
      <c r="P9" s="112"/>
      <c r="Q9" s="112"/>
      <c r="R9" s="114"/>
      <c r="S9" s="134"/>
    </row>
    <row r="10" spans="1:19" s="73" customFormat="1" ht="13.5">
      <c r="B10" s="104">
        <v>3</v>
      </c>
      <c r="C10" s="22" t="s">
        <v>2660</v>
      </c>
      <c r="D10" s="23"/>
      <c r="E10" s="22" t="s">
        <v>845</v>
      </c>
      <c r="F10" s="23"/>
      <c r="G10" s="24" t="s">
        <v>2621</v>
      </c>
      <c r="H10" s="22"/>
      <c r="I10" s="110">
        <v>3</v>
      </c>
      <c r="J10" s="118" t="s">
        <v>848</v>
      </c>
      <c r="K10" s="119"/>
      <c r="L10" s="113" t="s">
        <v>1188</v>
      </c>
      <c r="M10" s="112">
        <v>1000</v>
      </c>
      <c r="N10" s="108" t="s">
        <v>850</v>
      </c>
      <c r="O10" s="108"/>
      <c r="P10" s="112"/>
      <c r="Q10" s="112"/>
      <c r="R10" s="114"/>
      <c r="S10" s="134"/>
    </row>
    <row r="11" spans="1:19" s="73" customFormat="1" ht="13.5">
      <c r="B11" s="104">
        <v>4</v>
      </c>
      <c r="C11" s="22" t="s">
        <v>2766</v>
      </c>
      <c r="D11" s="23"/>
      <c r="E11" s="22" t="s">
        <v>845</v>
      </c>
      <c r="F11" s="23"/>
      <c r="G11" s="24" t="s">
        <v>2767</v>
      </c>
      <c r="H11" s="22"/>
      <c r="I11" s="110">
        <v>4</v>
      </c>
      <c r="J11" s="118" t="s">
        <v>2768</v>
      </c>
      <c r="K11" s="119"/>
      <c r="L11" s="113" t="s">
        <v>1188</v>
      </c>
      <c r="M11" s="112">
        <v>1000</v>
      </c>
      <c r="N11" s="108" t="s">
        <v>2769</v>
      </c>
      <c r="O11" s="108"/>
      <c r="P11" s="119"/>
      <c r="Q11" s="119"/>
      <c r="R11" s="108"/>
      <c r="S11" s="134"/>
    </row>
    <row r="12" spans="1:19" s="73" customFormat="1" ht="13.5">
      <c r="B12" s="104">
        <v>5</v>
      </c>
      <c r="C12" s="22" t="s">
        <v>2770</v>
      </c>
      <c r="D12" s="23"/>
      <c r="E12" s="22" t="s">
        <v>845</v>
      </c>
      <c r="F12" s="23"/>
      <c r="G12" s="24" t="s">
        <v>2771</v>
      </c>
      <c r="H12" s="22"/>
      <c r="I12" s="110">
        <v>5</v>
      </c>
      <c r="J12" s="118" t="s">
        <v>2772</v>
      </c>
      <c r="K12" s="119"/>
      <c r="L12" s="113" t="s">
        <v>1188</v>
      </c>
      <c r="M12" s="112">
        <v>1000</v>
      </c>
      <c r="N12" s="108" t="s">
        <v>2773</v>
      </c>
      <c r="O12" s="108"/>
      <c r="P12" s="119"/>
      <c r="Q12" s="119"/>
      <c r="R12" s="108"/>
      <c r="S12" s="134"/>
    </row>
    <row r="13" spans="1:19" s="73" customFormat="1" ht="13.5">
      <c r="B13" s="104">
        <v>6</v>
      </c>
      <c r="C13" s="22" t="s">
        <v>2774</v>
      </c>
      <c r="D13" s="23"/>
      <c r="E13" s="22" t="s">
        <v>845</v>
      </c>
      <c r="F13" s="23"/>
      <c r="G13" s="24" t="s">
        <v>2775</v>
      </c>
      <c r="H13" s="22"/>
      <c r="I13" s="110">
        <v>6</v>
      </c>
      <c r="J13" s="118" t="s">
        <v>2776</v>
      </c>
      <c r="K13" s="106"/>
      <c r="L13" s="113" t="s">
        <v>1188</v>
      </c>
      <c r="M13" s="112">
        <v>1000</v>
      </c>
      <c r="N13" s="108" t="s">
        <v>2777</v>
      </c>
      <c r="O13" s="108"/>
      <c r="P13" s="119"/>
      <c r="Q13" s="112"/>
      <c r="R13" s="114"/>
      <c r="S13" s="134"/>
    </row>
    <row r="14" spans="1:19" s="73" customFormat="1" ht="13.5">
      <c r="B14" s="104">
        <v>7</v>
      </c>
      <c r="C14" s="22" t="s">
        <v>2778</v>
      </c>
      <c r="D14" s="23"/>
      <c r="E14" s="22" t="s">
        <v>845</v>
      </c>
      <c r="F14" s="23"/>
      <c r="G14" s="24" t="s">
        <v>2779</v>
      </c>
      <c r="H14" s="22"/>
      <c r="I14" s="110">
        <v>7</v>
      </c>
      <c r="J14" s="118" t="s">
        <v>2780</v>
      </c>
      <c r="K14" s="106"/>
      <c r="L14" s="113" t="s">
        <v>1188</v>
      </c>
      <c r="M14" s="112">
        <v>1000</v>
      </c>
      <c r="N14" s="108" t="s">
        <v>2781</v>
      </c>
      <c r="O14" s="108"/>
      <c r="P14" s="119"/>
      <c r="Q14" s="112"/>
      <c r="R14" s="114"/>
      <c r="S14" s="134"/>
    </row>
    <row r="15" spans="1:19" s="73" customFormat="1" ht="13.5">
      <c r="B15" s="104">
        <v>8</v>
      </c>
      <c r="C15" s="22" t="s">
        <v>2782</v>
      </c>
      <c r="D15" s="23"/>
      <c r="E15" s="22" t="s">
        <v>845</v>
      </c>
      <c r="F15" s="23"/>
      <c r="G15" s="24" t="s">
        <v>2783</v>
      </c>
      <c r="H15" s="22"/>
      <c r="I15" s="110">
        <v>8</v>
      </c>
      <c r="J15" s="118" t="s">
        <v>2784</v>
      </c>
      <c r="K15" s="106"/>
      <c r="L15" s="113" t="s">
        <v>1188</v>
      </c>
      <c r="M15" s="112">
        <v>1000</v>
      </c>
      <c r="N15" s="108" t="s">
        <v>2785</v>
      </c>
      <c r="O15" s="108"/>
      <c r="P15" s="119"/>
      <c r="Q15" s="112"/>
      <c r="R15" s="114"/>
      <c r="S15" s="134"/>
    </row>
    <row r="16" spans="1:19" s="73" customFormat="1" ht="13.5">
      <c r="B16" s="104">
        <v>9</v>
      </c>
      <c r="C16" s="22" t="s">
        <v>2786</v>
      </c>
      <c r="D16" s="23"/>
      <c r="E16" s="22" t="s">
        <v>845</v>
      </c>
      <c r="F16" s="23"/>
      <c r="G16" s="24" t="s">
        <v>2787</v>
      </c>
      <c r="H16" s="22"/>
      <c r="I16" s="110">
        <v>9</v>
      </c>
      <c r="J16" s="118" t="s">
        <v>2788</v>
      </c>
      <c r="K16" s="106"/>
      <c r="L16" s="113" t="s">
        <v>1188</v>
      </c>
      <c r="M16" s="112">
        <v>1000</v>
      </c>
      <c r="N16" s="108" t="s">
        <v>2789</v>
      </c>
      <c r="O16" s="108"/>
      <c r="P16" s="119"/>
      <c r="Q16" s="112"/>
      <c r="R16" s="114"/>
      <c r="S16" s="134"/>
    </row>
    <row r="17" spans="2:19" s="73" customFormat="1" ht="13.5">
      <c r="B17" s="104">
        <v>10</v>
      </c>
      <c r="C17" s="22" t="s">
        <v>2790</v>
      </c>
      <c r="D17" s="23"/>
      <c r="E17" s="22" t="s">
        <v>845</v>
      </c>
      <c r="F17" s="23"/>
      <c r="G17" s="24" t="s">
        <v>2791</v>
      </c>
      <c r="H17" s="22"/>
      <c r="I17" s="110">
        <v>10</v>
      </c>
      <c r="J17" s="117" t="s">
        <v>2792</v>
      </c>
      <c r="K17" s="120"/>
      <c r="L17" s="113" t="s">
        <v>1188</v>
      </c>
      <c r="M17" s="112">
        <v>1000</v>
      </c>
      <c r="N17" s="108" t="s">
        <v>2793</v>
      </c>
      <c r="O17" s="108"/>
      <c r="P17" s="112"/>
      <c r="Q17" s="112"/>
      <c r="R17" s="114"/>
      <c r="S17" s="134"/>
    </row>
    <row r="18" spans="2:19" s="73" customFormat="1" ht="13.5">
      <c r="B18" s="104">
        <v>11</v>
      </c>
      <c r="C18" s="22" t="s">
        <v>2794</v>
      </c>
      <c r="D18" s="23"/>
      <c r="E18" s="22" t="s">
        <v>845</v>
      </c>
      <c r="F18" s="23"/>
      <c r="G18" s="24" t="s">
        <v>2795</v>
      </c>
      <c r="H18" s="22"/>
      <c r="I18" s="110">
        <v>11</v>
      </c>
      <c r="J18" s="117" t="s">
        <v>2796</v>
      </c>
      <c r="K18" s="112"/>
      <c r="L18" s="113" t="s">
        <v>1188</v>
      </c>
      <c r="M18" s="112">
        <v>1000</v>
      </c>
      <c r="N18" s="114" t="s">
        <v>2797</v>
      </c>
      <c r="O18" s="114"/>
      <c r="P18" s="112"/>
      <c r="Q18" s="112"/>
      <c r="R18" s="114"/>
      <c r="S18" s="134"/>
    </row>
    <row r="19" spans="2:19" s="73" customFormat="1" ht="13.5">
      <c r="B19" s="104">
        <v>12</v>
      </c>
      <c r="C19" s="22" t="s">
        <v>2798</v>
      </c>
      <c r="D19" s="23"/>
      <c r="E19" s="22" t="s">
        <v>845</v>
      </c>
      <c r="F19" s="23"/>
      <c r="G19" s="24" t="s">
        <v>2799</v>
      </c>
      <c r="H19" s="22"/>
      <c r="I19" s="110">
        <v>12</v>
      </c>
      <c r="J19" s="117" t="s">
        <v>2800</v>
      </c>
      <c r="K19" s="120"/>
      <c r="L19" s="113" t="s">
        <v>1188</v>
      </c>
      <c r="M19" s="112">
        <v>1000</v>
      </c>
      <c r="N19" s="114" t="s">
        <v>2801</v>
      </c>
      <c r="O19" s="114"/>
      <c r="P19" s="112"/>
      <c r="Q19" s="112"/>
      <c r="R19" s="114"/>
      <c r="S19" s="134"/>
    </row>
    <row r="20" spans="2:19" s="73" customFormat="1" ht="13.5">
      <c r="B20" s="104">
        <v>13</v>
      </c>
      <c r="C20" s="22" t="s">
        <v>2802</v>
      </c>
      <c r="D20" s="23"/>
      <c r="E20" s="22" t="s">
        <v>845</v>
      </c>
      <c r="F20" s="23"/>
      <c r="G20" s="24" t="s">
        <v>2803</v>
      </c>
      <c r="H20" s="22"/>
      <c r="I20" s="110">
        <v>13</v>
      </c>
      <c r="J20" s="117" t="s">
        <v>2804</v>
      </c>
      <c r="K20" s="120"/>
      <c r="L20" s="113" t="s">
        <v>1188</v>
      </c>
      <c r="M20" s="112">
        <v>1000</v>
      </c>
      <c r="N20" s="114" t="s">
        <v>2805</v>
      </c>
      <c r="O20" s="114"/>
      <c r="P20" s="112"/>
      <c r="Q20" s="112"/>
      <c r="R20" s="114"/>
      <c r="S20" s="134"/>
    </row>
    <row r="21" spans="2:19" s="73" customFormat="1" ht="27">
      <c r="B21" s="104">
        <v>14</v>
      </c>
      <c r="C21" s="22" t="s">
        <v>2688</v>
      </c>
      <c r="D21" s="23"/>
      <c r="E21" s="22" t="s">
        <v>845</v>
      </c>
      <c r="F21" s="23"/>
      <c r="G21" s="24" t="s">
        <v>2645</v>
      </c>
      <c r="H21" s="22"/>
      <c r="I21" s="110">
        <v>14</v>
      </c>
      <c r="J21" s="118" t="s">
        <v>2806</v>
      </c>
      <c r="K21" s="119"/>
      <c r="L21" s="113" t="s">
        <v>1188</v>
      </c>
      <c r="M21" s="112">
        <v>1000</v>
      </c>
      <c r="N21" s="108" t="s">
        <v>2647</v>
      </c>
      <c r="O21" s="108"/>
      <c r="P21" s="119"/>
      <c r="Q21" s="119"/>
      <c r="R21" s="108"/>
      <c r="S21" s="134"/>
    </row>
    <row r="22" spans="2:19" s="73" customFormat="1" ht="13.5">
      <c r="B22" s="104">
        <v>15</v>
      </c>
      <c r="C22" s="22"/>
      <c r="D22" s="23"/>
      <c r="E22" s="22"/>
      <c r="F22" s="23"/>
      <c r="G22" s="24"/>
      <c r="H22" s="22"/>
      <c r="I22" s="110">
        <v>15</v>
      </c>
      <c r="J22" s="118"/>
      <c r="K22" s="119"/>
      <c r="L22" s="113"/>
      <c r="M22" s="112"/>
      <c r="N22" s="108"/>
      <c r="O22" s="108"/>
      <c r="P22" s="119"/>
      <c r="Q22" s="119"/>
      <c r="R22" s="108"/>
      <c r="S22" s="134"/>
    </row>
    <row r="23" spans="2:19" s="73" customFormat="1" ht="13.5">
      <c r="B23" s="104">
        <v>16</v>
      </c>
      <c r="C23" s="22"/>
      <c r="D23" s="23"/>
      <c r="E23" s="22"/>
      <c r="F23" s="23"/>
      <c r="G23" s="24"/>
      <c r="H23" s="22"/>
      <c r="I23" s="110">
        <v>16</v>
      </c>
      <c r="J23" s="105"/>
      <c r="K23" s="119"/>
      <c r="L23" s="113"/>
      <c r="M23" s="112"/>
      <c r="N23" s="114"/>
      <c r="O23" s="114"/>
      <c r="P23" s="119"/>
      <c r="Q23" s="119"/>
      <c r="R23" s="108"/>
      <c r="S23" s="134"/>
    </row>
    <row r="24" spans="2:19" s="73" customFormat="1" ht="13.5">
      <c r="B24" s="104">
        <v>17</v>
      </c>
      <c r="C24" s="22"/>
      <c r="D24" s="23"/>
      <c r="E24" s="22"/>
      <c r="F24" s="23"/>
      <c r="G24" s="24"/>
      <c r="H24" s="22"/>
      <c r="I24" s="110">
        <v>17</v>
      </c>
      <c r="J24" s="105"/>
      <c r="K24" s="119"/>
      <c r="L24" s="113"/>
      <c r="M24" s="112"/>
      <c r="N24" s="114"/>
      <c r="O24" s="114"/>
      <c r="P24" s="119"/>
      <c r="Q24" s="119"/>
      <c r="R24" s="108"/>
      <c r="S24" s="134"/>
    </row>
    <row r="25" spans="2:19" s="73" customFormat="1" ht="13.5">
      <c r="B25" s="104">
        <v>18</v>
      </c>
      <c r="C25" s="22"/>
      <c r="D25" s="23"/>
      <c r="E25" s="22"/>
      <c r="F25" s="23"/>
      <c r="G25" s="24"/>
      <c r="H25" s="22"/>
      <c r="I25" s="110">
        <v>18</v>
      </c>
      <c r="J25" s="105"/>
      <c r="K25" s="119"/>
      <c r="L25" s="113"/>
      <c r="M25" s="112"/>
      <c r="N25" s="114"/>
      <c r="O25" s="114"/>
      <c r="P25" s="119"/>
      <c r="Q25" s="119"/>
      <c r="R25" s="108"/>
      <c r="S25" s="134"/>
    </row>
    <row r="26" spans="2:19" s="73" customFormat="1" ht="13.5">
      <c r="B26" s="104">
        <v>19</v>
      </c>
      <c r="C26" s="22"/>
      <c r="D26" s="23"/>
      <c r="E26" s="22"/>
      <c r="F26" s="23"/>
      <c r="G26" s="24"/>
      <c r="H26" s="22"/>
      <c r="I26" s="110">
        <v>19</v>
      </c>
      <c r="J26" s="105"/>
      <c r="K26" s="119"/>
      <c r="L26" s="113"/>
      <c r="M26" s="112"/>
      <c r="N26" s="114"/>
      <c r="O26" s="114"/>
      <c r="P26" s="119"/>
      <c r="Q26" s="119"/>
      <c r="R26" s="108"/>
      <c r="S26" s="134"/>
    </row>
    <row r="27" spans="2:19" s="73" customFormat="1" ht="13.5">
      <c r="B27" s="104">
        <v>20</v>
      </c>
      <c r="C27" s="22"/>
      <c r="D27" s="23"/>
      <c r="E27" s="22"/>
      <c r="F27" s="23"/>
      <c r="G27" s="24"/>
      <c r="H27" s="22"/>
      <c r="I27" s="110">
        <v>20</v>
      </c>
      <c r="J27" s="105"/>
      <c r="K27" s="119"/>
      <c r="L27" s="113"/>
      <c r="M27" s="112"/>
      <c r="N27" s="114"/>
      <c r="O27" s="114"/>
      <c r="P27" s="119"/>
      <c r="Q27" s="119"/>
      <c r="R27" s="108"/>
      <c r="S27" s="134"/>
    </row>
    <row r="28" spans="2:19" s="73" customFormat="1" ht="13.5">
      <c r="B28" s="104">
        <v>21</v>
      </c>
      <c r="C28" s="22"/>
      <c r="D28" s="23"/>
      <c r="E28" s="22"/>
      <c r="F28" s="23"/>
      <c r="G28" s="24"/>
      <c r="H28" s="22"/>
      <c r="I28" s="110">
        <v>21</v>
      </c>
      <c r="J28" s="105"/>
      <c r="K28" s="119"/>
      <c r="L28" s="113"/>
      <c r="M28" s="112"/>
      <c r="N28" s="114"/>
      <c r="O28" s="114"/>
      <c r="P28" s="119"/>
      <c r="Q28" s="119"/>
      <c r="R28" s="108"/>
      <c r="S28" s="134"/>
    </row>
    <row r="29" spans="2:19" s="73" customFormat="1" ht="13.5">
      <c r="B29" s="104">
        <v>22</v>
      </c>
      <c r="C29" s="22"/>
      <c r="D29" s="23"/>
      <c r="E29" s="22"/>
      <c r="F29" s="23"/>
      <c r="G29" s="24"/>
      <c r="H29" s="22"/>
      <c r="I29" s="110">
        <v>22</v>
      </c>
      <c r="J29" s="105"/>
      <c r="K29" s="119"/>
      <c r="L29" s="113"/>
      <c r="M29" s="112"/>
      <c r="N29" s="114"/>
      <c r="O29" s="114"/>
      <c r="P29" s="119"/>
      <c r="Q29" s="119"/>
      <c r="R29" s="108"/>
      <c r="S29" s="134"/>
    </row>
    <row r="30" spans="2:19" s="73" customFormat="1" ht="13.5">
      <c r="B30" s="104">
        <v>23</v>
      </c>
      <c r="C30" s="22"/>
      <c r="D30" s="23"/>
      <c r="E30" s="22"/>
      <c r="F30" s="23"/>
      <c r="G30" s="24"/>
      <c r="H30" s="22"/>
      <c r="I30" s="110">
        <v>23</v>
      </c>
      <c r="J30" s="105"/>
      <c r="K30" s="119"/>
      <c r="L30" s="113"/>
      <c r="M30" s="112"/>
      <c r="N30" s="114"/>
      <c r="O30" s="114"/>
      <c r="P30" s="119"/>
      <c r="Q30" s="119"/>
      <c r="R30" s="108"/>
      <c r="S30" s="134"/>
    </row>
    <row r="31" spans="2:19" s="73" customFormat="1" ht="13.5">
      <c r="B31" s="104">
        <v>24</v>
      </c>
      <c r="C31" s="22"/>
      <c r="D31" s="23"/>
      <c r="E31" s="22"/>
      <c r="F31" s="23"/>
      <c r="G31" s="24"/>
      <c r="H31" s="22"/>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1078"/>
      <c r="E43" s="1079"/>
      <c r="F43" s="1079"/>
      <c r="G43" s="1079"/>
      <c r="H43" s="1079"/>
      <c r="I43" s="1079"/>
      <c r="J43" s="1079"/>
      <c r="K43" s="1079"/>
      <c r="L43" s="1079"/>
      <c r="M43" s="1079"/>
      <c r="N43" s="1079"/>
      <c r="O43" s="1079"/>
      <c r="P43" s="1079"/>
      <c r="Q43" s="1079"/>
      <c r="R43" s="1079"/>
      <c r="S43" s="1080"/>
    </row>
    <row r="44" spans="2:19" ht="24.75" customHeight="1">
      <c r="B44" s="1008" t="s">
        <v>1038</v>
      </c>
      <c r="C44" s="1009"/>
      <c r="D44" s="1081"/>
      <c r="E44" s="1082"/>
      <c r="F44" s="1082"/>
      <c r="G44" s="1082"/>
      <c r="H44" s="1082"/>
      <c r="I44" s="1082"/>
      <c r="J44" s="1082"/>
      <c r="K44" s="1082"/>
      <c r="L44" s="1082"/>
      <c r="M44" s="1082"/>
      <c r="N44" s="1082"/>
      <c r="O44" s="1082"/>
      <c r="P44" s="1082"/>
      <c r="Q44" s="1082"/>
      <c r="R44" s="1082"/>
      <c r="S44" s="1083"/>
    </row>
    <row r="45" spans="2:19" ht="18.75" customHeight="1">
      <c r="B45" s="75"/>
      <c r="C45" s="75"/>
      <c r="D45" s="5"/>
      <c r="E45" s="5"/>
      <c r="F45" s="5"/>
      <c r="G45" s="5"/>
      <c r="H45" s="5"/>
      <c r="I45" s="5"/>
      <c r="J45" s="5"/>
      <c r="K45" s="5"/>
      <c r="L45" s="5"/>
      <c r="M45" s="5"/>
      <c r="N45" s="5"/>
      <c r="O45" s="5"/>
      <c r="P45" s="5"/>
      <c r="Q45" s="5"/>
      <c r="R45" s="5"/>
      <c r="S45" s="5"/>
    </row>
    <row r="46" spans="2:19" ht="18.75" customHeight="1">
      <c r="B46" s="51" t="s">
        <v>1045</v>
      </c>
      <c r="C46" s="73"/>
      <c r="D46" s="4"/>
      <c r="E46" s="4"/>
      <c r="F46" s="4"/>
      <c r="G46" s="4"/>
      <c r="H46" s="4"/>
      <c r="I46" s="4"/>
      <c r="J46" s="4"/>
      <c r="K46" s="4"/>
      <c r="L46" s="4"/>
      <c r="M46" s="4"/>
      <c r="N46" s="5"/>
      <c r="O46" s="5"/>
      <c r="P46" s="4"/>
      <c r="Q46" s="5"/>
      <c r="R46" s="5"/>
      <c r="S46" s="4"/>
    </row>
    <row r="47" spans="2:19" ht="140.44999999999999" customHeight="1">
      <c r="B47" s="1014" t="s">
        <v>1049</v>
      </c>
      <c r="C47" s="1014"/>
      <c r="D47" s="1085"/>
      <c r="E47" s="1084"/>
      <c r="F47" s="1084"/>
      <c r="G47" s="1084"/>
      <c r="H47" s="1084"/>
      <c r="I47" s="1084"/>
      <c r="J47" s="1084"/>
      <c r="K47" s="1084"/>
      <c r="L47" s="1084"/>
      <c r="M47" s="1084"/>
      <c r="N47" s="1084"/>
      <c r="O47" s="1084"/>
      <c r="P47" s="1084"/>
      <c r="Q47" s="1084"/>
      <c r="R47" s="1084"/>
      <c r="S47" s="1084"/>
    </row>
    <row r="48" spans="2:19" ht="33" customHeight="1">
      <c r="B48" s="976" t="s">
        <v>1053</v>
      </c>
      <c r="C48" s="976"/>
      <c r="D48" s="1084"/>
      <c r="E48" s="1084"/>
      <c r="F48" s="1084"/>
      <c r="G48" s="1084"/>
      <c r="H48" s="1084"/>
      <c r="I48" s="1084"/>
      <c r="J48" s="1084"/>
      <c r="K48" s="1084"/>
      <c r="L48" s="1084"/>
      <c r="M48" s="1084"/>
      <c r="N48" s="1084"/>
      <c r="O48" s="1084"/>
      <c r="P48" s="1084"/>
      <c r="Q48" s="1084"/>
      <c r="R48" s="1084"/>
      <c r="S48" s="1084"/>
    </row>
    <row r="49" spans="2:19" ht="71.25" customHeight="1">
      <c r="B49" s="976" t="s">
        <v>1057</v>
      </c>
      <c r="C49" s="976"/>
      <c r="D49" s="1084"/>
      <c r="E49" s="1084"/>
      <c r="F49" s="1084"/>
      <c r="G49" s="1084"/>
      <c r="H49" s="1084"/>
      <c r="I49" s="1084"/>
      <c r="J49" s="1084"/>
      <c r="K49" s="1084"/>
      <c r="L49" s="1084"/>
      <c r="M49" s="1084"/>
      <c r="N49" s="1084"/>
      <c r="O49" s="1084"/>
      <c r="P49" s="1084"/>
      <c r="Q49" s="1084"/>
      <c r="R49" s="1084"/>
      <c r="S49" s="1084"/>
    </row>
    <row r="50" spans="2:19" ht="38.25" customHeight="1">
      <c r="B50" s="976" t="s">
        <v>1061</v>
      </c>
      <c r="C50" s="976"/>
      <c r="D50" s="1084"/>
      <c r="E50" s="1084"/>
      <c r="F50" s="1084"/>
      <c r="G50" s="1084"/>
      <c r="H50" s="1084"/>
      <c r="I50" s="1084"/>
      <c r="J50" s="1084"/>
      <c r="K50" s="1084"/>
      <c r="L50" s="1084"/>
      <c r="M50" s="1084"/>
      <c r="N50" s="1084"/>
      <c r="O50" s="1084"/>
      <c r="P50" s="1084"/>
      <c r="Q50" s="1084"/>
      <c r="R50" s="1084"/>
      <c r="S50" s="1084"/>
    </row>
    <row r="51" spans="2:19" s="73" customFormat="1" ht="15" customHeight="1"/>
    <row r="52" spans="2:19" s="50" customFormat="1" ht="19.5" customHeight="1">
      <c r="B52" s="50" t="s">
        <v>2442</v>
      </c>
      <c r="C52" s="21"/>
      <c r="D52" s="20"/>
      <c r="E52" s="20"/>
      <c r="F52" s="20"/>
      <c r="G52" s="20"/>
      <c r="H52" s="20"/>
      <c r="I52" s="20"/>
      <c r="J52" s="20"/>
      <c r="K52" s="20"/>
      <c r="L52" s="20"/>
      <c r="M52" s="20"/>
      <c r="N52" s="20"/>
      <c r="O52" s="21"/>
      <c r="P52" s="21"/>
      <c r="Q52" s="20"/>
      <c r="R52" s="21"/>
      <c r="S52" s="21"/>
    </row>
    <row r="53" spans="2:19" s="50" customFormat="1" ht="19.5" customHeight="1">
      <c r="B53" s="50" t="s">
        <v>2443</v>
      </c>
      <c r="C53" s="21"/>
      <c r="D53" s="20"/>
      <c r="E53" s="20"/>
      <c r="F53" s="20"/>
      <c r="G53" s="20"/>
      <c r="H53" s="20"/>
      <c r="I53" s="20"/>
      <c r="J53" s="20"/>
      <c r="K53" s="20"/>
      <c r="L53" s="20"/>
      <c r="M53" s="20"/>
      <c r="N53" s="20"/>
      <c r="O53" s="21"/>
      <c r="P53" s="21"/>
      <c r="Q53" s="20"/>
      <c r="R53" s="21"/>
      <c r="S53" s="21"/>
    </row>
    <row r="54" spans="2:19" s="50" customFormat="1" ht="19.5" customHeight="1">
      <c r="B54" s="50" t="s">
        <v>2444</v>
      </c>
      <c r="C54" s="21"/>
      <c r="D54" s="20"/>
      <c r="E54" s="20"/>
      <c r="F54" s="20"/>
      <c r="G54" s="20"/>
      <c r="H54" s="20"/>
      <c r="I54" s="20"/>
      <c r="J54" s="20"/>
      <c r="K54" s="20"/>
      <c r="L54" s="20"/>
      <c r="M54" s="20"/>
      <c r="N54" s="20"/>
      <c r="O54" s="21"/>
      <c r="P54" s="21"/>
      <c r="Q54" s="20"/>
      <c r="R54" s="21"/>
      <c r="S54" s="21"/>
    </row>
    <row r="55" spans="2:19" s="50" customFormat="1" ht="19.5" customHeight="1">
      <c r="B55" s="50" t="s">
        <v>2445</v>
      </c>
      <c r="C55" s="21"/>
      <c r="D55" s="20"/>
      <c r="E55" s="20"/>
      <c r="F55" s="20"/>
      <c r="G55" s="20"/>
      <c r="H55" s="20"/>
      <c r="I55" s="20"/>
      <c r="J55" s="20"/>
      <c r="K55" s="20"/>
      <c r="L55" s="20"/>
      <c r="M55" s="20"/>
      <c r="N55" s="20"/>
      <c r="O55" s="21"/>
      <c r="P55" s="21"/>
      <c r="Q55" s="20"/>
      <c r="R55" s="21"/>
      <c r="S55" s="21"/>
    </row>
    <row r="56" spans="2:19" s="50" customFormat="1" ht="19.5" customHeight="1">
      <c r="B56" s="50" t="s">
        <v>2446</v>
      </c>
      <c r="C56" s="21"/>
      <c r="D56" s="20"/>
      <c r="E56" s="20"/>
      <c r="F56" s="20"/>
      <c r="G56" s="20"/>
      <c r="H56" s="20"/>
      <c r="I56" s="20"/>
      <c r="J56" s="20"/>
      <c r="K56" s="20"/>
      <c r="L56" s="20"/>
      <c r="M56" s="20"/>
      <c r="N56" s="20"/>
      <c r="O56" s="21"/>
      <c r="P56" s="21"/>
      <c r="Q56" s="20"/>
      <c r="R56" s="21"/>
      <c r="S56" s="21"/>
    </row>
    <row r="57" spans="2:19" s="50" customFormat="1" ht="19.5" customHeight="1">
      <c r="B57" s="50" t="s">
        <v>2447</v>
      </c>
    </row>
    <row r="58" spans="2:19" s="50" customFormat="1" ht="19.5" customHeight="1">
      <c r="B58" s="50" t="s">
        <v>2448</v>
      </c>
    </row>
    <row r="59" spans="2:19" s="50" customFormat="1" ht="19.5" customHeight="1">
      <c r="B59" s="50" t="s">
        <v>2449</v>
      </c>
    </row>
    <row r="60" spans="2:19" s="50" customFormat="1" ht="19.5" customHeight="1">
      <c r="B60" s="50" t="s">
        <v>2450</v>
      </c>
    </row>
    <row r="61" spans="2:19" s="50" customFormat="1" ht="15" customHeight="1"/>
    <row r="62" spans="2:19" s="50" customFormat="1" ht="15" customHeight="1"/>
    <row r="63" spans="2:19" customFormat="1" ht="1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s="73" customFormat="1" ht="15" customHeight="1"/>
    <row r="82" s="73" customFormat="1" ht="15" customHeight="1"/>
    <row r="83" s="73" customFormat="1" ht="15" customHeight="1"/>
    <row r="84" s="73" customFormat="1" ht="15" customHeight="1"/>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B9A305DC-2EF1-46FC-9CFF-47327CE79E74}"/>
  </hyperlinks>
  <pageMargins left="0.7" right="0.7" top="0.75" bottom="0.75" header="0.3" footer="0.3"/>
  <customProperties>
    <customPr name="_pios_id" r:id="rId1"/>
  </customPropertie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DEACA-3318-4A66-B798-B9F0199B1C22}">
  <sheetPr>
    <tabColor theme="9" tint="0.79998168889431442"/>
  </sheetPr>
  <dimension ref="A1:AC96"/>
  <sheetViews>
    <sheetView showGridLines="0" workbookViewId="0"/>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2807</v>
      </c>
      <c r="C2" s="993"/>
      <c r="D2" s="993"/>
      <c r="E2" s="993"/>
      <c r="F2" s="993"/>
      <c r="G2" s="993"/>
      <c r="H2" s="993"/>
      <c r="I2" s="994"/>
      <c r="J2" s="70" t="s">
        <v>816</v>
      </c>
      <c r="K2" s="998" t="s">
        <v>145</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c r="D6" s="984"/>
      <c r="E6" s="984"/>
      <c r="F6" s="984"/>
      <c r="G6" s="984"/>
      <c r="H6" s="986"/>
      <c r="I6" s="102" t="s">
        <v>829</v>
      </c>
      <c r="J6" s="988"/>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204" t="s">
        <v>2808</v>
      </c>
      <c r="D8" s="205" t="s">
        <v>1870</v>
      </c>
      <c r="E8" s="206" t="s">
        <v>845</v>
      </c>
      <c r="F8" s="206">
        <v>40</v>
      </c>
      <c r="G8" s="207" t="s">
        <v>1069</v>
      </c>
      <c r="H8" s="109"/>
      <c r="I8" s="110">
        <v>1</v>
      </c>
      <c r="J8" s="491" t="s">
        <v>2809</v>
      </c>
      <c r="K8" s="484" t="s">
        <v>2810</v>
      </c>
      <c r="L8" s="483" t="s">
        <v>2579</v>
      </c>
      <c r="M8" s="484">
        <v>1000</v>
      </c>
      <c r="N8" s="492" t="s">
        <v>1069</v>
      </c>
      <c r="O8" s="114"/>
      <c r="P8" s="112"/>
      <c r="Q8" s="112"/>
      <c r="R8" s="114"/>
      <c r="S8" s="134"/>
      <c r="Z8" s="116" t="s">
        <v>848</v>
      </c>
      <c r="AA8" s="116" t="s">
        <v>849</v>
      </c>
      <c r="AB8" s="116" t="s">
        <v>850</v>
      </c>
      <c r="AC8" s="116" t="s">
        <v>851</v>
      </c>
    </row>
    <row r="9" spans="1:29" s="73" customFormat="1" ht="13.5">
      <c r="B9" s="104">
        <v>2</v>
      </c>
      <c r="C9" s="204" t="s">
        <v>2811</v>
      </c>
      <c r="D9" s="205"/>
      <c r="E9" s="206" t="s">
        <v>845</v>
      </c>
      <c r="F9" s="206">
        <v>10</v>
      </c>
      <c r="G9" s="207" t="s">
        <v>2812</v>
      </c>
      <c r="H9" s="109"/>
      <c r="I9" s="110">
        <v>2</v>
      </c>
      <c r="J9" s="493" t="s">
        <v>2813</v>
      </c>
      <c r="K9" s="480" t="s">
        <v>1368</v>
      </c>
      <c r="L9" s="486" t="s">
        <v>2579</v>
      </c>
      <c r="M9" s="487">
        <v>1000</v>
      </c>
      <c r="N9" s="492" t="s">
        <v>2812</v>
      </c>
      <c r="O9" s="114"/>
      <c r="P9" s="112"/>
      <c r="Q9" s="112"/>
      <c r="R9" s="114"/>
      <c r="S9" s="134"/>
      <c r="T9" s="71"/>
      <c r="Z9" s="116" t="s">
        <v>857</v>
      </c>
      <c r="AA9" s="116" t="s">
        <v>858</v>
      </c>
      <c r="AB9" s="116" t="s">
        <v>859</v>
      </c>
      <c r="AC9" s="116" t="s">
        <v>860</v>
      </c>
    </row>
    <row r="10" spans="1:29" s="73" customFormat="1" ht="13.5">
      <c r="B10" s="104">
        <v>3</v>
      </c>
      <c r="C10" s="204" t="s">
        <v>2814</v>
      </c>
      <c r="D10" s="205"/>
      <c r="E10" s="208" t="s">
        <v>845</v>
      </c>
      <c r="F10" s="206">
        <v>10</v>
      </c>
      <c r="G10" s="209" t="s">
        <v>2815</v>
      </c>
      <c r="H10" s="109"/>
      <c r="I10" s="110">
        <v>3</v>
      </c>
      <c r="J10" s="493" t="s">
        <v>2816</v>
      </c>
      <c r="K10" s="480" t="s">
        <v>1368</v>
      </c>
      <c r="L10" s="486" t="s">
        <v>2579</v>
      </c>
      <c r="M10" s="487">
        <v>1000</v>
      </c>
      <c r="N10" s="492" t="s">
        <v>2815</v>
      </c>
      <c r="O10" s="114"/>
      <c r="P10" s="112"/>
      <c r="Q10" s="112"/>
      <c r="R10" s="114"/>
      <c r="S10" s="134"/>
      <c r="T10" s="71"/>
      <c r="Z10" s="116" t="s">
        <v>865</v>
      </c>
      <c r="AA10" s="116" t="s">
        <v>866</v>
      </c>
      <c r="AB10" s="116" t="s">
        <v>867</v>
      </c>
      <c r="AC10" s="116" t="s">
        <v>868</v>
      </c>
    </row>
    <row r="11" spans="1:29" s="73" customFormat="1" ht="13.5">
      <c r="B11" s="104">
        <v>4</v>
      </c>
      <c r="C11" s="204" t="s">
        <v>2817</v>
      </c>
      <c r="D11" s="205"/>
      <c r="E11" s="206" t="s">
        <v>845</v>
      </c>
      <c r="F11" s="206">
        <v>10</v>
      </c>
      <c r="G11" s="207" t="s">
        <v>2818</v>
      </c>
      <c r="H11" s="109"/>
      <c r="I11" s="110">
        <v>4</v>
      </c>
      <c r="J11" s="493" t="s">
        <v>2819</v>
      </c>
      <c r="K11" s="480" t="s">
        <v>1368</v>
      </c>
      <c r="L11" s="486" t="s">
        <v>2579</v>
      </c>
      <c r="M11" s="487">
        <v>1000</v>
      </c>
      <c r="N11" s="492" t="s">
        <v>2818</v>
      </c>
      <c r="O11" s="108"/>
      <c r="P11" s="119"/>
      <c r="Q11" s="119"/>
      <c r="R11" s="108"/>
      <c r="S11" s="134"/>
      <c r="Z11" s="116" t="s">
        <v>873</v>
      </c>
      <c r="AA11" s="116" t="s">
        <v>858</v>
      </c>
      <c r="AB11" s="116" t="s">
        <v>874</v>
      </c>
      <c r="AC11" s="116" t="s">
        <v>875</v>
      </c>
    </row>
    <row r="12" spans="1:29" s="73" customFormat="1" ht="13.5">
      <c r="B12" s="104">
        <v>5</v>
      </c>
      <c r="C12" s="204" t="s">
        <v>2820</v>
      </c>
      <c r="D12" s="205"/>
      <c r="E12" s="206" t="s">
        <v>845</v>
      </c>
      <c r="F12" s="206">
        <v>20</v>
      </c>
      <c r="G12" s="207" t="s">
        <v>2821</v>
      </c>
      <c r="H12" s="109"/>
      <c r="I12" s="110">
        <v>5</v>
      </c>
      <c r="J12" s="493" t="s">
        <v>2820</v>
      </c>
      <c r="K12" s="480" t="s">
        <v>1368</v>
      </c>
      <c r="L12" s="486" t="s">
        <v>2579</v>
      </c>
      <c r="M12" s="487">
        <v>1000</v>
      </c>
      <c r="N12" s="492" t="s">
        <v>2822</v>
      </c>
      <c r="O12" s="108"/>
      <c r="P12" s="119"/>
      <c r="Q12" s="119"/>
      <c r="R12" s="108"/>
      <c r="S12" s="134"/>
      <c r="Z12" s="116" t="s">
        <v>880</v>
      </c>
      <c r="AA12" s="116" t="s">
        <v>881</v>
      </c>
      <c r="AB12" s="116" t="s">
        <v>882</v>
      </c>
      <c r="AC12" s="116" t="s">
        <v>883</v>
      </c>
    </row>
    <row r="13" spans="1:29" s="73" customFormat="1" ht="13.5">
      <c r="B13" s="104">
        <v>6</v>
      </c>
      <c r="C13" s="204" t="s">
        <v>2823</v>
      </c>
      <c r="D13" s="205"/>
      <c r="E13" s="206" t="s">
        <v>845</v>
      </c>
      <c r="F13" s="206">
        <v>20</v>
      </c>
      <c r="G13" s="209" t="s">
        <v>2824</v>
      </c>
      <c r="H13" s="109"/>
      <c r="I13" s="110">
        <v>6</v>
      </c>
      <c r="J13" s="493" t="s">
        <v>2823</v>
      </c>
      <c r="K13" s="480" t="s">
        <v>1368</v>
      </c>
      <c r="L13" s="486" t="s">
        <v>2579</v>
      </c>
      <c r="M13" s="487">
        <v>1000</v>
      </c>
      <c r="N13" s="492" t="s">
        <v>2824</v>
      </c>
      <c r="O13" s="108"/>
      <c r="P13" s="119"/>
      <c r="Q13" s="112"/>
      <c r="R13" s="114"/>
      <c r="S13" s="134"/>
      <c r="Z13" s="116" t="s">
        <v>888</v>
      </c>
      <c r="AA13" s="116" t="s">
        <v>889</v>
      </c>
      <c r="AB13" s="116" t="s">
        <v>890</v>
      </c>
      <c r="AC13" s="116" t="s">
        <v>891</v>
      </c>
    </row>
    <row r="14" spans="1:29" s="73" customFormat="1" ht="13.5">
      <c r="B14" s="104">
        <v>7</v>
      </c>
      <c r="C14" s="204" t="s">
        <v>2825</v>
      </c>
      <c r="D14" s="205"/>
      <c r="E14" s="206" t="s">
        <v>845</v>
      </c>
      <c r="F14" s="206">
        <v>4</v>
      </c>
      <c r="G14" s="207" t="s">
        <v>2826</v>
      </c>
      <c r="H14" s="109"/>
      <c r="I14" s="110">
        <v>7</v>
      </c>
      <c r="J14" s="493" t="s">
        <v>2827</v>
      </c>
      <c r="K14" s="480" t="s">
        <v>1368</v>
      </c>
      <c r="L14" s="486" t="s">
        <v>2579</v>
      </c>
      <c r="M14" s="487">
        <v>1000</v>
      </c>
      <c r="N14" s="492" t="s">
        <v>2826</v>
      </c>
      <c r="O14" s="108"/>
      <c r="P14" s="119"/>
      <c r="Q14" s="112"/>
      <c r="R14" s="114"/>
      <c r="S14" s="134"/>
      <c r="Z14" s="116" t="s">
        <v>896</v>
      </c>
      <c r="AA14" s="116" t="s">
        <v>849</v>
      </c>
      <c r="AB14" s="116" t="s">
        <v>897</v>
      </c>
      <c r="AC14" s="116" t="s">
        <v>898</v>
      </c>
    </row>
    <row r="15" spans="1:29" s="73" customFormat="1" ht="15">
      <c r="B15" s="104">
        <v>8</v>
      </c>
      <c r="C15" s="210" t="s">
        <v>2828</v>
      </c>
      <c r="D15" s="205"/>
      <c r="E15" s="206" t="s">
        <v>845</v>
      </c>
      <c r="F15" s="206">
        <v>10</v>
      </c>
      <c r="G15" s="209" t="s">
        <v>2829</v>
      </c>
      <c r="H15" s="109"/>
      <c r="I15" s="110">
        <v>8</v>
      </c>
      <c r="J15" s="493" t="s">
        <v>2830</v>
      </c>
      <c r="K15" s="480" t="s">
        <v>1368</v>
      </c>
      <c r="L15" s="486" t="s">
        <v>2579</v>
      </c>
      <c r="M15" s="487">
        <v>1000</v>
      </c>
      <c r="N15" s="492" t="s">
        <v>2829</v>
      </c>
      <c r="O15" s="108"/>
      <c r="P15" s="119"/>
      <c r="Q15" s="112"/>
      <c r="R15" s="114"/>
      <c r="S15" s="134"/>
      <c r="Z15" s="116" t="s">
        <v>903</v>
      </c>
      <c r="AA15" s="116" t="s">
        <v>858</v>
      </c>
      <c r="AB15" s="116" t="s">
        <v>904</v>
      </c>
      <c r="AC15" s="116" t="s">
        <v>860</v>
      </c>
    </row>
    <row r="16" spans="1:29" s="73" customFormat="1" ht="15">
      <c r="B16" s="104">
        <v>9</v>
      </c>
      <c r="C16" s="210" t="s">
        <v>2831</v>
      </c>
      <c r="D16" s="205"/>
      <c r="E16" s="206" t="s">
        <v>845</v>
      </c>
      <c r="F16" s="206">
        <v>18</v>
      </c>
      <c r="G16" s="209" t="s">
        <v>2832</v>
      </c>
      <c r="H16" s="109"/>
      <c r="I16" s="110">
        <v>9</v>
      </c>
      <c r="J16" s="493" t="s">
        <v>2831</v>
      </c>
      <c r="K16" s="480" t="s">
        <v>1368</v>
      </c>
      <c r="L16" s="486" t="s">
        <v>2579</v>
      </c>
      <c r="M16" s="487">
        <v>1000</v>
      </c>
      <c r="N16" s="492" t="s">
        <v>2833</v>
      </c>
      <c r="O16" s="108"/>
      <c r="P16" s="119"/>
      <c r="Q16" s="112"/>
      <c r="R16" s="114"/>
      <c r="S16" s="134"/>
      <c r="Z16" s="116" t="s">
        <v>909</v>
      </c>
      <c r="AA16" s="116" t="s">
        <v>858</v>
      </c>
      <c r="AB16" s="116" t="s">
        <v>910</v>
      </c>
      <c r="AC16" s="116" t="s">
        <v>911</v>
      </c>
    </row>
    <row r="17" spans="2:29" s="73" customFormat="1" ht="13.5">
      <c r="B17" s="104">
        <v>10</v>
      </c>
      <c r="C17" s="204" t="s">
        <v>2834</v>
      </c>
      <c r="D17" s="205"/>
      <c r="E17" s="206" t="s">
        <v>845</v>
      </c>
      <c r="F17" s="206">
        <v>18</v>
      </c>
      <c r="G17" s="209" t="s">
        <v>2835</v>
      </c>
      <c r="H17" s="109"/>
      <c r="I17" s="110">
        <v>10</v>
      </c>
      <c r="J17" s="493" t="s">
        <v>2834</v>
      </c>
      <c r="K17" s="487" t="s">
        <v>1368</v>
      </c>
      <c r="L17" s="486" t="s">
        <v>2579</v>
      </c>
      <c r="M17" s="487">
        <v>1000</v>
      </c>
      <c r="N17" s="492" t="s">
        <v>2835</v>
      </c>
      <c r="O17" s="108"/>
      <c r="P17" s="112"/>
      <c r="Q17" s="112"/>
      <c r="R17" s="114"/>
      <c r="S17" s="134"/>
      <c r="Z17" s="116" t="s">
        <v>920</v>
      </c>
      <c r="AA17" s="116" t="s">
        <v>849</v>
      </c>
      <c r="AB17" s="116" t="s">
        <v>921</v>
      </c>
      <c r="AC17" s="116" t="s">
        <v>922</v>
      </c>
    </row>
    <row r="18" spans="2:29" s="73" customFormat="1" ht="13.5">
      <c r="B18" s="104">
        <v>11</v>
      </c>
      <c r="C18" s="204" t="s">
        <v>2836</v>
      </c>
      <c r="D18" s="205"/>
      <c r="E18" s="206" t="s">
        <v>845</v>
      </c>
      <c r="F18" s="206">
        <v>18</v>
      </c>
      <c r="G18" s="207" t="s">
        <v>2837</v>
      </c>
      <c r="H18" s="109"/>
      <c r="I18" s="110">
        <v>11</v>
      </c>
      <c r="J18" s="493" t="s">
        <v>2836</v>
      </c>
      <c r="K18" s="487" t="s">
        <v>1368</v>
      </c>
      <c r="L18" s="486" t="s">
        <v>2579</v>
      </c>
      <c r="M18" s="487">
        <v>1000</v>
      </c>
      <c r="N18" s="492" t="s">
        <v>2837</v>
      </c>
      <c r="O18" s="114"/>
      <c r="P18" s="112"/>
      <c r="Q18" s="112"/>
      <c r="R18" s="114"/>
      <c r="S18" s="134"/>
      <c r="Z18" s="116" t="s">
        <v>931</v>
      </c>
      <c r="AA18" s="116" t="s">
        <v>932</v>
      </c>
      <c r="AB18" s="116" t="s">
        <v>933</v>
      </c>
      <c r="AC18" s="116" t="s">
        <v>934</v>
      </c>
    </row>
    <row r="19" spans="2:29" s="73" customFormat="1" ht="13.5">
      <c r="B19" s="104">
        <v>12</v>
      </c>
      <c r="C19" s="204" t="s">
        <v>2838</v>
      </c>
      <c r="D19" s="205"/>
      <c r="E19" s="206" t="s">
        <v>845</v>
      </c>
      <c r="F19" s="206">
        <v>10</v>
      </c>
      <c r="G19" s="211" t="s">
        <v>2839</v>
      </c>
      <c r="H19" s="109"/>
      <c r="I19" s="110">
        <v>12</v>
      </c>
      <c r="J19" s="493" t="s">
        <v>2840</v>
      </c>
      <c r="K19" s="487" t="s">
        <v>1368</v>
      </c>
      <c r="L19" s="486" t="s">
        <v>2579</v>
      </c>
      <c r="M19" s="487">
        <v>1000</v>
      </c>
      <c r="N19" s="492" t="s">
        <v>2841</v>
      </c>
      <c r="O19" s="114"/>
      <c r="P19" s="112"/>
      <c r="Q19" s="112"/>
      <c r="R19" s="114"/>
      <c r="S19" s="134"/>
      <c r="Z19" s="116" t="s">
        <v>941</v>
      </c>
      <c r="AA19" s="116" t="s">
        <v>942</v>
      </c>
      <c r="AB19" s="116" t="s">
        <v>943</v>
      </c>
      <c r="AC19" s="116" t="s">
        <v>944</v>
      </c>
    </row>
    <row r="20" spans="2:29" s="73" customFormat="1" ht="13.5">
      <c r="B20" s="104">
        <v>13</v>
      </c>
      <c r="C20" s="204" t="s">
        <v>2842</v>
      </c>
      <c r="D20" s="205"/>
      <c r="E20" s="206" t="s">
        <v>845</v>
      </c>
      <c r="F20" s="206">
        <v>3</v>
      </c>
      <c r="G20" s="209" t="s">
        <v>2843</v>
      </c>
      <c r="H20" s="109"/>
      <c r="I20" s="110">
        <v>13</v>
      </c>
      <c r="J20" s="493" t="s">
        <v>2844</v>
      </c>
      <c r="K20" s="487" t="s">
        <v>1368</v>
      </c>
      <c r="L20" s="486" t="s">
        <v>2579</v>
      </c>
      <c r="M20" s="487">
        <v>1000</v>
      </c>
      <c r="N20" s="492" t="s">
        <v>2843</v>
      </c>
      <c r="O20" s="114"/>
      <c r="P20" s="112"/>
      <c r="Q20" s="112"/>
      <c r="R20" s="114"/>
      <c r="S20" s="134"/>
      <c r="Z20" s="116" t="s">
        <v>952</v>
      </c>
      <c r="AA20" s="116" t="s">
        <v>942</v>
      </c>
      <c r="AB20" s="116" t="s">
        <v>953</v>
      </c>
      <c r="AC20" s="116" t="s">
        <v>954</v>
      </c>
    </row>
    <row r="21" spans="2:29" s="73" customFormat="1" ht="15">
      <c r="B21" s="104">
        <v>14</v>
      </c>
      <c r="C21" s="210" t="s">
        <v>2845</v>
      </c>
      <c r="D21" s="205"/>
      <c r="E21" s="206" t="s">
        <v>845</v>
      </c>
      <c r="F21" s="206">
        <v>4</v>
      </c>
      <c r="G21" s="209" t="s">
        <v>2846</v>
      </c>
      <c r="H21" s="109"/>
      <c r="I21" s="110">
        <v>14</v>
      </c>
      <c r="J21" s="493" t="s">
        <v>2847</v>
      </c>
      <c r="K21" s="480" t="s">
        <v>1368</v>
      </c>
      <c r="L21" s="486" t="s">
        <v>2579</v>
      </c>
      <c r="M21" s="487">
        <v>1000</v>
      </c>
      <c r="N21" s="492" t="s">
        <v>2846</v>
      </c>
      <c r="O21" s="108"/>
      <c r="P21" s="119"/>
      <c r="Q21" s="119"/>
      <c r="R21" s="108"/>
      <c r="S21" s="134"/>
      <c r="Z21" s="116" t="s">
        <v>958</v>
      </c>
      <c r="AA21" s="116" t="s">
        <v>959</v>
      </c>
      <c r="AB21" s="116" t="s">
        <v>960</v>
      </c>
      <c r="AC21" s="116" t="s">
        <v>961</v>
      </c>
    </row>
    <row r="22" spans="2:29" s="73" customFormat="1" ht="15">
      <c r="B22" s="104">
        <v>15</v>
      </c>
      <c r="C22" s="210" t="s">
        <v>2848</v>
      </c>
      <c r="D22" s="205"/>
      <c r="E22" s="206" t="s">
        <v>845</v>
      </c>
      <c r="F22" s="206">
        <v>4</v>
      </c>
      <c r="G22" s="209" t="s">
        <v>2849</v>
      </c>
      <c r="H22" s="109"/>
      <c r="I22" s="110">
        <v>15</v>
      </c>
      <c r="J22" s="493" t="s">
        <v>2850</v>
      </c>
      <c r="K22" s="480" t="s">
        <v>1368</v>
      </c>
      <c r="L22" s="486" t="s">
        <v>2579</v>
      </c>
      <c r="M22" s="487">
        <v>1000</v>
      </c>
      <c r="N22" s="492" t="s">
        <v>2849</v>
      </c>
      <c r="O22" s="108"/>
      <c r="P22" s="119"/>
      <c r="Q22" s="119"/>
      <c r="R22" s="108"/>
      <c r="S22" s="134"/>
      <c r="Z22" s="116" t="s">
        <v>965</v>
      </c>
      <c r="AA22" s="116" t="s">
        <v>966</v>
      </c>
      <c r="AB22" s="116" t="s">
        <v>967</v>
      </c>
      <c r="AC22" s="116" t="s">
        <v>968</v>
      </c>
    </row>
    <row r="23" spans="2:29" s="73" customFormat="1" ht="13.5">
      <c r="B23" s="104">
        <v>16</v>
      </c>
      <c r="C23" s="204" t="s">
        <v>2851</v>
      </c>
      <c r="D23" s="205"/>
      <c r="E23" s="206" t="s">
        <v>845</v>
      </c>
      <c r="F23" s="206">
        <v>3</v>
      </c>
      <c r="G23" s="209" t="s">
        <v>2852</v>
      </c>
      <c r="H23" s="109"/>
      <c r="I23" s="110">
        <v>16</v>
      </c>
      <c r="J23" s="493" t="s">
        <v>2853</v>
      </c>
      <c r="K23" s="480" t="s">
        <v>1368</v>
      </c>
      <c r="L23" s="486" t="s">
        <v>2579</v>
      </c>
      <c r="M23" s="487">
        <v>1000</v>
      </c>
      <c r="N23" s="492" t="s">
        <v>2852</v>
      </c>
      <c r="O23" s="114"/>
      <c r="P23" s="119"/>
      <c r="Q23" s="119"/>
      <c r="R23" s="108"/>
      <c r="S23" s="134"/>
      <c r="Z23" s="116" t="s">
        <v>969</v>
      </c>
      <c r="AA23" s="116" t="s">
        <v>970</v>
      </c>
      <c r="AB23" s="116" t="s">
        <v>971</v>
      </c>
      <c r="AC23" s="116" t="s">
        <v>972</v>
      </c>
    </row>
    <row r="24" spans="2:29" s="73" customFormat="1" ht="13.5">
      <c r="B24" s="104">
        <v>17</v>
      </c>
      <c r="C24" s="204" t="s">
        <v>2854</v>
      </c>
      <c r="D24" s="205"/>
      <c r="E24" s="206" t="s">
        <v>845</v>
      </c>
      <c r="F24" s="206">
        <v>10</v>
      </c>
      <c r="G24" s="207" t="s">
        <v>2855</v>
      </c>
      <c r="H24" s="109"/>
      <c r="I24" s="110">
        <v>17</v>
      </c>
      <c r="J24" s="493" t="s">
        <v>2856</v>
      </c>
      <c r="K24" s="480" t="s">
        <v>1368</v>
      </c>
      <c r="L24" s="486" t="s">
        <v>2579</v>
      </c>
      <c r="M24" s="487">
        <v>1000</v>
      </c>
      <c r="N24" s="492" t="s">
        <v>2855</v>
      </c>
      <c r="O24" s="114"/>
      <c r="P24" s="119"/>
      <c r="Q24" s="119"/>
      <c r="R24" s="108"/>
      <c r="S24" s="134"/>
      <c r="Z24" s="116" t="s">
        <v>973</v>
      </c>
      <c r="AA24" s="116" t="s">
        <v>970</v>
      </c>
      <c r="AB24" s="116" t="s">
        <v>974</v>
      </c>
      <c r="AC24" s="116" t="s">
        <v>975</v>
      </c>
    </row>
    <row r="25" spans="2:29" s="73" customFormat="1" ht="13.5">
      <c r="B25" s="104">
        <v>18</v>
      </c>
      <c r="C25" s="212" t="s">
        <v>2857</v>
      </c>
      <c r="D25" s="205"/>
      <c r="E25" s="206" t="s">
        <v>845</v>
      </c>
      <c r="F25" s="206">
        <v>4</v>
      </c>
      <c r="G25" s="209" t="s">
        <v>2858</v>
      </c>
      <c r="H25" s="109"/>
      <c r="I25" s="110">
        <v>18</v>
      </c>
      <c r="J25" s="494" t="s">
        <v>2859</v>
      </c>
      <c r="K25" s="480" t="s">
        <v>1368</v>
      </c>
      <c r="L25" s="486" t="s">
        <v>2579</v>
      </c>
      <c r="M25" s="487">
        <v>1000</v>
      </c>
      <c r="N25" s="492" t="s">
        <v>2858</v>
      </c>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EEF25369-5461-4D2A-A47E-4F5B1959C2F1}"/>
  </hyperlinks>
  <pageMargins left="0.7" right="0.7" top="0.75" bottom="0.75" header="0.3" footer="0.3"/>
  <customProperties>
    <customPr name="_pios_id" r:id="rId1"/>
  </customPropertie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B52AC-E4FB-4B4A-80CF-1B560F881DB6}">
  <sheetPr>
    <tabColor theme="9" tint="0.79998168889431442"/>
  </sheetPr>
  <dimension ref="A1:AC96"/>
  <sheetViews>
    <sheetView showGridLines="0" workbookViewId="0">
      <selection activeCell="J8" sqref="J8:N15"/>
    </sheetView>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2860</v>
      </c>
      <c r="C2" s="993"/>
      <c r="D2" s="993"/>
      <c r="E2" s="993"/>
      <c r="F2" s="993"/>
      <c r="G2" s="993"/>
      <c r="H2" s="993"/>
      <c r="I2" s="994"/>
      <c r="J2" s="70" t="s">
        <v>816</v>
      </c>
      <c r="K2" s="998" t="s">
        <v>145</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c r="D6" s="984"/>
      <c r="E6" s="984"/>
      <c r="F6" s="984"/>
      <c r="G6" s="984"/>
      <c r="H6" s="986"/>
      <c r="I6" s="102" t="s">
        <v>829</v>
      </c>
      <c r="J6" s="988"/>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204" t="s">
        <v>2861</v>
      </c>
      <c r="D8" s="205" t="s">
        <v>1870</v>
      </c>
      <c r="E8" s="206" t="s">
        <v>845</v>
      </c>
      <c r="F8" s="206">
        <v>40</v>
      </c>
      <c r="G8" s="207" t="s">
        <v>1069</v>
      </c>
      <c r="H8" s="109"/>
      <c r="I8" s="110">
        <v>1</v>
      </c>
      <c r="J8" s="491" t="s">
        <v>2809</v>
      </c>
      <c r="K8" s="484" t="s">
        <v>2810</v>
      </c>
      <c r="L8" s="483" t="s">
        <v>2579</v>
      </c>
      <c r="M8" s="484">
        <v>1000</v>
      </c>
      <c r="N8" s="483" t="s">
        <v>1069</v>
      </c>
      <c r="O8" s="114"/>
      <c r="P8" s="112"/>
      <c r="Q8" s="112"/>
      <c r="R8" s="114"/>
      <c r="S8" s="134"/>
      <c r="Z8" s="116" t="s">
        <v>848</v>
      </c>
      <c r="AA8" s="116" t="s">
        <v>849</v>
      </c>
      <c r="AB8" s="116" t="s">
        <v>850</v>
      </c>
      <c r="AC8" s="116" t="s">
        <v>851</v>
      </c>
    </row>
    <row r="9" spans="1:29" s="73" customFormat="1" ht="13.5">
      <c r="B9" s="104">
        <v>2</v>
      </c>
      <c r="C9" s="204" t="s">
        <v>1872</v>
      </c>
      <c r="D9" s="205" t="s">
        <v>1870</v>
      </c>
      <c r="E9" s="206" t="s">
        <v>845</v>
      </c>
      <c r="F9" s="208">
        <v>4</v>
      </c>
      <c r="G9" s="209" t="s">
        <v>862</v>
      </c>
      <c r="H9" s="109"/>
      <c r="I9" s="110">
        <v>2</v>
      </c>
      <c r="J9" s="495" t="s">
        <v>2862</v>
      </c>
      <c r="K9" s="480" t="s">
        <v>2810</v>
      </c>
      <c r="L9" s="486" t="s">
        <v>2579</v>
      </c>
      <c r="M9" s="487">
        <v>1000</v>
      </c>
      <c r="N9" s="486" t="s">
        <v>862</v>
      </c>
      <c r="O9" s="114"/>
      <c r="P9" s="112"/>
      <c r="Q9" s="112"/>
      <c r="R9" s="114"/>
      <c r="S9" s="134"/>
      <c r="T9" s="71"/>
      <c r="Z9" s="116" t="s">
        <v>857</v>
      </c>
      <c r="AA9" s="116" t="s">
        <v>858</v>
      </c>
      <c r="AB9" s="116" t="s">
        <v>859</v>
      </c>
      <c r="AC9" s="116" t="s">
        <v>860</v>
      </c>
    </row>
    <row r="10" spans="1:29" s="73" customFormat="1" ht="13.5">
      <c r="B10" s="104">
        <v>3</v>
      </c>
      <c r="C10" s="204" t="s">
        <v>1874</v>
      </c>
      <c r="D10" s="205" t="s">
        <v>1870</v>
      </c>
      <c r="E10" s="206" t="s">
        <v>845</v>
      </c>
      <c r="F10" s="208">
        <v>2</v>
      </c>
      <c r="G10" s="213" t="s">
        <v>1875</v>
      </c>
      <c r="H10" s="109"/>
      <c r="I10" s="110">
        <v>3</v>
      </c>
      <c r="J10" s="495" t="s">
        <v>2863</v>
      </c>
      <c r="K10" s="480" t="s">
        <v>2810</v>
      </c>
      <c r="L10" s="486" t="s">
        <v>2579</v>
      </c>
      <c r="M10" s="487">
        <v>1000</v>
      </c>
      <c r="N10" s="486" t="s">
        <v>1667</v>
      </c>
      <c r="O10" s="114"/>
      <c r="P10" s="112"/>
      <c r="Q10" s="112"/>
      <c r="R10" s="114"/>
      <c r="S10" s="134"/>
      <c r="T10" s="71"/>
      <c r="Z10" s="116" t="s">
        <v>865</v>
      </c>
      <c r="AA10" s="116" t="s">
        <v>866</v>
      </c>
      <c r="AB10" s="116" t="s">
        <v>867</v>
      </c>
      <c r="AC10" s="116" t="s">
        <v>868</v>
      </c>
    </row>
    <row r="11" spans="1:29" s="73" customFormat="1" ht="13.5">
      <c r="B11" s="104">
        <v>4</v>
      </c>
      <c r="C11" s="204" t="s">
        <v>2864</v>
      </c>
      <c r="D11" s="205"/>
      <c r="E11" s="206" t="s">
        <v>2865</v>
      </c>
      <c r="F11" s="206">
        <v>8</v>
      </c>
      <c r="G11" s="207" t="s">
        <v>2866</v>
      </c>
      <c r="H11" s="109"/>
      <c r="I11" s="110">
        <v>4</v>
      </c>
      <c r="J11" s="496" t="s">
        <v>2867</v>
      </c>
      <c r="K11" s="480" t="s">
        <v>1368</v>
      </c>
      <c r="L11" s="486" t="s">
        <v>2579</v>
      </c>
      <c r="M11" s="487">
        <v>1000</v>
      </c>
      <c r="N11" s="497" t="s">
        <v>2866</v>
      </c>
      <c r="O11" s="108"/>
      <c r="P11" s="119"/>
      <c r="Q11" s="119"/>
      <c r="R11" s="108"/>
      <c r="S11" s="134"/>
      <c r="Z11" s="116" t="s">
        <v>873</v>
      </c>
      <c r="AA11" s="116" t="s">
        <v>858</v>
      </c>
      <c r="AB11" s="116" t="s">
        <v>874</v>
      </c>
      <c r="AC11" s="116" t="s">
        <v>875</v>
      </c>
    </row>
    <row r="12" spans="1:29" s="73" customFormat="1" ht="13.5">
      <c r="B12" s="104">
        <v>5</v>
      </c>
      <c r="C12" s="204" t="s">
        <v>2868</v>
      </c>
      <c r="D12" s="205"/>
      <c r="E12" s="206" t="s">
        <v>2865</v>
      </c>
      <c r="F12" s="206">
        <v>8</v>
      </c>
      <c r="G12" s="207" t="s">
        <v>2869</v>
      </c>
      <c r="H12" s="109"/>
      <c r="I12" s="110">
        <v>5</v>
      </c>
      <c r="J12" s="496" t="s">
        <v>2870</v>
      </c>
      <c r="K12" s="480" t="s">
        <v>1368</v>
      </c>
      <c r="L12" s="486" t="s">
        <v>2579</v>
      </c>
      <c r="M12" s="487">
        <v>1000</v>
      </c>
      <c r="N12" s="497" t="s">
        <v>2869</v>
      </c>
      <c r="O12" s="108"/>
      <c r="P12" s="119"/>
      <c r="Q12" s="119"/>
      <c r="R12" s="108"/>
      <c r="S12" s="134"/>
      <c r="Z12" s="116" t="s">
        <v>880</v>
      </c>
      <c r="AA12" s="116" t="s">
        <v>881</v>
      </c>
      <c r="AB12" s="116" t="s">
        <v>882</v>
      </c>
      <c r="AC12" s="116" t="s">
        <v>883</v>
      </c>
    </row>
    <row r="13" spans="1:29" s="73" customFormat="1" ht="13.5">
      <c r="B13" s="104">
        <v>6</v>
      </c>
      <c r="C13" s="204" t="s">
        <v>2871</v>
      </c>
      <c r="D13" s="205"/>
      <c r="E13" s="206" t="s">
        <v>845</v>
      </c>
      <c r="F13" s="206">
        <v>1</v>
      </c>
      <c r="G13" s="209" t="s">
        <v>2872</v>
      </c>
      <c r="H13" s="109"/>
      <c r="I13" s="110">
        <v>6</v>
      </c>
      <c r="J13" s="496" t="s">
        <v>2873</v>
      </c>
      <c r="K13" s="480" t="s">
        <v>1368</v>
      </c>
      <c r="L13" s="486" t="s">
        <v>2579</v>
      </c>
      <c r="M13" s="487">
        <v>1000</v>
      </c>
      <c r="N13" s="497" t="s">
        <v>2872</v>
      </c>
      <c r="O13" s="108"/>
      <c r="P13" s="119"/>
      <c r="Q13" s="112"/>
      <c r="R13" s="114"/>
      <c r="S13" s="134"/>
      <c r="Z13" s="116" t="s">
        <v>888</v>
      </c>
      <c r="AA13" s="116" t="s">
        <v>889</v>
      </c>
      <c r="AB13" s="116" t="s">
        <v>890</v>
      </c>
      <c r="AC13" s="116" t="s">
        <v>891</v>
      </c>
    </row>
    <row r="14" spans="1:29" s="73" customFormat="1" ht="13.5">
      <c r="B14" s="104">
        <v>7</v>
      </c>
      <c r="C14" s="209" t="s">
        <v>2874</v>
      </c>
      <c r="D14" s="208"/>
      <c r="E14" s="206" t="s">
        <v>845</v>
      </c>
      <c r="F14" s="206">
        <v>1</v>
      </c>
      <c r="G14" s="209" t="s">
        <v>2875</v>
      </c>
      <c r="H14" s="109"/>
      <c r="I14" s="110">
        <v>7</v>
      </c>
      <c r="J14" s="496" t="s">
        <v>2876</v>
      </c>
      <c r="K14" s="480" t="s">
        <v>1368</v>
      </c>
      <c r="L14" s="486" t="s">
        <v>2579</v>
      </c>
      <c r="M14" s="487">
        <v>1000</v>
      </c>
      <c r="N14" s="497" t="s">
        <v>2875</v>
      </c>
      <c r="O14" s="108"/>
      <c r="P14" s="119"/>
      <c r="Q14" s="112"/>
      <c r="R14" s="114"/>
      <c r="S14" s="134"/>
      <c r="Z14" s="116" t="s">
        <v>896</v>
      </c>
      <c r="AA14" s="116" t="s">
        <v>849</v>
      </c>
      <c r="AB14" s="116" t="s">
        <v>897</v>
      </c>
      <c r="AC14" s="116" t="s">
        <v>898</v>
      </c>
    </row>
    <row r="15" spans="1:29" s="73" customFormat="1" ht="15">
      <c r="B15" s="104">
        <v>8</v>
      </c>
      <c r="C15" s="210" t="s">
        <v>2877</v>
      </c>
      <c r="D15" s="205"/>
      <c r="E15" s="206" t="s">
        <v>845</v>
      </c>
      <c r="F15" s="206">
        <v>1</v>
      </c>
      <c r="G15" s="209" t="s">
        <v>2878</v>
      </c>
      <c r="H15" s="109"/>
      <c r="I15" s="110">
        <v>8</v>
      </c>
      <c r="J15" s="498" t="s">
        <v>2879</v>
      </c>
      <c r="K15" s="480" t="s">
        <v>1368</v>
      </c>
      <c r="L15" s="486" t="s">
        <v>2579</v>
      </c>
      <c r="M15" s="487">
        <v>1000</v>
      </c>
      <c r="N15" s="497" t="s">
        <v>2878</v>
      </c>
      <c r="O15" s="108"/>
      <c r="P15" s="119"/>
      <c r="Q15" s="112"/>
      <c r="R15" s="114"/>
      <c r="S15" s="134"/>
      <c r="Z15" s="116" t="s">
        <v>903</v>
      </c>
      <c r="AA15" s="116" t="s">
        <v>858</v>
      </c>
      <c r="AB15" s="116" t="s">
        <v>904</v>
      </c>
      <c r="AC15" s="116" t="s">
        <v>860</v>
      </c>
    </row>
    <row r="16" spans="1:29" s="73" customFormat="1" ht="13.5">
      <c r="B16" s="104">
        <v>9</v>
      </c>
      <c r="C16" s="105"/>
      <c r="D16" s="119"/>
      <c r="E16" s="107"/>
      <c r="F16" s="107"/>
      <c r="G16" s="108"/>
      <c r="H16" s="109"/>
      <c r="I16" s="110">
        <v>9</v>
      </c>
      <c r="J16" s="118"/>
      <c r="K16" s="106"/>
      <c r="L16" s="113"/>
      <c r="M16" s="112"/>
      <c r="N16" s="108"/>
      <c r="O16" s="108"/>
      <c r="P16" s="119"/>
      <c r="Q16" s="112"/>
      <c r="R16" s="114"/>
      <c r="S16" s="134"/>
      <c r="Z16" s="116" t="s">
        <v>909</v>
      </c>
      <c r="AA16" s="116" t="s">
        <v>858</v>
      </c>
      <c r="AB16" s="116" t="s">
        <v>910</v>
      </c>
      <c r="AC16" s="116" t="s">
        <v>911</v>
      </c>
    </row>
    <row r="17" spans="2:29" s="73" customFormat="1" ht="13.5">
      <c r="B17" s="104">
        <v>10</v>
      </c>
      <c r="C17" s="105"/>
      <c r="D17" s="119"/>
      <c r="E17" s="107"/>
      <c r="F17" s="107"/>
      <c r="G17" s="108"/>
      <c r="H17" s="109"/>
      <c r="I17" s="110">
        <v>10</v>
      </c>
      <c r="J17" s="117"/>
      <c r="K17" s="120"/>
      <c r="L17" s="113"/>
      <c r="M17" s="112"/>
      <c r="N17" s="108"/>
      <c r="O17" s="108"/>
      <c r="P17" s="112"/>
      <c r="Q17" s="112"/>
      <c r="R17" s="114"/>
      <c r="S17" s="134"/>
      <c r="Z17" s="116" t="s">
        <v>920</v>
      </c>
      <c r="AA17" s="116" t="s">
        <v>849</v>
      </c>
      <c r="AB17" s="116" t="s">
        <v>921</v>
      </c>
      <c r="AC17" s="116" t="s">
        <v>922</v>
      </c>
    </row>
    <row r="18" spans="2:29" s="73" customFormat="1" ht="13.5">
      <c r="B18" s="104">
        <v>11</v>
      </c>
      <c r="C18" s="105"/>
      <c r="D18" s="119"/>
      <c r="E18" s="107"/>
      <c r="F18" s="107"/>
      <c r="G18" s="108"/>
      <c r="H18" s="109"/>
      <c r="I18" s="110">
        <v>11</v>
      </c>
      <c r="J18" s="117"/>
      <c r="K18" s="112"/>
      <c r="L18" s="113"/>
      <c r="M18" s="112"/>
      <c r="N18" s="114"/>
      <c r="O18" s="114"/>
      <c r="P18" s="112"/>
      <c r="Q18" s="112"/>
      <c r="R18" s="114"/>
      <c r="S18" s="134"/>
      <c r="Z18" s="116" t="s">
        <v>931</v>
      </c>
      <c r="AA18" s="116" t="s">
        <v>932</v>
      </c>
      <c r="AB18" s="116" t="s">
        <v>933</v>
      </c>
      <c r="AC18" s="116" t="s">
        <v>934</v>
      </c>
    </row>
    <row r="19" spans="2:29" s="73" customFormat="1" ht="13.5">
      <c r="B19" s="104">
        <v>12</v>
      </c>
      <c r="C19" s="121"/>
      <c r="D19" s="119"/>
      <c r="E19" s="107"/>
      <c r="F19" s="107"/>
      <c r="G19" s="108"/>
      <c r="H19" s="109"/>
      <c r="I19" s="110">
        <v>12</v>
      </c>
      <c r="J19" s="117"/>
      <c r="K19" s="120"/>
      <c r="L19" s="113"/>
      <c r="M19" s="112"/>
      <c r="N19" s="114"/>
      <c r="O19" s="114"/>
      <c r="P19" s="112"/>
      <c r="Q19" s="112"/>
      <c r="R19" s="114"/>
      <c r="S19" s="134"/>
      <c r="Z19" s="116" t="s">
        <v>941</v>
      </c>
      <c r="AA19" s="116" t="s">
        <v>942</v>
      </c>
      <c r="AB19" s="116" t="s">
        <v>943</v>
      </c>
      <c r="AC19" s="116" t="s">
        <v>944</v>
      </c>
    </row>
    <row r="20" spans="2:29" s="73" customFormat="1" ht="13.5">
      <c r="B20" s="104">
        <v>13</v>
      </c>
      <c r="C20" s="121"/>
      <c r="D20" s="119"/>
      <c r="E20" s="107"/>
      <c r="F20" s="107"/>
      <c r="G20" s="108"/>
      <c r="H20" s="109"/>
      <c r="I20" s="110">
        <v>13</v>
      </c>
      <c r="J20" s="117"/>
      <c r="K20" s="120"/>
      <c r="L20" s="113"/>
      <c r="M20" s="112"/>
      <c r="N20" s="114"/>
      <c r="O20" s="114"/>
      <c r="P20" s="112"/>
      <c r="Q20" s="112"/>
      <c r="R20" s="114"/>
      <c r="S20" s="134"/>
      <c r="Z20" s="116" t="s">
        <v>952</v>
      </c>
      <c r="AA20" s="116" t="s">
        <v>942</v>
      </c>
      <c r="AB20" s="116" t="s">
        <v>953</v>
      </c>
      <c r="AC20" s="116" t="s">
        <v>954</v>
      </c>
    </row>
    <row r="21" spans="2:29" s="73" customFormat="1" ht="13.5">
      <c r="B21" s="104">
        <v>14</v>
      </c>
      <c r="C21" s="121"/>
      <c r="D21" s="119"/>
      <c r="E21" s="107"/>
      <c r="F21" s="107"/>
      <c r="G21" s="108"/>
      <c r="H21" s="109"/>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c r="D22" s="119"/>
      <c r="E22" s="107"/>
      <c r="F22" s="107"/>
      <c r="G22" s="108"/>
      <c r="H22" s="109"/>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33B3DD5D-038F-4E61-B0EC-E1AA9A8A0616}"/>
  </hyperlinks>
  <pageMargins left="0.7" right="0.7" top="0.75" bottom="0.75" header="0.3" footer="0.3"/>
  <customProperties>
    <customPr name="_pios_id" r:id="rId1"/>
  </customPropertie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04139-DAB1-4C68-AC18-DD6A8FA6C123}">
  <sheetPr>
    <tabColor theme="9" tint="0.79998168889431442"/>
  </sheetPr>
  <dimension ref="A1:AC96"/>
  <sheetViews>
    <sheetView showGridLines="0" workbookViewId="0">
      <selection activeCell="J8" sqref="J8:N15"/>
    </sheetView>
  </sheetViews>
  <sheetFormatPr defaultColWidth="12.625" defaultRowHeight="16.5"/>
  <cols>
    <col min="1" max="1" width="2.125" style="69" customWidth="1"/>
    <col min="2" max="2" width="5.125" style="69" customWidth="1"/>
    <col min="3" max="3" width="14.75" style="69" customWidth="1"/>
    <col min="4" max="4" width="3.875" style="69" customWidth="1"/>
    <col min="5" max="5" width="9.125" style="69" customWidth="1"/>
    <col min="6" max="6" width="6.5" style="69" customWidth="1"/>
    <col min="7" max="7" width="34.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2880</v>
      </c>
      <c r="C2" s="993"/>
      <c r="D2" s="993"/>
      <c r="E2" s="993"/>
      <c r="F2" s="993"/>
      <c r="G2" s="993"/>
      <c r="H2" s="993"/>
      <c r="I2" s="994"/>
      <c r="J2" s="70" t="s">
        <v>816</v>
      </c>
      <c r="K2" s="998" t="s">
        <v>145</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c r="D6" s="984"/>
      <c r="E6" s="984"/>
      <c r="F6" s="984"/>
      <c r="G6" s="984"/>
      <c r="H6" s="986"/>
      <c r="I6" s="102" t="s">
        <v>829</v>
      </c>
      <c r="J6" s="988"/>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204" t="s">
        <v>2881</v>
      </c>
      <c r="D8" s="205" t="s">
        <v>1870</v>
      </c>
      <c r="E8" s="206" t="s">
        <v>845</v>
      </c>
      <c r="F8" s="206">
        <v>40</v>
      </c>
      <c r="G8" s="207" t="s">
        <v>1069</v>
      </c>
      <c r="H8" s="109"/>
      <c r="I8" s="110">
        <v>1</v>
      </c>
      <c r="J8" s="491" t="s">
        <v>2809</v>
      </c>
      <c r="K8" s="484" t="s">
        <v>2810</v>
      </c>
      <c r="L8" s="483" t="s">
        <v>2579</v>
      </c>
      <c r="M8" s="484">
        <v>1000</v>
      </c>
      <c r="N8" s="499" t="s">
        <v>1069</v>
      </c>
      <c r="O8" s="114"/>
      <c r="P8" s="112"/>
      <c r="Q8" s="112"/>
      <c r="R8" s="114"/>
      <c r="S8" s="134"/>
      <c r="Z8" s="116" t="s">
        <v>848</v>
      </c>
      <c r="AA8" s="116" t="s">
        <v>849</v>
      </c>
      <c r="AB8" s="116" t="s">
        <v>850</v>
      </c>
      <c r="AC8" s="116" t="s">
        <v>851</v>
      </c>
    </row>
    <row r="9" spans="1:29" s="73" customFormat="1" ht="13.5">
      <c r="B9" s="104">
        <v>2</v>
      </c>
      <c r="C9" s="204" t="s">
        <v>1872</v>
      </c>
      <c r="D9" s="205" t="s">
        <v>1870</v>
      </c>
      <c r="E9" s="206" t="s">
        <v>845</v>
      </c>
      <c r="F9" s="208">
        <v>4</v>
      </c>
      <c r="G9" s="209" t="s">
        <v>862</v>
      </c>
      <c r="H9" s="109"/>
      <c r="I9" s="110">
        <v>2</v>
      </c>
      <c r="J9" s="495" t="s">
        <v>2862</v>
      </c>
      <c r="K9" s="480" t="s">
        <v>2810</v>
      </c>
      <c r="L9" s="486" t="s">
        <v>2579</v>
      </c>
      <c r="M9" s="487">
        <v>1000</v>
      </c>
      <c r="N9" s="499" t="s">
        <v>862</v>
      </c>
      <c r="O9" s="114"/>
      <c r="P9" s="112"/>
      <c r="Q9" s="112"/>
      <c r="R9" s="114"/>
      <c r="S9" s="134"/>
      <c r="T9" s="71"/>
      <c r="Z9" s="116" t="s">
        <v>857</v>
      </c>
      <c r="AA9" s="116" t="s">
        <v>858</v>
      </c>
      <c r="AB9" s="116" t="s">
        <v>859</v>
      </c>
      <c r="AC9" s="116" t="s">
        <v>860</v>
      </c>
    </row>
    <row r="10" spans="1:29" s="73" customFormat="1" ht="13.5">
      <c r="B10" s="104">
        <v>3</v>
      </c>
      <c r="C10" s="204" t="s">
        <v>1874</v>
      </c>
      <c r="D10" s="205" t="s">
        <v>1870</v>
      </c>
      <c r="E10" s="206" t="s">
        <v>845</v>
      </c>
      <c r="F10" s="208">
        <v>2</v>
      </c>
      <c r="G10" s="213" t="s">
        <v>1875</v>
      </c>
      <c r="H10" s="109"/>
      <c r="I10" s="110">
        <v>3</v>
      </c>
      <c r="J10" s="495" t="s">
        <v>2863</v>
      </c>
      <c r="K10" s="480" t="s">
        <v>2810</v>
      </c>
      <c r="L10" s="486" t="s">
        <v>2579</v>
      </c>
      <c r="M10" s="487">
        <v>1000</v>
      </c>
      <c r="N10" s="500" t="s">
        <v>1667</v>
      </c>
      <c r="O10" s="114"/>
      <c r="P10" s="112"/>
      <c r="Q10" s="112"/>
      <c r="R10" s="114"/>
      <c r="S10" s="134"/>
      <c r="T10" s="71"/>
      <c r="Z10" s="116" t="s">
        <v>865</v>
      </c>
      <c r="AA10" s="116" t="s">
        <v>866</v>
      </c>
      <c r="AB10" s="116" t="s">
        <v>867</v>
      </c>
      <c r="AC10" s="116" t="s">
        <v>868</v>
      </c>
    </row>
    <row r="11" spans="1:29" s="73" customFormat="1" ht="13.5">
      <c r="B11" s="104">
        <v>4</v>
      </c>
      <c r="C11" s="204" t="s">
        <v>2882</v>
      </c>
      <c r="D11" s="205" t="s">
        <v>1870</v>
      </c>
      <c r="E11" s="206" t="s">
        <v>2883</v>
      </c>
      <c r="F11" s="208">
        <v>6</v>
      </c>
      <c r="G11" s="207" t="s">
        <v>2884</v>
      </c>
      <c r="H11" s="109"/>
      <c r="I11" s="110">
        <v>4</v>
      </c>
      <c r="J11" s="501" t="s">
        <v>1472</v>
      </c>
      <c r="K11" s="480" t="s">
        <v>2810</v>
      </c>
      <c r="L11" s="486" t="s">
        <v>2579</v>
      </c>
      <c r="M11" s="487">
        <v>1000</v>
      </c>
      <c r="N11" s="500" t="s">
        <v>2885</v>
      </c>
      <c r="O11" s="108"/>
      <c r="P11" s="119"/>
      <c r="Q11" s="119"/>
      <c r="R11" s="108"/>
      <c r="S11" s="134"/>
      <c r="Z11" s="116" t="s">
        <v>873</v>
      </c>
      <c r="AA11" s="116" t="s">
        <v>858</v>
      </c>
      <c r="AB11" s="116" t="s">
        <v>874</v>
      </c>
      <c r="AC11" s="116" t="s">
        <v>875</v>
      </c>
    </row>
    <row r="12" spans="1:29" s="73" customFormat="1" ht="15">
      <c r="B12" s="104">
        <v>5</v>
      </c>
      <c r="C12" s="210" t="s">
        <v>2886</v>
      </c>
      <c r="D12" s="205"/>
      <c r="E12" s="206" t="s">
        <v>845</v>
      </c>
      <c r="F12" s="206">
        <v>1</v>
      </c>
      <c r="G12" s="209" t="s">
        <v>2887</v>
      </c>
      <c r="H12" s="109"/>
      <c r="I12" s="110">
        <v>5</v>
      </c>
      <c r="J12" s="498" t="s">
        <v>2876</v>
      </c>
      <c r="K12" s="480" t="s">
        <v>1368</v>
      </c>
      <c r="L12" s="486" t="s">
        <v>2579</v>
      </c>
      <c r="M12" s="487">
        <v>1000</v>
      </c>
      <c r="N12" s="500" t="s">
        <v>2888</v>
      </c>
      <c r="O12" s="108"/>
      <c r="P12" s="119"/>
      <c r="Q12" s="119"/>
      <c r="R12" s="108"/>
      <c r="S12" s="134"/>
      <c r="Z12" s="116" t="s">
        <v>880</v>
      </c>
      <c r="AA12" s="116" t="s">
        <v>881</v>
      </c>
      <c r="AB12" s="116" t="s">
        <v>882</v>
      </c>
      <c r="AC12" s="116" t="s">
        <v>883</v>
      </c>
    </row>
    <row r="13" spans="1:29" s="73" customFormat="1" ht="13.5">
      <c r="B13" s="104">
        <v>6</v>
      </c>
      <c r="C13" s="204" t="s">
        <v>2877</v>
      </c>
      <c r="D13" s="205"/>
      <c r="E13" s="206" t="s">
        <v>845</v>
      </c>
      <c r="F13" s="206">
        <v>1</v>
      </c>
      <c r="G13" s="209" t="s">
        <v>2889</v>
      </c>
      <c r="H13" s="109"/>
      <c r="I13" s="110">
        <v>6</v>
      </c>
      <c r="J13" s="496" t="s">
        <v>2879</v>
      </c>
      <c r="K13" s="480" t="s">
        <v>1368</v>
      </c>
      <c r="L13" s="486" t="s">
        <v>2579</v>
      </c>
      <c r="M13" s="487">
        <v>1000</v>
      </c>
      <c r="N13" s="500" t="s">
        <v>2890</v>
      </c>
      <c r="O13" s="108"/>
      <c r="P13" s="119"/>
      <c r="Q13" s="112"/>
      <c r="R13" s="114"/>
      <c r="S13" s="134"/>
      <c r="Z13" s="116" t="s">
        <v>888</v>
      </c>
      <c r="AA13" s="116" t="s">
        <v>889</v>
      </c>
      <c r="AB13" s="116" t="s">
        <v>890</v>
      </c>
      <c r="AC13" s="116" t="s">
        <v>891</v>
      </c>
    </row>
    <row r="14" spans="1:29" s="73" customFormat="1" ht="13.5">
      <c r="B14" s="104">
        <v>7</v>
      </c>
      <c r="C14" s="204" t="s">
        <v>2891</v>
      </c>
      <c r="D14" s="205"/>
      <c r="E14" s="206" t="s">
        <v>845</v>
      </c>
      <c r="F14" s="206">
        <v>3</v>
      </c>
      <c r="G14" s="207" t="s">
        <v>2892</v>
      </c>
      <c r="H14" s="109"/>
      <c r="I14" s="110">
        <v>7</v>
      </c>
      <c r="J14" s="496" t="s">
        <v>2893</v>
      </c>
      <c r="K14" s="480" t="s">
        <v>1368</v>
      </c>
      <c r="L14" s="486" t="s">
        <v>2579</v>
      </c>
      <c r="M14" s="487">
        <v>1000</v>
      </c>
      <c r="N14" s="499" t="s">
        <v>2892</v>
      </c>
      <c r="O14" s="108"/>
      <c r="P14" s="119"/>
      <c r="Q14" s="112"/>
      <c r="R14" s="114"/>
      <c r="S14" s="134"/>
      <c r="Z14" s="116" t="s">
        <v>896</v>
      </c>
      <c r="AA14" s="116" t="s">
        <v>849</v>
      </c>
      <c r="AB14" s="116" t="s">
        <v>897</v>
      </c>
      <c r="AC14" s="116" t="s">
        <v>898</v>
      </c>
    </row>
    <row r="15" spans="1:29" s="73" customFormat="1" ht="13.5">
      <c r="B15" s="104">
        <v>8</v>
      </c>
      <c r="C15" s="214" t="s">
        <v>2894</v>
      </c>
      <c r="D15" s="205"/>
      <c r="E15" s="206" t="s">
        <v>845</v>
      </c>
      <c r="F15" s="206">
        <v>3</v>
      </c>
      <c r="G15" s="209" t="s">
        <v>2895</v>
      </c>
      <c r="H15" s="109"/>
      <c r="I15" s="110">
        <v>8</v>
      </c>
      <c r="J15" s="501" t="s">
        <v>2896</v>
      </c>
      <c r="K15" s="480" t="s">
        <v>1368</v>
      </c>
      <c r="L15" s="486" t="s">
        <v>2579</v>
      </c>
      <c r="M15" s="487">
        <v>1000</v>
      </c>
      <c r="N15" s="499" t="s">
        <v>2895</v>
      </c>
      <c r="O15" s="108"/>
      <c r="P15" s="119"/>
      <c r="Q15" s="112"/>
      <c r="R15" s="114"/>
      <c r="S15" s="134"/>
      <c r="Z15" s="116" t="s">
        <v>903</v>
      </c>
      <c r="AA15" s="116" t="s">
        <v>858</v>
      </c>
      <c r="AB15" s="116" t="s">
        <v>904</v>
      </c>
      <c r="AC15" s="116" t="s">
        <v>860</v>
      </c>
    </row>
    <row r="16" spans="1:29" s="73" customFormat="1" ht="13.5">
      <c r="B16" s="104">
        <v>9</v>
      </c>
      <c r="C16" s="105"/>
      <c r="D16" s="119"/>
      <c r="E16" s="107"/>
      <c r="F16" s="107"/>
      <c r="G16" s="108"/>
      <c r="H16" s="109"/>
      <c r="I16" s="110">
        <v>9</v>
      </c>
      <c r="J16" s="118"/>
      <c r="K16" s="106"/>
      <c r="L16" s="113"/>
      <c r="M16" s="112"/>
      <c r="N16" s="108"/>
      <c r="O16" s="108"/>
      <c r="P16" s="119"/>
      <c r="Q16" s="112"/>
      <c r="R16" s="114"/>
      <c r="S16" s="134"/>
      <c r="Z16" s="116" t="s">
        <v>909</v>
      </c>
      <c r="AA16" s="116" t="s">
        <v>858</v>
      </c>
      <c r="AB16" s="116" t="s">
        <v>910</v>
      </c>
      <c r="AC16" s="116" t="s">
        <v>911</v>
      </c>
    </row>
    <row r="17" spans="2:29" s="73" customFormat="1" ht="13.5">
      <c r="B17" s="104">
        <v>10</v>
      </c>
      <c r="C17" s="105"/>
      <c r="D17" s="119"/>
      <c r="E17" s="107"/>
      <c r="F17" s="107"/>
      <c r="G17" s="108"/>
      <c r="H17" s="109" t="s">
        <v>2897</v>
      </c>
      <c r="I17" s="110">
        <v>10</v>
      </c>
      <c r="J17" s="117"/>
      <c r="K17" s="120"/>
      <c r="L17" s="113"/>
      <c r="M17" s="112"/>
      <c r="N17" s="108"/>
      <c r="O17" s="108"/>
      <c r="P17" s="112"/>
      <c r="Q17" s="112"/>
      <c r="R17" s="114"/>
      <c r="S17" s="134"/>
      <c r="Z17" s="116" t="s">
        <v>920</v>
      </c>
      <c r="AA17" s="116" t="s">
        <v>849</v>
      </c>
      <c r="AB17" s="116" t="s">
        <v>921</v>
      </c>
      <c r="AC17" s="116" t="s">
        <v>922</v>
      </c>
    </row>
    <row r="18" spans="2:29" s="73" customFormat="1" ht="13.5">
      <c r="B18" s="104">
        <v>11</v>
      </c>
      <c r="C18" s="115" t="s">
        <v>2898</v>
      </c>
      <c r="D18" s="119"/>
      <c r="E18" s="107"/>
      <c r="F18" s="339"/>
      <c r="G18" s="340" t="s">
        <v>2899</v>
      </c>
      <c r="H18" s="341" t="s">
        <v>2900</v>
      </c>
      <c r="I18" s="110">
        <v>11</v>
      </c>
      <c r="J18" s="117"/>
      <c r="K18" s="112"/>
      <c r="L18" s="113"/>
      <c r="M18" s="112"/>
      <c r="N18" s="114"/>
      <c r="O18" s="114"/>
      <c r="P18" s="112"/>
      <c r="Q18" s="112"/>
      <c r="R18" s="114"/>
      <c r="S18" s="134"/>
      <c r="T18" s="73" t="s">
        <v>2901</v>
      </c>
      <c r="Z18" s="116" t="s">
        <v>931</v>
      </c>
      <c r="AA18" s="116" t="s">
        <v>932</v>
      </c>
      <c r="AB18" s="116" t="s">
        <v>933</v>
      </c>
      <c r="AC18" s="116" t="s">
        <v>934</v>
      </c>
    </row>
    <row r="19" spans="2:29" s="73" customFormat="1" ht="13.5">
      <c r="B19" s="104">
        <v>12</v>
      </c>
      <c r="C19" s="121"/>
      <c r="D19" s="119"/>
      <c r="E19" s="107"/>
      <c r="F19" s="107"/>
      <c r="G19" s="108"/>
      <c r="H19" s="109"/>
      <c r="I19" s="110">
        <v>12</v>
      </c>
      <c r="J19" s="117"/>
      <c r="K19" s="120"/>
      <c r="L19" s="113"/>
      <c r="M19" s="112"/>
      <c r="N19" s="114"/>
      <c r="O19" s="114"/>
      <c r="P19" s="112"/>
      <c r="Q19" s="112"/>
      <c r="R19" s="114"/>
      <c r="S19" s="134"/>
      <c r="Z19" s="116" t="s">
        <v>941</v>
      </c>
      <c r="AA19" s="116" t="s">
        <v>942</v>
      </c>
      <c r="AB19" s="116" t="s">
        <v>943</v>
      </c>
      <c r="AC19" s="116" t="s">
        <v>944</v>
      </c>
    </row>
    <row r="20" spans="2:29" s="73" customFormat="1" ht="13.5">
      <c r="B20" s="104">
        <v>13</v>
      </c>
      <c r="C20" s="121"/>
      <c r="D20" s="119"/>
      <c r="E20" s="107"/>
      <c r="F20" s="107"/>
      <c r="G20" s="108"/>
      <c r="H20" s="109"/>
      <c r="I20" s="110">
        <v>13</v>
      </c>
      <c r="J20" s="117"/>
      <c r="K20" s="120"/>
      <c r="L20" s="113"/>
      <c r="M20" s="112"/>
      <c r="N20" s="114"/>
      <c r="O20" s="114"/>
      <c r="P20" s="112"/>
      <c r="Q20" s="112"/>
      <c r="R20" s="114"/>
      <c r="S20" s="134"/>
      <c r="Z20" s="116" t="s">
        <v>952</v>
      </c>
      <c r="AA20" s="116" t="s">
        <v>942</v>
      </c>
      <c r="AB20" s="116" t="s">
        <v>953</v>
      </c>
      <c r="AC20" s="116" t="s">
        <v>954</v>
      </c>
    </row>
    <row r="21" spans="2:29" s="73" customFormat="1" ht="13.5">
      <c r="B21" s="104">
        <v>14</v>
      </c>
      <c r="C21" s="121"/>
      <c r="D21" s="119"/>
      <c r="E21" s="107"/>
      <c r="F21" s="107"/>
      <c r="G21" s="108"/>
      <c r="H21" s="109"/>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c r="D22" s="119"/>
      <c r="E22" s="107"/>
      <c r="F22" s="107"/>
      <c r="G22" s="108"/>
      <c r="H22" s="109"/>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A18A5FD2-8A16-4DEB-8B8C-431DFEFD90CD}"/>
  </hyperlinks>
  <pageMargins left="0.7" right="0.7" top="0.75" bottom="0.75" header="0.3" footer="0.3"/>
  <customProperties>
    <customPr name="_pios_id" r:id="rId1"/>
  </customPropertie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3EB4D-D6D6-43A4-86D7-7BB600D29E39}">
  <sheetPr>
    <tabColor theme="9" tint="0.79998168889431442"/>
  </sheetPr>
  <dimension ref="A1:AC96"/>
  <sheetViews>
    <sheetView showGridLines="0" workbookViewId="0">
      <selection activeCell="N25" sqref="N25"/>
    </sheetView>
  </sheetViews>
  <sheetFormatPr defaultColWidth="12.625" defaultRowHeight="16.5"/>
  <cols>
    <col min="1" max="1" width="2.125" style="69" customWidth="1"/>
    <col min="2" max="2" width="5.125" style="69" customWidth="1"/>
    <col min="3" max="3" width="20.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2902</v>
      </c>
      <c r="C2" s="993"/>
      <c r="D2" s="993"/>
      <c r="E2" s="993"/>
      <c r="F2" s="993"/>
      <c r="G2" s="993"/>
      <c r="H2" s="993"/>
      <c r="I2" s="994"/>
      <c r="J2" s="70" t="s">
        <v>816</v>
      </c>
      <c r="K2" s="998" t="s">
        <v>145</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c r="D6" s="984"/>
      <c r="E6" s="984"/>
      <c r="F6" s="984"/>
      <c r="G6" s="984"/>
      <c r="H6" s="986"/>
      <c r="I6" s="102" t="s">
        <v>829</v>
      </c>
      <c r="J6" s="988"/>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205" t="s">
        <v>1869</v>
      </c>
      <c r="D8" s="205" t="s">
        <v>1870</v>
      </c>
      <c r="E8" s="206" t="s">
        <v>845</v>
      </c>
      <c r="F8" s="206">
        <v>10</v>
      </c>
      <c r="G8" s="215" t="s">
        <v>1871</v>
      </c>
      <c r="H8" s="109"/>
      <c r="I8" s="110">
        <v>1</v>
      </c>
      <c r="J8" s="491" t="s">
        <v>2903</v>
      </c>
      <c r="K8" s="484" t="s">
        <v>2810</v>
      </c>
      <c r="L8" s="483" t="s">
        <v>2579</v>
      </c>
      <c r="M8" s="484">
        <v>1000</v>
      </c>
      <c r="N8" s="502" t="s">
        <v>1675</v>
      </c>
      <c r="O8" s="114"/>
      <c r="P8" s="112"/>
      <c r="Q8" s="112"/>
      <c r="R8" s="114"/>
      <c r="S8" s="134"/>
      <c r="Z8" s="116" t="s">
        <v>848</v>
      </c>
      <c r="AA8" s="116" t="s">
        <v>849</v>
      </c>
      <c r="AB8" s="116" t="s">
        <v>850</v>
      </c>
      <c r="AC8" s="116" t="s">
        <v>851</v>
      </c>
    </row>
    <row r="9" spans="1:29" s="73" customFormat="1" ht="13.5">
      <c r="B9" s="104">
        <v>2</v>
      </c>
      <c r="C9" s="204" t="s">
        <v>1872</v>
      </c>
      <c r="D9" s="205" t="s">
        <v>1870</v>
      </c>
      <c r="E9" s="206" t="s">
        <v>845</v>
      </c>
      <c r="F9" s="208">
        <v>4</v>
      </c>
      <c r="G9" s="215" t="s">
        <v>1873</v>
      </c>
      <c r="H9" s="109"/>
      <c r="I9" s="110">
        <v>2</v>
      </c>
      <c r="J9" s="495" t="s">
        <v>2862</v>
      </c>
      <c r="K9" s="480" t="s">
        <v>2810</v>
      </c>
      <c r="L9" s="486" t="s">
        <v>2579</v>
      </c>
      <c r="M9" s="487">
        <v>1000</v>
      </c>
      <c r="N9" s="492" t="s">
        <v>862</v>
      </c>
      <c r="O9" s="114"/>
      <c r="P9" s="112"/>
      <c r="Q9" s="112"/>
      <c r="R9" s="114"/>
      <c r="S9" s="134"/>
      <c r="T9" s="71"/>
      <c r="Z9" s="116" t="s">
        <v>857</v>
      </c>
      <c r="AA9" s="116" t="s">
        <v>858</v>
      </c>
      <c r="AB9" s="116" t="s">
        <v>859</v>
      </c>
      <c r="AC9" s="116" t="s">
        <v>860</v>
      </c>
    </row>
    <row r="10" spans="1:29" s="73" customFormat="1" ht="13.5">
      <c r="B10" s="104">
        <v>3</v>
      </c>
      <c r="C10" s="204" t="s">
        <v>1874</v>
      </c>
      <c r="D10" s="205" t="s">
        <v>1870</v>
      </c>
      <c r="E10" s="206" t="s">
        <v>845</v>
      </c>
      <c r="F10" s="208">
        <v>2</v>
      </c>
      <c r="G10" s="213" t="s">
        <v>1875</v>
      </c>
      <c r="H10" s="109"/>
      <c r="I10" s="110">
        <v>3</v>
      </c>
      <c r="J10" s="495" t="s">
        <v>2863</v>
      </c>
      <c r="K10" s="480" t="s">
        <v>2810</v>
      </c>
      <c r="L10" s="486" t="s">
        <v>2579</v>
      </c>
      <c r="M10" s="487">
        <v>1000</v>
      </c>
      <c r="N10" s="500" t="s">
        <v>1667</v>
      </c>
      <c r="O10" s="114"/>
      <c r="P10" s="112"/>
      <c r="Q10" s="112"/>
      <c r="R10" s="114"/>
      <c r="S10" s="134"/>
      <c r="T10" s="71"/>
      <c r="Z10" s="116" t="s">
        <v>865</v>
      </c>
      <c r="AA10" s="116" t="s">
        <v>866</v>
      </c>
      <c r="AB10" s="116" t="s">
        <v>867</v>
      </c>
      <c r="AC10" s="116" t="s">
        <v>868</v>
      </c>
    </row>
    <row r="11" spans="1:29" s="73" customFormat="1" ht="13.5">
      <c r="B11" s="104">
        <v>4</v>
      </c>
      <c r="C11" s="209" t="s">
        <v>1876</v>
      </c>
      <c r="D11" s="205"/>
      <c r="E11" s="208" t="s">
        <v>845</v>
      </c>
      <c r="F11" s="208">
        <v>4</v>
      </c>
      <c r="G11" s="204" t="s">
        <v>1877</v>
      </c>
      <c r="H11" s="109"/>
      <c r="I11" s="110">
        <v>4</v>
      </c>
      <c r="J11" s="501" t="s">
        <v>2904</v>
      </c>
      <c r="K11" s="480" t="s">
        <v>1368</v>
      </c>
      <c r="L11" s="486" t="s">
        <v>2579</v>
      </c>
      <c r="M11" s="487">
        <v>1000</v>
      </c>
      <c r="N11" s="499" t="s">
        <v>1877</v>
      </c>
      <c r="O11" s="108"/>
      <c r="P11" s="119"/>
      <c r="Q11" s="119"/>
      <c r="R11" s="108"/>
      <c r="S11" s="134"/>
      <c r="Z11" s="116" t="s">
        <v>873</v>
      </c>
      <c r="AA11" s="116" t="s">
        <v>858</v>
      </c>
      <c r="AB11" s="116" t="s">
        <v>874</v>
      </c>
      <c r="AC11" s="116" t="s">
        <v>875</v>
      </c>
    </row>
    <row r="12" spans="1:29" s="73" customFormat="1" ht="13.5">
      <c r="B12" s="104">
        <v>5</v>
      </c>
      <c r="C12" s="207" t="s">
        <v>1878</v>
      </c>
      <c r="D12" s="205"/>
      <c r="E12" s="206" t="s">
        <v>845</v>
      </c>
      <c r="F12" s="206">
        <v>5</v>
      </c>
      <c r="G12" s="204" t="s">
        <v>1879</v>
      </c>
      <c r="H12" s="109"/>
      <c r="I12" s="110">
        <v>5</v>
      </c>
      <c r="J12" s="501" t="s">
        <v>2905</v>
      </c>
      <c r="K12" s="480" t="s">
        <v>1368</v>
      </c>
      <c r="L12" s="486" t="s">
        <v>2579</v>
      </c>
      <c r="M12" s="487">
        <v>1000</v>
      </c>
      <c r="N12" s="499" t="s">
        <v>1879</v>
      </c>
      <c r="O12" s="108"/>
      <c r="P12" s="119"/>
      <c r="Q12" s="119"/>
      <c r="R12" s="108"/>
      <c r="S12" s="134"/>
      <c r="Z12" s="116" t="s">
        <v>880</v>
      </c>
      <c r="AA12" s="116" t="s">
        <v>881</v>
      </c>
      <c r="AB12" s="116" t="s">
        <v>882</v>
      </c>
      <c r="AC12" s="116" t="s">
        <v>883</v>
      </c>
    </row>
    <row r="13" spans="1:29" s="73" customFormat="1" ht="13.5">
      <c r="B13" s="104">
        <v>6</v>
      </c>
      <c r="C13" s="209" t="s">
        <v>1880</v>
      </c>
      <c r="D13" s="205"/>
      <c r="E13" s="206" t="s">
        <v>845</v>
      </c>
      <c r="F13" s="208">
        <v>3</v>
      </c>
      <c r="G13" s="204" t="s">
        <v>1881</v>
      </c>
      <c r="H13" s="109"/>
      <c r="I13" s="110">
        <v>6</v>
      </c>
      <c r="J13" s="501" t="s">
        <v>2906</v>
      </c>
      <c r="K13" s="480" t="s">
        <v>1368</v>
      </c>
      <c r="L13" s="486" t="s">
        <v>2579</v>
      </c>
      <c r="M13" s="487">
        <v>1000</v>
      </c>
      <c r="N13" s="499" t="s">
        <v>1881</v>
      </c>
      <c r="O13" s="108"/>
      <c r="P13" s="119"/>
      <c r="Q13" s="112"/>
      <c r="R13" s="114"/>
      <c r="S13" s="134"/>
      <c r="Z13" s="116" t="s">
        <v>888</v>
      </c>
      <c r="AA13" s="116" t="s">
        <v>889</v>
      </c>
      <c r="AB13" s="116" t="s">
        <v>890</v>
      </c>
      <c r="AC13" s="116" t="s">
        <v>891</v>
      </c>
    </row>
    <row r="14" spans="1:29" s="73" customFormat="1" ht="13.5">
      <c r="B14" s="104">
        <v>7</v>
      </c>
      <c r="C14" s="209" t="s">
        <v>1882</v>
      </c>
      <c r="D14" s="205"/>
      <c r="E14" s="206" t="s">
        <v>845</v>
      </c>
      <c r="F14" s="206">
        <v>3</v>
      </c>
      <c r="G14" s="204" t="s">
        <v>1883</v>
      </c>
      <c r="H14" s="109"/>
      <c r="I14" s="110">
        <v>7</v>
      </c>
      <c r="J14" s="501" t="s">
        <v>2907</v>
      </c>
      <c r="K14" s="480" t="s">
        <v>1368</v>
      </c>
      <c r="L14" s="486" t="s">
        <v>2579</v>
      </c>
      <c r="M14" s="487">
        <v>1000</v>
      </c>
      <c r="N14" s="499" t="s">
        <v>1883</v>
      </c>
      <c r="O14" s="108"/>
      <c r="P14" s="119"/>
      <c r="Q14" s="112"/>
      <c r="R14" s="114"/>
      <c r="S14" s="134"/>
      <c r="Z14" s="116" t="s">
        <v>896</v>
      </c>
      <c r="AA14" s="116" t="s">
        <v>849</v>
      </c>
      <c r="AB14" s="116" t="s">
        <v>897</v>
      </c>
      <c r="AC14" s="116" t="s">
        <v>898</v>
      </c>
    </row>
    <row r="15" spans="1:29" s="73" customFormat="1" ht="13.5">
      <c r="B15" s="104">
        <v>8</v>
      </c>
      <c r="C15" s="207" t="s">
        <v>1884</v>
      </c>
      <c r="D15" s="205"/>
      <c r="E15" s="206" t="s">
        <v>845</v>
      </c>
      <c r="F15" s="206">
        <v>3</v>
      </c>
      <c r="G15" s="204" t="s">
        <v>1885</v>
      </c>
      <c r="H15" s="109"/>
      <c r="I15" s="110">
        <v>8</v>
      </c>
      <c r="J15" s="501" t="s">
        <v>2908</v>
      </c>
      <c r="K15" s="480" t="s">
        <v>1368</v>
      </c>
      <c r="L15" s="486" t="s">
        <v>2579</v>
      </c>
      <c r="M15" s="487">
        <v>1000</v>
      </c>
      <c r="N15" s="499" t="s">
        <v>1885</v>
      </c>
      <c r="O15" s="108"/>
      <c r="P15" s="119"/>
      <c r="Q15" s="112"/>
      <c r="R15" s="114"/>
      <c r="S15" s="134"/>
      <c r="Z15" s="116" t="s">
        <v>903</v>
      </c>
      <c r="AA15" s="116" t="s">
        <v>858</v>
      </c>
      <c r="AB15" s="116" t="s">
        <v>904</v>
      </c>
      <c r="AC15" s="116" t="s">
        <v>860</v>
      </c>
    </row>
    <row r="16" spans="1:29" s="73" customFormat="1" ht="13.5">
      <c r="B16" s="104">
        <v>9</v>
      </c>
      <c r="C16" s="209" t="s">
        <v>1886</v>
      </c>
      <c r="D16" s="205"/>
      <c r="E16" s="206" t="s">
        <v>845</v>
      </c>
      <c r="F16" s="208">
        <v>5</v>
      </c>
      <c r="G16" s="204" t="s">
        <v>1887</v>
      </c>
      <c r="H16" s="109"/>
      <c r="I16" s="110">
        <v>9</v>
      </c>
      <c r="J16" s="496" t="s">
        <v>2909</v>
      </c>
      <c r="K16" s="480" t="s">
        <v>1368</v>
      </c>
      <c r="L16" s="486" t="s">
        <v>2579</v>
      </c>
      <c r="M16" s="487">
        <v>1000</v>
      </c>
      <c r="N16" s="499" t="s">
        <v>1887</v>
      </c>
      <c r="O16" s="108"/>
      <c r="P16" s="119"/>
      <c r="Q16" s="112"/>
      <c r="R16" s="114"/>
      <c r="S16" s="134"/>
      <c r="Z16" s="116" t="s">
        <v>909</v>
      </c>
      <c r="AA16" s="116" t="s">
        <v>858</v>
      </c>
      <c r="AB16" s="116" t="s">
        <v>910</v>
      </c>
      <c r="AC16" s="116" t="s">
        <v>911</v>
      </c>
    </row>
    <row r="17" spans="2:29" s="73" customFormat="1" ht="15">
      <c r="B17" s="104">
        <v>10</v>
      </c>
      <c r="C17" s="209" t="s">
        <v>1888</v>
      </c>
      <c r="D17" s="205"/>
      <c r="E17" s="206" t="s">
        <v>845</v>
      </c>
      <c r="F17" s="206">
        <v>10</v>
      </c>
      <c r="G17" s="210" t="s">
        <v>1889</v>
      </c>
      <c r="H17" s="109"/>
      <c r="I17" s="110">
        <v>10</v>
      </c>
      <c r="J17" s="496" t="s">
        <v>2910</v>
      </c>
      <c r="K17" s="487" t="s">
        <v>1368</v>
      </c>
      <c r="L17" s="486" t="s">
        <v>2579</v>
      </c>
      <c r="M17" s="487">
        <v>1000</v>
      </c>
      <c r="N17" s="503" t="s">
        <v>1889</v>
      </c>
      <c r="O17" s="108"/>
      <c r="P17" s="112"/>
      <c r="Q17" s="112"/>
      <c r="R17" s="114"/>
      <c r="S17" s="134"/>
      <c r="Z17" s="116" t="s">
        <v>920</v>
      </c>
      <c r="AA17" s="116" t="s">
        <v>849</v>
      </c>
      <c r="AB17" s="116" t="s">
        <v>921</v>
      </c>
      <c r="AC17" s="116" t="s">
        <v>922</v>
      </c>
    </row>
    <row r="18" spans="2:29" s="73" customFormat="1" ht="15">
      <c r="B18" s="104">
        <v>11</v>
      </c>
      <c r="C18" s="209" t="s">
        <v>1890</v>
      </c>
      <c r="D18" s="205"/>
      <c r="E18" s="206" t="s">
        <v>845</v>
      </c>
      <c r="F18" s="206">
        <v>4</v>
      </c>
      <c r="G18" s="210" t="s">
        <v>1891</v>
      </c>
      <c r="H18" s="109"/>
      <c r="I18" s="110">
        <v>11</v>
      </c>
      <c r="J18" s="496" t="s">
        <v>2911</v>
      </c>
      <c r="K18" s="487" t="s">
        <v>1368</v>
      </c>
      <c r="L18" s="486" t="s">
        <v>2579</v>
      </c>
      <c r="M18" s="487">
        <v>1000</v>
      </c>
      <c r="N18" s="503" t="s">
        <v>1891</v>
      </c>
      <c r="O18" s="114"/>
      <c r="P18" s="112"/>
      <c r="Q18" s="112"/>
      <c r="R18" s="114"/>
      <c r="S18" s="134"/>
      <c r="Z18" s="116" t="s">
        <v>931</v>
      </c>
      <c r="AA18" s="116" t="s">
        <v>932</v>
      </c>
      <c r="AB18" s="116" t="s">
        <v>933</v>
      </c>
      <c r="AC18" s="116" t="s">
        <v>934</v>
      </c>
    </row>
    <row r="19" spans="2:29" s="73" customFormat="1" ht="13.5">
      <c r="B19" s="104">
        <v>12</v>
      </c>
      <c r="C19" s="209" t="s">
        <v>1892</v>
      </c>
      <c r="D19" s="205"/>
      <c r="E19" s="206" t="s">
        <v>845</v>
      </c>
      <c r="F19" s="208">
        <v>10</v>
      </c>
      <c r="G19" s="204" t="s">
        <v>1893</v>
      </c>
      <c r="H19" s="109"/>
      <c r="I19" s="110">
        <v>12</v>
      </c>
      <c r="J19" s="496" t="s">
        <v>2912</v>
      </c>
      <c r="K19" s="487" t="s">
        <v>1368</v>
      </c>
      <c r="L19" s="486" t="s">
        <v>2579</v>
      </c>
      <c r="M19" s="487">
        <v>1000</v>
      </c>
      <c r="N19" s="499" t="s">
        <v>1893</v>
      </c>
      <c r="O19" s="114"/>
      <c r="P19" s="112"/>
      <c r="Q19" s="112"/>
      <c r="R19" s="114"/>
      <c r="S19" s="134"/>
      <c r="Z19" s="116" t="s">
        <v>941</v>
      </c>
      <c r="AA19" s="116" t="s">
        <v>942</v>
      </c>
      <c r="AB19" s="116" t="s">
        <v>943</v>
      </c>
      <c r="AC19" s="116" t="s">
        <v>944</v>
      </c>
    </row>
    <row r="20" spans="2:29" s="73" customFormat="1" ht="13.5">
      <c r="B20" s="104">
        <v>13</v>
      </c>
      <c r="C20" s="207" t="s">
        <v>1894</v>
      </c>
      <c r="D20" s="205"/>
      <c r="E20" s="206" t="s">
        <v>845</v>
      </c>
      <c r="F20" s="206">
        <v>1</v>
      </c>
      <c r="G20" s="204" t="s">
        <v>1895</v>
      </c>
      <c r="H20" s="109"/>
      <c r="I20" s="110">
        <v>13</v>
      </c>
      <c r="J20" s="499" t="s">
        <v>2913</v>
      </c>
      <c r="K20" s="487" t="s">
        <v>1368</v>
      </c>
      <c r="L20" s="486" t="s">
        <v>2579</v>
      </c>
      <c r="M20" s="487">
        <v>1000</v>
      </c>
      <c r="N20" s="499" t="s">
        <v>1895</v>
      </c>
      <c r="O20" s="114"/>
      <c r="P20" s="112"/>
      <c r="Q20" s="112"/>
      <c r="R20" s="114"/>
      <c r="S20" s="134"/>
      <c r="Z20" s="116" t="s">
        <v>952</v>
      </c>
      <c r="AA20" s="116" t="s">
        <v>942</v>
      </c>
      <c r="AB20" s="116" t="s">
        <v>953</v>
      </c>
      <c r="AC20" s="116" t="s">
        <v>954</v>
      </c>
    </row>
    <row r="21" spans="2:29" s="73" customFormat="1" ht="13.5">
      <c r="B21" s="104">
        <v>14</v>
      </c>
      <c r="C21" s="207" t="s">
        <v>1896</v>
      </c>
      <c r="D21" s="205"/>
      <c r="E21" s="206" t="s">
        <v>845</v>
      </c>
      <c r="F21" s="206">
        <v>1</v>
      </c>
      <c r="G21" s="204" t="s">
        <v>1897</v>
      </c>
      <c r="H21" s="109"/>
      <c r="I21" s="110">
        <v>14</v>
      </c>
      <c r="J21" s="499" t="s">
        <v>2914</v>
      </c>
      <c r="K21" s="480" t="s">
        <v>1368</v>
      </c>
      <c r="L21" s="486" t="s">
        <v>2579</v>
      </c>
      <c r="M21" s="487">
        <v>1000</v>
      </c>
      <c r="N21" s="499" t="s">
        <v>1897</v>
      </c>
      <c r="O21" s="108"/>
      <c r="P21" s="119"/>
      <c r="Q21" s="119"/>
      <c r="R21" s="108"/>
      <c r="S21" s="134"/>
      <c r="Z21" s="116" t="s">
        <v>958</v>
      </c>
      <c r="AA21" s="116" t="s">
        <v>959</v>
      </c>
      <c r="AB21" s="116" t="s">
        <v>960</v>
      </c>
      <c r="AC21" s="116" t="s">
        <v>961</v>
      </c>
    </row>
    <row r="22" spans="2:29" s="73" customFormat="1" ht="13.5">
      <c r="B22" s="104">
        <v>15</v>
      </c>
      <c r="C22" s="209" t="s">
        <v>1898</v>
      </c>
      <c r="D22" s="205"/>
      <c r="E22" s="206" t="s">
        <v>845</v>
      </c>
      <c r="F22" s="208">
        <v>4</v>
      </c>
      <c r="G22" s="216" t="s">
        <v>1899</v>
      </c>
      <c r="H22" s="109"/>
      <c r="I22" s="110">
        <v>15</v>
      </c>
      <c r="J22" s="496" t="s">
        <v>2915</v>
      </c>
      <c r="K22" s="480" t="s">
        <v>1368</v>
      </c>
      <c r="L22" s="486" t="s">
        <v>2579</v>
      </c>
      <c r="M22" s="487">
        <v>1000</v>
      </c>
      <c r="N22" s="500" t="s">
        <v>2916</v>
      </c>
      <c r="O22" s="108"/>
      <c r="P22" s="119"/>
      <c r="Q22" s="119"/>
      <c r="R22" s="108"/>
      <c r="S22" s="134"/>
      <c r="Z22" s="116" t="s">
        <v>965</v>
      </c>
      <c r="AA22" s="116" t="s">
        <v>966</v>
      </c>
      <c r="AB22" s="116" t="s">
        <v>967</v>
      </c>
      <c r="AC22" s="116" t="s">
        <v>968</v>
      </c>
    </row>
    <row r="23" spans="2:29" s="73" customFormat="1" ht="13.5">
      <c r="B23" s="104">
        <v>16</v>
      </c>
      <c r="C23" s="121" t="s">
        <v>2917</v>
      </c>
      <c r="D23" s="119"/>
      <c r="E23" s="107" t="s">
        <v>845</v>
      </c>
      <c r="F23" s="107">
        <v>2</v>
      </c>
      <c r="G23" s="108" t="s">
        <v>2918</v>
      </c>
      <c r="H23" s="109" t="s">
        <v>2919</v>
      </c>
      <c r="I23" s="110">
        <v>16</v>
      </c>
      <c r="J23" s="105" t="s">
        <v>2904</v>
      </c>
      <c r="K23" s="119" t="s">
        <v>1368</v>
      </c>
      <c r="L23" s="113" t="s">
        <v>2579</v>
      </c>
      <c r="M23" s="112">
        <v>1000</v>
      </c>
      <c r="N23" s="114" t="s">
        <v>2918</v>
      </c>
      <c r="O23" s="114"/>
      <c r="P23" s="119"/>
      <c r="Q23" s="119"/>
      <c r="R23" s="108"/>
      <c r="S23" s="134"/>
      <c r="Z23" s="116" t="s">
        <v>969</v>
      </c>
      <c r="AA23" s="116" t="s">
        <v>970</v>
      </c>
      <c r="AB23" s="116" t="s">
        <v>971</v>
      </c>
      <c r="AC23" s="116" t="s">
        <v>972</v>
      </c>
    </row>
    <row r="24" spans="2:29" s="73" customFormat="1" ht="13.5">
      <c r="B24" s="104">
        <v>17</v>
      </c>
      <c r="C24" s="121" t="s">
        <v>2920</v>
      </c>
      <c r="D24" s="119"/>
      <c r="E24" s="107" t="s">
        <v>845</v>
      </c>
      <c r="F24" s="107"/>
      <c r="G24" s="108" t="s">
        <v>2921</v>
      </c>
      <c r="H24" s="109" t="s">
        <v>2919</v>
      </c>
      <c r="I24" s="110">
        <v>17</v>
      </c>
      <c r="J24" s="105" t="s">
        <v>2922</v>
      </c>
      <c r="K24" s="119" t="s">
        <v>1368</v>
      </c>
      <c r="L24" s="113" t="s">
        <v>2579</v>
      </c>
      <c r="M24" s="112">
        <v>1000</v>
      </c>
      <c r="N24" s="114" t="s">
        <v>2921</v>
      </c>
      <c r="O24" s="114"/>
      <c r="P24" s="119"/>
      <c r="Q24" s="119"/>
      <c r="R24" s="108"/>
      <c r="S24" s="134"/>
      <c r="Z24" s="116" t="s">
        <v>973</v>
      </c>
      <c r="AA24" s="116" t="s">
        <v>970</v>
      </c>
      <c r="AB24" s="116" t="s">
        <v>974</v>
      </c>
      <c r="AC24" s="116" t="s">
        <v>975</v>
      </c>
    </row>
    <row r="25" spans="2:29" s="73" customFormat="1" ht="13.5">
      <c r="B25" s="104">
        <v>18</v>
      </c>
      <c r="C25" s="121" t="s">
        <v>2923</v>
      </c>
      <c r="D25" s="119"/>
      <c r="E25" s="107" t="s">
        <v>845</v>
      </c>
      <c r="F25" s="107"/>
      <c r="G25" s="108" t="s">
        <v>2924</v>
      </c>
      <c r="H25" s="109" t="s">
        <v>2919</v>
      </c>
      <c r="I25" s="110">
        <v>18</v>
      </c>
      <c r="J25" s="105" t="s">
        <v>2925</v>
      </c>
      <c r="K25" s="119" t="s">
        <v>1368</v>
      </c>
      <c r="L25" s="113" t="s">
        <v>2579</v>
      </c>
      <c r="M25" s="112">
        <v>1000</v>
      </c>
      <c r="N25" s="114" t="s">
        <v>2924</v>
      </c>
      <c r="O25" s="114"/>
      <c r="P25" s="119"/>
      <c r="Q25" s="119"/>
      <c r="R25" s="108"/>
      <c r="S25" s="134"/>
      <c r="Z25" s="116" t="s">
        <v>976</v>
      </c>
      <c r="AA25" s="116" t="s">
        <v>977</v>
      </c>
      <c r="AB25" s="116" t="s">
        <v>978</v>
      </c>
      <c r="AC25" s="116" t="s">
        <v>979</v>
      </c>
    </row>
    <row r="26" spans="2:29" s="73" customFormat="1" ht="13.5">
      <c r="B26" s="104">
        <v>19</v>
      </c>
      <c r="C26" s="121" t="s">
        <v>2926</v>
      </c>
      <c r="D26" s="119"/>
      <c r="E26" s="107" t="s">
        <v>845</v>
      </c>
      <c r="F26" s="107">
        <v>4</v>
      </c>
      <c r="G26" s="108" t="s">
        <v>853</v>
      </c>
      <c r="H26" s="109" t="s">
        <v>2927</v>
      </c>
      <c r="I26" s="110">
        <v>19</v>
      </c>
      <c r="J26" s="105" t="s">
        <v>2928</v>
      </c>
      <c r="K26" s="119"/>
      <c r="L26" s="113" t="s">
        <v>2579</v>
      </c>
      <c r="M26" s="112">
        <v>1000</v>
      </c>
      <c r="N26" s="114" t="s">
        <v>853</v>
      </c>
      <c r="O26" s="114"/>
      <c r="P26" s="119"/>
      <c r="Q26" s="119"/>
      <c r="R26" s="108"/>
      <c r="S26" s="134"/>
      <c r="Z26" s="116" t="s">
        <v>980</v>
      </c>
      <c r="AA26" s="116" t="s">
        <v>981</v>
      </c>
      <c r="AB26" s="116" t="s">
        <v>982</v>
      </c>
      <c r="AC26" s="116" t="s">
        <v>983</v>
      </c>
    </row>
    <row r="27" spans="2:29" s="73" customFormat="1" ht="13.5">
      <c r="B27" s="104">
        <v>20</v>
      </c>
      <c r="C27" s="121" t="s">
        <v>2929</v>
      </c>
      <c r="D27" s="119"/>
      <c r="E27" s="107" t="s">
        <v>845</v>
      </c>
      <c r="F27" s="107">
        <v>4</v>
      </c>
      <c r="G27" s="108" t="s">
        <v>2930</v>
      </c>
      <c r="H27" s="109" t="s">
        <v>2927</v>
      </c>
      <c r="I27" s="110">
        <v>20</v>
      </c>
      <c r="J27" s="105" t="s">
        <v>2929</v>
      </c>
      <c r="K27" s="119" t="s">
        <v>1368</v>
      </c>
      <c r="L27" s="113" t="s">
        <v>2579</v>
      </c>
      <c r="M27" s="112">
        <v>1000</v>
      </c>
      <c r="N27" s="114" t="s">
        <v>2930</v>
      </c>
      <c r="O27" s="114"/>
      <c r="P27" s="119"/>
      <c r="Q27" s="119"/>
      <c r="R27" s="108"/>
      <c r="S27" s="134"/>
      <c r="Z27" s="116" t="s">
        <v>984</v>
      </c>
      <c r="AA27" s="116" t="s">
        <v>942</v>
      </c>
      <c r="AB27" s="116" t="s">
        <v>985</v>
      </c>
      <c r="AC27" s="116" t="s">
        <v>986</v>
      </c>
    </row>
    <row r="28" spans="2:29" s="73" customFormat="1" ht="13.5">
      <c r="B28" s="104">
        <v>21</v>
      </c>
      <c r="C28" s="121" t="s">
        <v>2931</v>
      </c>
      <c r="D28" s="119"/>
      <c r="E28" s="107" t="s">
        <v>845</v>
      </c>
      <c r="F28" s="107">
        <v>4</v>
      </c>
      <c r="G28" s="108" t="s">
        <v>2932</v>
      </c>
      <c r="H28" s="109" t="s">
        <v>2927</v>
      </c>
      <c r="I28" s="110">
        <v>21</v>
      </c>
      <c r="J28" s="105" t="s">
        <v>2931</v>
      </c>
      <c r="K28" s="119" t="s">
        <v>1368</v>
      </c>
      <c r="L28" s="113" t="s">
        <v>2579</v>
      </c>
      <c r="M28" s="112">
        <v>1000</v>
      </c>
      <c r="N28" s="114" t="s">
        <v>2932</v>
      </c>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DB35A469-A2B9-44DA-8BF6-129B3B07A08C}"/>
  </hyperlinks>
  <pageMargins left="0.7" right="0.7" top="0.75" bottom="0.75" header="0.3" footer="0.3"/>
  <customProperties>
    <customPr name="_pios_id" r:id="rId1"/>
  </customPropertie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CF95D-49A0-43CF-B732-4B7FAACE1119}">
  <sheetPr>
    <tabColor theme="9" tint="0.79998168889431442"/>
  </sheetPr>
  <dimension ref="A1:AC96"/>
  <sheetViews>
    <sheetView showGridLines="0" workbookViewId="0">
      <selection activeCell="J8" sqref="J8:N9"/>
    </sheetView>
  </sheetViews>
  <sheetFormatPr defaultColWidth="12.625" defaultRowHeight="16.5"/>
  <cols>
    <col min="1" max="1" width="2.125" style="69" customWidth="1"/>
    <col min="2" max="2" width="5.125" style="69" customWidth="1"/>
    <col min="3" max="3" width="14.87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2933</v>
      </c>
      <c r="C2" s="993"/>
      <c r="D2" s="993"/>
      <c r="E2" s="993"/>
      <c r="F2" s="993"/>
      <c r="G2" s="993"/>
      <c r="H2" s="993"/>
      <c r="I2" s="994"/>
      <c r="J2" s="70" t="s">
        <v>816</v>
      </c>
      <c r="K2" s="998" t="s">
        <v>145</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c r="D6" s="984"/>
      <c r="E6" s="984"/>
      <c r="F6" s="984"/>
      <c r="G6" s="984"/>
      <c r="H6" s="986"/>
      <c r="I6" s="102" t="s">
        <v>829</v>
      </c>
      <c r="J6" s="988"/>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207" t="s">
        <v>2926</v>
      </c>
      <c r="D8" s="208" t="s">
        <v>2810</v>
      </c>
      <c r="E8" s="206" t="s">
        <v>2934</v>
      </c>
      <c r="F8" s="206">
        <v>4</v>
      </c>
      <c r="G8" s="216" t="s">
        <v>2935</v>
      </c>
      <c r="H8" s="109"/>
      <c r="I8" s="110">
        <v>1</v>
      </c>
      <c r="J8" s="491" t="s">
        <v>2928</v>
      </c>
      <c r="K8" s="208" t="s">
        <v>2810</v>
      </c>
      <c r="L8" s="483" t="s">
        <v>2579</v>
      </c>
      <c r="M8" s="484">
        <v>1000</v>
      </c>
      <c r="N8" s="504" t="s">
        <v>853</v>
      </c>
      <c r="O8" s="114"/>
      <c r="P8" s="112"/>
      <c r="Q8" s="112"/>
      <c r="R8" s="114"/>
      <c r="S8" s="134"/>
      <c r="Z8" s="116" t="s">
        <v>848</v>
      </c>
      <c r="AA8" s="116" t="s">
        <v>849</v>
      </c>
      <c r="AB8" s="116" t="s">
        <v>850</v>
      </c>
      <c r="AC8" s="116" t="s">
        <v>851</v>
      </c>
    </row>
    <row r="9" spans="1:29" s="73" customFormat="1" ht="13.5">
      <c r="B9" s="104">
        <v>2</v>
      </c>
      <c r="C9" s="209" t="s">
        <v>2936</v>
      </c>
      <c r="D9" s="208" t="s">
        <v>2810</v>
      </c>
      <c r="E9" s="206" t="s">
        <v>2934</v>
      </c>
      <c r="F9" s="208">
        <v>6</v>
      </c>
      <c r="G9" s="204" t="s">
        <v>2937</v>
      </c>
      <c r="H9" s="109"/>
      <c r="I9" s="110">
        <v>2</v>
      </c>
      <c r="J9" s="495" t="s">
        <v>2938</v>
      </c>
      <c r="K9" s="208" t="s">
        <v>2810</v>
      </c>
      <c r="L9" s="486" t="s">
        <v>2579</v>
      </c>
      <c r="M9" s="487">
        <v>1000</v>
      </c>
      <c r="N9" s="499" t="s">
        <v>2937</v>
      </c>
      <c r="O9" s="114"/>
      <c r="P9" s="112"/>
      <c r="Q9" s="112"/>
      <c r="R9" s="114"/>
      <c r="S9" s="134"/>
      <c r="T9" s="71"/>
      <c r="Z9" s="116" t="s">
        <v>857</v>
      </c>
      <c r="AA9" s="116" t="s">
        <v>858</v>
      </c>
      <c r="AB9" s="116" t="s">
        <v>859</v>
      </c>
      <c r="AC9" s="116" t="s">
        <v>860</v>
      </c>
    </row>
    <row r="10" spans="1:29" s="73" customFormat="1" ht="13.5">
      <c r="B10" s="104">
        <v>3</v>
      </c>
      <c r="C10" s="105" t="s">
        <v>2939</v>
      </c>
      <c r="D10" s="208" t="s">
        <v>2810</v>
      </c>
      <c r="E10" s="107" t="s">
        <v>845</v>
      </c>
      <c r="F10" s="107">
        <v>4</v>
      </c>
      <c r="G10" s="108" t="s">
        <v>862</v>
      </c>
      <c r="H10" s="109" t="s">
        <v>2940</v>
      </c>
      <c r="I10" s="110">
        <v>3</v>
      </c>
      <c r="J10" s="117" t="s">
        <v>2862</v>
      </c>
      <c r="K10" s="208" t="s">
        <v>2810</v>
      </c>
      <c r="L10" s="113" t="s">
        <v>2579</v>
      </c>
      <c r="M10" s="112">
        <v>1000</v>
      </c>
      <c r="N10" s="114" t="s">
        <v>862</v>
      </c>
      <c r="O10" s="114"/>
      <c r="P10" s="112"/>
      <c r="Q10" s="112"/>
      <c r="R10" s="114"/>
      <c r="S10" s="134"/>
      <c r="T10" s="71"/>
      <c r="Z10" s="116" t="s">
        <v>865</v>
      </c>
      <c r="AA10" s="116" t="s">
        <v>866</v>
      </c>
      <c r="AB10" s="116" t="s">
        <v>867</v>
      </c>
      <c r="AC10" s="116" t="s">
        <v>868</v>
      </c>
    </row>
    <row r="11" spans="1:29" s="73" customFormat="1" ht="13.5">
      <c r="B11" s="104">
        <v>4</v>
      </c>
      <c r="C11" s="105" t="s">
        <v>2941</v>
      </c>
      <c r="D11" s="119"/>
      <c r="E11" s="107" t="s">
        <v>845</v>
      </c>
      <c r="F11" s="107">
        <v>4</v>
      </c>
      <c r="G11" s="108" t="s">
        <v>2942</v>
      </c>
      <c r="H11" s="109" t="s">
        <v>2940</v>
      </c>
      <c r="I11" s="110">
        <v>4</v>
      </c>
      <c r="J11" s="118" t="s">
        <v>2943</v>
      </c>
      <c r="K11" s="119" t="s">
        <v>1368</v>
      </c>
      <c r="L11" s="113" t="s">
        <v>2579</v>
      </c>
      <c r="M11" s="112">
        <v>1000</v>
      </c>
      <c r="N11" s="108" t="s">
        <v>2942</v>
      </c>
      <c r="O11" s="108"/>
      <c r="P11" s="119"/>
      <c r="Q11" s="119"/>
      <c r="R11" s="108"/>
      <c r="S11" s="134"/>
      <c r="Z11" s="116" t="s">
        <v>873</v>
      </c>
      <c r="AA11" s="116" t="s">
        <v>858</v>
      </c>
      <c r="AB11" s="116" t="s">
        <v>874</v>
      </c>
      <c r="AC11" s="116" t="s">
        <v>875</v>
      </c>
    </row>
    <row r="12" spans="1:29" s="73" customFormat="1" ht="13.5">
      <c r="B12" s="104">
        <v>5</v>
      </c>
      <c r="C12" s="105"/>
      <c r="D12" s="119"/>
      <c r="E12" s="107"/>
      <c r="F12" s="107"/>
      <c r="G12" s="108"/>
      <c r="H12" s="109"/>
      <c r="I12" s="110">
        <v>5</v>
      </c>
      <c r="J12" s="118"/>
      <c r="K12" s="119"/>
      <c r="L12" s="113"/>
      <c r="M12" s="112"/>
      <c r="N12" s="108"/>
      <c r="O12" s="108"/>
      <c r="P12" s="119"/>
      <c r="Q12" s="119"/>
      <c r="R12" s="108"/>
      <c r="S12" s="134"/>
      <c r="Z12" s="116" t="s">
        <v>880</v>
      </c>
      <c r="AA12" s="116" t="s">
        <v>881</v>
      </c>
      <c r="AB12" s="116" t="s">
        <v>882</v>
      </c>
      <c r="AC12" s="116" t="s">
        <v>883</v>
      </c>
    </row>
    <row r="13" spans="1:29" s="73" customFormat="1" ht="13.5">
      <c r="B13" s="104">
        <v>6</v>
      </c>
      <c r="C13" s="105"/>
      <c r="D13" s="119"/>
      <c r="E13" s="107"/>
      <c r="F13" s="107"/>
      <c r="G13" s="108"/>
      <c r="H13" s="109"/>
      <c r="I13" s="110">
        <v>6</v>
      </c>
      <c r="J13" s="118"/>
      <c r="K13" s="119"/>
      <c r="L13" s="113"/>
      <c r="M13" s="112"/>
      <c r="N13" s="108"/>
      <c r="O13" s="108"/>
      <c r="P13" s="119"/>
      <c r="Q13" s="112"/>
      <c r="R13" s="114"/>
      <c r="S13" s="134"/>
      <c r="Z13" s="116" t="s">
        <v>888</v>
      </c>
      <c r="AA13" s="116" t="s">
        <v>889</v>
      </c>
      <c r="AB13" s="116" t="s">
        <v>890</v>
      </c>
      <c r="AC13" s="116" t="s">
        <v>891</v>
      </c>
    </row>
    <row r="14" spans="1:29" s="73" customFormat="1" ht="13.5">
      <c r="B14" s="104">
        <v>7</v>
      </c>
      <c r="C14" s="105"/>
      <c r="D14" s="119"/>
      <c r="E14" s="107"/>
      <c r="F14" s="107"/>
      <c r="G14" s="108"/>
      <c r="H14" s="109"/>
      <c r="I14" s="110">
        <v>7</v>
      </c>
      <c r="J14" s="118"/>
      <c r="K14" s="106"/>
      <c r="L14" s="113"/>
      <c r="M14" s="112"/>
      <c r="N14" s="108"/>
      <c r="O14" s="108"/>
      <c r="P14" s="119"/>
      <c r="Q14" s="112"/>
      <c r="R14" s="114"/>
      <c r="S14" s="134"/>
      <c r="Z14" s="116" t="s">
        <v>896</v>
      </c>
      <c r="AA14" s="116" t="s">
        <v>849</v>
      </c>
      <c r="AB14" s="116" t="s">
        <v>897</v>
      </c>
      <c r="AC14" s="116" t="s">
        <v>898</v>
      </c>
    </row>
    <row r="15" spans="1:29" s="73" customFormat="1" ht="13.5">
      <c r="B15" s="104">
        <v>8</v>
      </c>
      <c r="C15" s="105"/>
      <c r="D15" s="119"/>
      <c r="E15" s="107"/>
      <c r="F15" s="107"/>
      <c r="G15" s="108"/>
      <c r="H15" s="109"/>
      <c r="I15" s="110">
        <v>8</v>
      </c>
      <c r="J15" s="118"/>
      <c r="K15" s="106"/>
      <c r="L15" s="113"/>
      <c r="M15" s="112"/>
      <c r="N15" s="108"/>
      <c r="O15" s="108"/>
      <c r="P15" s="119"/>
      <c r="Q15" s="112"/>
      <c r="R15" s="114"/>
      <c r="S15" s="134"/>
      <c r="Z15" s="116" t="s">
        <v>903</v>
      </c>
      <c r="AA15" s="116" t="s">
        <v>858</v>
      </c>
      <c r="AB15" s="116" t="s">
        <v>904</v>
      </c>
      <c r="AC15" s="116" t="s">
        <v>860</v>
      </c>
    </row>
    <row r="16" spans="1:29" s="73" customFormat="1" ht="13.5">
      <c r="B16" s="104">
        <v>9</v>
      </c>
      <c r="C16" s="105"/>
      <c r="D16" s="119"/>
      <c r="E16" s="107"/>
      <c r="F16" s="107"/>
      <c r="G16" s="108"/>
      <c r="H16" s="109"/>
      <c r="I16" s="110">
        <v>9</v>
      </c>
      <c r="J16" s="118"/>
      <c r="K16" s="106"/>
      <c r="L16" s="113"/>
      <c r="M16" s="112"/>
      <c r="N16" s="108"/>
      <c r="O16" s="108"/>
      <c r="P16" s="119"/>
      <c r="Q16" s="112"/>
      <c r="R16" s="114"/>
      <c r="S16" s="134"/>
      <c r="Z16" s="116" t="s">
        <v>909</v>
      </c>
      <c r="AA16" s="116" t="s">
        <v>858</v>
      </c>
      <c r="AB16" s="116" t="s">
        <v>910</v>
      </c>
      <c r="AC16" s="116" t="s">
        <v>911</v>
      </c>
    </row>
    <row r="17" spans="2:29" s="73" customFormat="1" ht="13.5">
      <c r="B17" s="104">
        <v>10</v>
      </c>
      <c r="C17" s="105"/>
      <c r="D17" s="119"/>
      <c r="E17" s="107"/>
      <c r="F17" s="107"/>
      <c r="G17" s="108"/>
      <c r="H17" s="109"/>
      <c r="I17" s="110">
        <v>10</v>
      </c>
      <c r="J17" s="117"/>
      <c r="K17" s="120"/>
      <c r="L17" s="113"/>
      <c r="M17" s="112"/>
      <c r="N17" s="108"/>
      <c r="O17" s="108"/>
      <c r="P17" s="112"/>
      <c r="Q17" s="112"/>
      <c r="R17" s="114"/>
      <c r="S17" s="134"/>
      <c r="Z17" s="116" t="s">
        <v>920</v>
      </c>
      <c r="AA17" s="116" t="s">
        <v>849</v>
      </c>
      <c r="AB17" s="116" t="s">
        <v>921</v>
      </c>
      <c r="AC17" s="116" t="s">
        <v>922</v>
      </c>
    </row>
    <row r="18" spans="2:29" s="73" customFormat="1" ht="13.5">
      <c r="B18" s="104">
        <v>11</v>
      </c>
      <c r="C18" s="105"/>
      <c r="D18" s="119"/>
      <c r="E18" s="107"/>
      <c r="F18" s="107"/>
      <c r="G18" s="108"/>
      <c r="H18" s="109"/>
      <c r="I18" s="110">
        <v>11</v>
      </c>
      <c r="J18" s="117"/>
      <c r="K18" s="112"/>
      <c r="L18" s="113"/>
      <c r="M18" s="112"/>
      <c r="N18" s="114"/>
      <c r="O18" s="114"/>
      <c r="P18" s="112"/>
      <c r="Q18" s="112"/>
      <c r="R18" s="114"/>
      <c r="S18" s="134"/>
      <c r="Z18" s="116" t="s">
        <v>931</v>
      </c>
      <c r="AA18" s="116" t="s">
        <v>932</v>
      </c>
      <c r="AB18" s="116" t="s">
        <v>933</v>
      </c>
      <c r="AC18" s="116" t="s">
        <v>934</v>
      </c>
    </row>
    <row r="19" spans="2:29" s="73" customFormat="1" ht="13.5">
      <c r="B19" s="104">
        <v>12</v>
      </c>
      <c r="C19" s="121"/>
      <c r="D19" s="119"/>
      <c r="E19" s="107"/>
      <c r="F19" s="107"/>
      <c r="G19" s="108"/>
      <c r="H19" s="109"/>
      <c r="I19" s="110">
        <v>12</v>
      </c>
      <c r="J19" s="117"/>
      <c r="K19" s="120"/>
      <c r="L19" s="113"/>
      <c r="M19" s="112"/>
      <c r="N19" s="114"/>
      <c r="O19" s="114"/>
      <c r="P19" s="112"/>
      <c r="Q19" s="112"/>
      <c r="R19" s="114"/>
      <c r="S19" s="134"/>
      <c r="Z19" s="116" t="s">
        <v>941</v>
      </c>
      <c r="AA19" s="116" t="s">
        <v>942</v>
      </c>
      <c r="AB19" s="116" t="s">
        <v>943</v>
      </c>
      <c r="AC19" s="116" t="s">
        <v>944</v>
      </c>
    </row>
    <row r="20" spans="2:29" s="73" customFormat="1" ht="13.5">
      <c r="B20" s="104">
        <v>13</v>
      </c>
      <c r="C20" s="121"/>
      <c r="D20" s="119"/>
      <c r="E20" s="107"/>
      <c r="F20" s="107"/>
      <c r="G20" s="108"/>
      <c r="H20" s="109"/>
      <c r="I20" s="110">
        <v>13</v>
      </c>
      <c r="J20" s="117"/>
      <c r="K20" s="120"/>
      <c r="L20" s="113"/>
      <c r="M20" s="112"/>
      <c r="N20" s="114"/>
      <c r="O20" s="114"/>
      <c r="P20" s="112"/>
      <c r="Q20" s="112"/>
      <c r="R20" s="114"/>
      <c r="S20" s="134"/>
      <c r="Z20" s="116" t="s">
        <v>952</v>
      </c>
      <c r="AA20" s="116" t="s">
        <v>942</v>
      </c>
      <c r="AB20" s="116" t="s">
        <v>953</v>
      </c>
      <c r="AC20" s="116" t="s">
        <v>954</v>
      </c>
    </row>
    <row r="21" spans="2:29" s="73" customFormat="1" ht="13.5">
      <c r="B21" s="104">
        <v>14</v>
      </c>
      <c r="C21" s="121"/>
      <c r="D21" s="119"/>
      <c r="E21" s="107"/>
      <c r="F21" s="107"/>
      <c r="G21" s="108"/>
      <c r="H21" s="109"/>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c r="D22" s="119"/>
      <c r="E22" s="107"/>
      <c r="F22" s="107"/>
      <c r="G22" s="108"/>
      <c r="H22" s="109"/>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6024F4D4-469A-4943-ABE6-037DF959313B}"/>
  </hyperlinks>
  <pageMargins left="0.7" right="0.7" top="0.75" bottom="0.75" header="0.3" footer="0.3"/>
  <customProperties>
    <customPr name="_pios_id" r:id="rId1"/>
  </customPropertie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3F52C-B631-4933-8EEB-A0D2B57968A3}">
  <sheetPr>
    <tabColor theme="9" tint="0.79998168889431442"/>
  </sheetPr>
  <dimension ref="A1:AC96"/>
  <sheetViews>
    <sheetView showGridLines="0" workbookViewId="0">
      <selection activeCell="J8" sqref="J8:N9"/>
    </sheetView>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2944</v>
      </c>
      <c r="C2" s="993"/>
      <c r="D2" s="993"/>
      <c r="E2" s="993"/>
      <c r="F2" s="993"/>
      <c r="G2" s="993"/>
      <c r="H2" s="993"/>
      <c r="I2" s="994"/>
      <c r="J2" s="70" t="s">
        <v>816</v>
      </c>
      <c r="K2" s="998" t="s">
        <v>145</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c r="D6" s="984"/>
      <c r="E6" s="984"/>
      <c r="F6" s="984"/>
      <c r="G6" s="984"/>
      <c r="H6" s="986"/>
      <c r="I6" s="102" t="s">
        <v>829</v>
      </c>
      <c r="J6" s="988"/>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209" t="s">
        <v>2945</v>
      </c>
      <c r="D8" s="205" t="s">
        <v>1870</v>
      </c>
      <c r="E8" s="206" t="s">
        <v>845</v>
      </c>
      <c r="F8" s="208">
        <v>4</v>
      </c>
      <c r="G8" s="216" t="s">
        <v>1873</v>
      </c>
      <c r="H8" s="109"/>
      <c r="I8" s="110">
        <v>1</v>
      </c>
      <c r="J8" s="491" t="s">
        <v>2862</v>
      </c>
      <c r="K8" s="484" t="s">
        <v>2810</v>
      </c>
      <c r="L8" s="483" t="s">
        <v>2579</v>
      </c>
      <c r="M8" s="484">
        <v>1000</v>
      </c>
      <c r="N8" s="504" t="s">
        <v>862</v>
      </c>
      <c r="O8" s="114"/>
      <c r="P8" s="112"/>
      <c r="Q8" s="112"/>
      <c r="R8" s="114"/>
      <c r="S8" s="134"/>
      <c r="Z8" s="116" t="s">
        <v>848</v>
      </c>
      <c r="AA8" s="116" t="s">
        <v>849</v>
      </c>
      <c r="AB8" s="116" t="s">
        <v>850</v>
      </c>
      <c r="AC8" s="116" t="s">
        <v>851</v>
      </c>
    </row>
    <row r="9" spans="1:29" s="73" customFormat="1" ht="13.5">
      <c r="B9" s="104">
        <v>2</v>
      </c>
      <c r="C9" s="204" t="s">
        <v>2941</v>
      </c>
      <c r="D9" s="205"/>
      <c r="E9" s="206" t="s">
        <v>845</v>
      </c>
      <c r="F9" s="206">
        <v>4</v>
      </c>
      <c r="G9" s="204" t="s">
        <v>2942</v>
      </c>
      <c r="H9" s="109"/>
      <c r="I9" s="110">
        <v>2</v>
      </c>
      <c r="J9" s="495" t="s">
        <v>2943</v>
      </c>
      <c r="K9" s="480" t="s">
        <v>1368</v>
      </c>
      <c r="L9" s="486" t="s">
        <v>2579</v>
      </c>
      <c r="M9" s="487">
        <v>1000</v>
      </c>
      <c r="N9" s="499" t="s">
        <v>2942</v>
      </c>
      <c r="O9" s="114"/>
      <c r="P9" s="112"/>
      <c r="Q9" s="112"/>
      <c r="R9" s="114"/>
      <c r="S9" s="134"/>
      <c r="T9" s="71"/>
      <c r="Z9" s="116" t="s">
        <v>857</v>
      </c>
      <c r="AA9" s="116" t="s">
        <v>858</v>
      </c>
      <c r="AB9" s="116" t="s">
        <v>859</v>
      </c>
      <c r="AC9" s="116" t="s">
        <v>860</v>
      </c>
    </row>
    <row r="10" spans="1:29" s="73" customFormat="1" ht="13.5">
      <c r="B10" s="104">
        <v>3</v>
      </c>
      <c r="C10" s="105"/>
      <c r="D10" s="119"/>
      <c r="E10" s="107"/>
      <c r="F10" s="107"/>
      <c r="G10" s="108"/>
      <c r="H10" s="109"/>
      <c r="I10" s="110">
        <v>3</v>
      </c>
      <c r="J10" s="117"/>
      <c r="K10" s="119"/>
      <c r="L10" s="113"/>
      <c r="M10" s="112"/>
      <c r="N10" s="114"/>
      <c r="O10" s="114"/>
      <c r="P10" s="112"/>
      <c r="Q10" s="112"/>
      <c r="R10" s="114"/>
      <c r="S10" s="134"/>
      <c r="T10" s="71"/>
      <c r="Z10" s="116" t="s">
        <v>865</v>
      </c>
      <c r="AA10" s="116" t="s">
        <v>866</v>
      </c>
      <c r="AB10" s="116" t="s">
        <v>867</v>
      </c>
      <c r="AC10" s="116" t="s">
        <v>868</v>
      </c>
    </row>
    <row r="11" spans="1:29" s="73" customFormat="1" ht="13.5">
      <c r="B11" s="104">
        <v>4</v>
      </c>
      <c r="C11" s="105"/>
      <c r="D11" s="119"/>
      <c r="E11" s="107"/>
      <c r="F11" s="107"/>
      <c r="G11" s="108"/>
      <c r="H11" s="109"/>
      <c r="I11" s="110">
        <v>4</v>
      </c>
      <c r="J11" s="118"/>
      <c r="K11" s="119"/>
      <c r="L11" s="113"/>
      <c r="M11" s="112"/>
      <c r="N11" s="108"/>
      <c r="O11" s="108"/>
      <c r="P11" s="119"/>
      <c r="Q11" s="119"/>
      <c r="R11" s="108"/>
      <c r="S11" s="134"/>
      <c r="Z11" s="116" t="s">
        <v>873</v>
      </c>
      <c r="AA11" s="116" t="s">
        <v>858</v>
      </c>
      <c r="AB11" s="116" t="s">
        <v>874</v>
      </c>
      <c r="AC11" s="116" t="s">
        <v>875</v>
      </c>
    </row>
    <row r="12" spans="1:29" s="73" customFormat="1" ht="13.5">
      <c r="B12" s="104">
        <v>5</v>
      </c>
      <c r="C12" s="105"/>
      <c r="D12" s="119"/>
      <c r="E12" s="107"/>
      <c r="F12" s="107"/>
      <c r="G12" s="108"/>
      <c r="H12" s="109"/>
      <c r="I12" s="110">
        <v>5</v>
      </c>
      <c r="J12" s="118"/>
      <c r="K12" s="119"/>
      <c r="L12" s="113"/>
      <c r="M12" s="112"/>
      <c r="N12" s="108"/>
      <c r="O12" s="108"/>
      <c r="P12" s="119"/>
      <c r="Q12" s="119"/>
      <c r="R12" s="108"/>
      <c r="S12" s="134"/>
      <c r="Z12" s="116" t="s">
        <v>880</v>
      </c>
      <c r="AA12" s="116" t="s">
        <v>881</v>
      </c>
      <c r="AB12" s="116" t="s">
        <v>882</v>
      </c>
      <c r="AC12" s="116" t="s">
        <v>883</v>
      </c>
    </row>
    <row r="13" spans="1:29" s="73" customFormat="1" ht="13.5">
      <c r="B13" s="104">
        <v>6</v>
      </c>
      <c r="C13" s="105"/>
      <c r="D13" s="119"/>
      <c r="E13" s="107"/>
      <c r="F13" s="107"/>
      <c r="G13" s="108"/>
      <c r="H13" s="109"/>
      <c r="I13" s="110">
        <v>6</v>
      </c>
      <c r="J13" s="118"/>
      <c r="K13" s="119"/>
      <c r="L13" s="113"/>
      <c r="M13" s="112"/>
      <c r="N13" s="108"/>
      <c r="O13" s="108"/>
      <c r="P13" s="119"/>
      <c r="Q13" s="112"/>
      <c r="R13" s="114"/>
      <c r="S13" s="134"/>
      <c r="Z13" s="116" t="s">
        <v>888</v>
      </c>
      <c r="AA13" s="116" t="s">
        <v>889</v>
      </c>
      <c r="AB13" s="116" t="s">
        <v>890</v>
      </c>
      <c r="AC13" s="116" t="s">
        <v>891</v>
      </c>
    </row>
    <row r="14" spans="1:29" s="73" customFormat="1" ht="13.5">
      <c r="B14" s="104">
        <v>7</v>
      </c>
      <c r="C14" s="105"/>
      <c r="D14" s="119"/>
      <c r="E14" s="107"/>
      <c r="F14" s="107"/>
      <c r="G14" s="108"/>
      <c r="H14" s="109"/>
      <c r="I14" s="110">
        <v>7</v>
      </c>
      <c r="J14" s="118"/>
      <c r="K14" s="106"/>
      <c r="L14" s="113"/>
      <c r="M14" s="112"/>
      <c r="N14" s="108"/>
      <c r="O14" s="108"/>
      <c r="P14" s="119"/>
      <c r="Q14" s="112"/>
      <c r="R14" s="114"/>
      <c r="S14" s="134"/>
      <c r="Z14" s="116" t="s">
        <v>896</v>
      </c>
      <c r="AA14" s="116" t="s">
        <v>849</v>
      </c>
      <c r="AB14" s="116" t="s">
        <v>897</v>
      </c>
      <c r="AC14" s="116" t="s">
        <v>898</v>
      </c>
    </row>
    <row r="15" spans="1:29" s="73" customFormat="1" ht="13.5">
      <c r="B15" s="104">
        <v>8</v>
      </c>
      <c r="C15" s="105"/>
      <c r="D15" s="119"/>
      <c r="E15" s="107"/>
      <c r="F15" s="107"/>
      <c r="G15" s="108"/>
      <c r="H15" s="109"/>
      <c r="I15" s="110">
        <v>8</v>
      </c>
      <c r="J15" s="118"/>
      <c r="K15" s="106"/>
      <c r="L15" s="113"/>
      <c r="M15" s="112"/>
      <c r="N15" s="108"/>
      <c r="O15" s="108"/>
      <c r="P15" s="119"/>
      <c r="Q15" s="112"/>
      <c r="R15" s="114"/>
      <c r="S15" s="134"/>
      <c r="Z15" s="116" t="s">
        <v>903</v>
      </c>
      <c r="AA15" s="116" t="s">
        <v>858</v>
      </c>
      <c r="AB15" s="116" t="s">
        <v>904</v>
      </c>
      <c r="AC15" s="116" t="s">
        <v>860</v>
      </c>
    </row>
    <row r="16" spans="1:29" s="73" customFormat="1" ht="13.5">
      <c r="B16" s="104">
        <v>9</v>
      </c>
      <c r="C16" s="105"/>
      <c r="D16" s="119"/>
      <c r="E16" s="107"/>
      <c r="F16" s="107"/>
      <c r="G16" s="108"/>
      <c r="H16" s="109"/>
      <c r="I16" s="110">
        <v>9</v>
      </c>
      <c r="J16" s="118"/>
      <c r="K16" s="106"/>
      <c r="L16" s="113"/>
      <c r="M16" s="112"/>
      <c r="N16" s="108"/>
      <c r="O16" s="108"/>
      <c r="P16" s="119"/>
      <c r="Q16" s="112"/>
      <c r="R16" s="114"/>
      <c r="S16" s="134"/>
      <c r="Z16" s="116" t="s">
        <v>909</v>
      </c>
      <c r="AA16" s="116" t="s">
        <v>858</v>
      </c>
      <c r="AB16" s="116" t="s">
        <v>910</v>
      </c>
      <c r="AC16" s="116" t="s">
        <v>911</v>
      </c>
    </row>
    <row r="17" spans="2:29" s="73" customFormat="1" ht="13.5">
      <c r="B17" s="104">
        <v>10</v>
      </c>
      <c r="C17" s="105"/>
      <c r="D17" s="119"/>
      <c r="E17" s="107"/>
      <c r="F17" s="107"/>
      <c r="G17" s="108"/>
      <c r="H17" s="109"/>
      <c r="I17" s="110">
        <v>10</v>
      </c>
      <c r="J17" s="117"/>
      <c r="K17" s="120"/>
      <c r="L17" s="113"/>
      <c r="M17" s="112"/>
      <c r="N17" s="108"/>
      <c r="O17" s="108"/>
      <c r="P17" s="112"/>
      <c r="Q17" s="112"/>
      <c r="R17" s="114"/>
      <c r="S17" s="134"/>
      <c r="Z17" s="116" t="s">
        <v>920</v>
      </c>
      <c r="AA17" s="116" t="s">
        <v>849</v>
      </c>
      <c r="AB17" s="116" t="s">
        <v>921</v>
      </c>
      <c r="AC17" s="116" t="s">
        <v>922</v>
      </c>
    </row>
    <row r="18" spans="2:29" s="73" customFormat="1" ht="13.5">
      <c r="B18" s="104">
        <v>11</v>
      </c>
      <c r="C18" s="105"/>
      <c r="D18" s="119"/>
      <c r="E18" s="107"/>
      <c r="F18" s="107"/>
      <c r="G18" s="108"/>
      <c r="H18" s="109"/>
      <c r="I18" s="110">
        <v>11</v>
      </c>
      <c r="J18" s="117"/>
      <c r="K18" s="112"/>
      <c r="L18" s="113"/>
      <c r="M18" s="112"/>
      <c r="N18" s="114"/>
      <c r="O18" s="114"/>
      <c r="P18" s="112"/>
      <c r="Q18" s="112"/>
      <c r="R18" s="114"/>
      <c r="S18" s="134"/>
      <c r="Z18" s="116" t="s">
        <v>931</v>
      </c>
      <c r="AA18" s="116" t="s">
        <v>932</v>
      </c>
      <c r="AB18" s="116" t="s">
        <v>933</v>
      </c>
      <c r="AC18" s="116" t="s">
        <v>934</v>
      </c>
    </row>
    <row r="19" spans="2:29" s="73" customFormat="1" ht="13.5">
      <c r="B19" s="104">
        <v>12</v>
      </c>
      <c r="C19" s="121"/>
      <c r="D19" s="119"/>
      <c r="E19" s="107"/>
      <c r="F19" s="107"/>
      <c r="G19" s="108"/>
      <c r="H19" s="109"/>
      <c r="I19" s="110">
        <v>12</v>
      </c>
      <c r="J19" s="117"/>
      <c r="K19" s="120"/>
      <c r="L19" s="113"/>
      <c r="M19" s="112"/>
      <c r="N19" s="114"/>
      <c r="O19" s="114"/>
      <c r="P19" s="112"/>
      <c r="Q19" s="112"/>
      <c r="R19" s="114"/>
      <c r="S19" s="134"/>
      <c r="Z19" s="116" t="s">
        <v>941</v>
      </c>
      <c r="AA19" s="116" t="s">
        <v>942</v>
      </c>
      <c r="AB19" s="116" t="s">
        <v>943</v>
      </c>
      <c r="AC19" s="116" t="s">
        <v>944</v>
      </c>
    </row>
    <row r="20" spans="2:29" s="73" customFormat="1" ht="13.5">
      <c r="B20" s="104">
        <v>13</v>
      </c>
      <c r="C20" s="121"/>
      <c r="D20" s="119"/>
      <c r="E20" s="107"/>
      <c r="F20" s="107"/>
      <c r="G20" s="108"/>
      <c r="H20" s="109"/>
      <c r="I20" s="110">
        <v>13</v>
      </c>
      <c r="J20" s="117"/>
      <c r="K20" s="120"/>
      <c r="L20" s="113"/>
      <c r="M20" s="112"/>
      <c r="N20" s="114"/>
      <c r="O20" s="114"/>
      <c r="P20" s="112"/>
      <c r="Q20" s="112"/>
      <c r="R20" s="114"/>
      <c r="S20" s="134"/>
      <c r="Z20" s="116" t="s">
        <v>952</v>
      </c>
      <c r="AA20" s="116" t="s">
        <v>942</v>
      </c>
      <c r="AB20" s="116" t="s">
        <v>953</v>
      </c>
      <c r="AC20" s="116" t="s">
        <v>954</v>
      </c>
    </row>
    <row r="21" spans="2:29" s="73" customFormat="1" ht="13.5">
      <c r="B21" s="104">
        <v>14</v>
      </c>
      <c r="C21" s="121"/>
      <c r="D21" s="119"/>
      <c r="E21" s="107"/>
      <c r="F21" s="107"/>
      <c r="G21" s="108"/>
      <c r="H21" s="109"/>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c r="D22" s="119"/>
      <c r="E22" s="107"/>
      <c r="F22" s="107"/>
      <c r="G22" s="108"/>
      <c r="H22" s="109"/>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C44C3CFC-DAF0-4EB8-8058-C745DD7EB25A}"/>
  </hyperlinks>
  <pageMargins left="0.7" right="0.7" top="0.75" bottom="0.75" header="0.3" footer="0.3"/>
  <customProperties>
    <customPr name="_pios_id" r:id="rId1"/>
  </customPropertie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312A0-3454-4CA9-8AA7-7E70B442A757}">
  <sheetPr>
    <tabColor theme="9" tint="0.79998168889431442"/>
  </sheetPr>
  <dimension ref="A1:AC96"/>
  <sheetViews>
    <sheetView showGridLines="0" workbookViewId="0">
      <selection activeCell="N11" sqref="N11"/>
    </sheetView>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2946</v>
      </c>
      <c r="C2" s="993"/>
      <c r="D2" s="993"/>
      <c r="E2" s="993"/>
      <c r="F2" s="993"/>
      <c r="G2" s="993"/>
      <c r="H2" s="993"/>
      <c r="I2" s="994"/>
      <c r="J2" s="70" t="s">
        <v>816</v>
      </c>
      <c r="K2" s="998" t="s">
        <v>145</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c r="D6" s="984"/>
      <c r="E6" s="984"/>
      <c r="F6" s="984"/>
      <c r="G6" s="984"/>
      <c r="H6" s="986"/>
      <c r="I6" s="102" t="s">
        <v>829</v>
      </c>
      <c r="J6" s="988"/>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207" t="s">
        <v>2947</v>
      </c>
      <c r="D8" s="205" t="s">
        <v>1870</v>
      </c>
      <c r="E8" s="206" t="s">
        <v>845</v>
      </c>
      <c r="F8" s="206">
        <v>10</v>
      </c>
      <c r="G8" s="216" t="s">
        <v>2948</v>
      </c>
      <c r="H8" s="109"/>
      <c r="I8" s="110">
        <v>1</v>
      </c>
      <c r="J8" s="491" t="s">
        <v>2903</v>
      </c>
      <c r="K8" s="484" t="s">
        <v>2810</v>
      </c>
      <c r="L8" s="483" t="s">
        <v>2579</v>
      </c>
      <c r="M8" s="484">
        <v>1000</v>
      </c>
      <c r="N8" s="483" t="s">
        <v>1922</v>
      </c>
      <c r="O8" s="114"/>
      <c r="P8" s="112"/>
      <c r="Q8" s="112"/>
      <c r="R8" s="114"/>
      <c r="S8" s="134"/>
      <c r="Z8" s="116" t="s">
        <v>848</v>
      </c>
      <c r="AA8" s="116" t="s">
        <v>849</v>
      </c>
      <c r="AB8" s="116" t="s">
        <v>850</v>
      </c>
      <c r="AC8" s="116" t="s">
        <v>851</v>
      </c>
    </row>
    <row r="9" spans="1:29" s="73" customFormat="1" ht="13.5">
      <c r="B9" s="104">
        <v>2</v>
      </c>
      <c r="C9" s="204" t="s">
        <v>2949</v>
      </c>
      <c r="D9" s="205"/>
      <c r="E9" s="206" t="s">
        <v>845</v>
      </c>
      <c r="F9" s="208">
        <v>2</v>
      </c>
      <c r="G9" s="204" t="s">
        <v>2918</v>
      </c>
      <c r="H9" s="109"/>
      <c r="I9" s="110">
        <v>2</v>
      </c>
      <c r="J9" s="495" t="s">
        <v>2904</v>
      </c>
      <c r="K9" s="480" t="s">
        <v>1368</v>
      </c>
      <c r="L9" s="486" t="s">
        <v>2579</v>
      </c>
      <c r="M9" s="487">
        <v>1000</v>
      </c>
      <c r="N9" s="486" t="s">
        <v>2918</v>
      </c>
      <c r="O9" s="114"/>
      <c r="P9" s="112"/>
      <c r="Q9" s="112"/>
      <c r="R9" s="114"/>
      <c r="S9" s="134"/>
      <c r="T9" s="71"/>
      <c r="Z9" s="116" t="s">
        <v>857</v>
      </c>
      <c r="AA9" s="116" t="s">
        <v>858</v>
      </c>
      <c r="AB9" s="116" t="s">
        <v>859</v>
      </c>
      <c r="AC9" s="116" t="s">
        <v>860</v>
      </c>
    </row>
    <row r="10" spans="1:29" s="73" customFormat="1" ht="27">
      <c r="B10" s="104">
        <v>3</v>
      </c>
      <c r="C10" s="345" t="s">
        <v>2950</v>
      </c>
      <c r="D10" s="338"/>
      <c r="E10" s="346" t="s">
        <v>845</v>
      </c>
      <c r="F10" s="339"/>
      <c r="G10" s="340" t="s">
        <v>2951</v>
      </c>
      <c r="H10" s="341"/>
      <c r="I10" s="110">
        <v>3</v>
      </c>
      <c r="J10" s="495" t="s">
        <v>2922</v>
      </c>
      <c r="K10" s="480" t="s">
        <v>1368</v>
      </c>
      <c r="L10" s="486" t="s">
        <v>2579</v>
      </c>
      <c r="M10" s="487">
        <v>1000</v>
      </c>
      <c r="N10" s="486" t="s">
        <v>2921</v>
      </c>
      <c r="O10" s="114"/>
      <c r="P10" s="112"/>
      <c r="Q10" s="112"/>
      <c r="R10" s="114"/>
      <c r="S10" s="134"/>
      <c r="T10" s="71" t="s">
        <v>2952</v>
      </c>
      <c r="Z10" s="116" t="s">
        <v>865</v>
      </c>
      <c r="AA10" s="116" t="s">
        <v>866</v>
      </c>
      <c r="AB10" s="116" t="s">
        <v>867</v>
      </c>
      <c r="AC10" s="116" t="s">
        <v>868</v>
      </c>
    </row>
    <row r="11" spans="1:29" s="73" customFormat="1" ht="40.5">
      <c r="B11" s="104">
        <v>4</v>
      </c>
      <c r="C11" s="345" t="s">
        <v>2953</v>
      </c>
      <c r="D11" s="338"/>
      <c r="E11" s="346" t="s">
        <v>845</v>
      </c>
      <c r="F11" s="339"/>
      <c r="G11" s="340" t="s">
        <v>2954</v>
      </c>
      <c r="H11" s="341"/>
      <c r="I11" s="110">
        <v>4</v>
      </c>
      <c r="J11" s="501" t="s">
        <v>2925</v>
      </c>
      <c r="K11" s="480" t="s">
        <v>1368</v>
      </c>
      <c r="L11" s="486" t="s">
        <v>2579</v>
      </c>
      <c r="M11" s="487">
        <v>1000</v>
      </c>
      <c r="N11" s="497" t="s">
        <v>2924</v>
      </c>
      <c r="O11" s="108"/>
      <c r="P11" s="119"/>
      <c r="Q11" s="119"/>
      <c r="R11" s="108"/>
      <c r="S11" s="134"/>
      <c r="T11" s="71" t="s">
        <v>2952</v>
      </c>
      <c r="Z11" s="116" t="s">
        <v>873</v>
      </c>
      <c r="AA11" s="116" t="s">
        <v>858</v>
      </c>
      <c r="AB11" s="116" t="s">
        <v>874</v>
      </c>
      <c r="AC11" s="116" t="s">
        <v>875</v>
      </c>
    </row>
    <row r="12" spans="1:29" s="73" customFormat="1" ht="13.5">
      <c r="B12" s="104">
        <v>5</v>
      </c>
      <c r="C12" s="105"/>
      <c r="D12" s="119"/>
      <c r="E12" s="107"/>
      <c r="F12" s="107"/>
      <c r="G12" s="108"/>
      <c r="H12" s="109"/>
      <c r="I12" s="110">
        <v>5</v>
      </c>
      <c r="J12" s="118"/>
      <c r="K12" s="119"/>
      <c r="L12" s="113"/>
      <c r="M12" s="112"/>
      <c r="N12" s="108"/>
      <c r="O12" s="108"/>
      <c r="P12" s="119"/>
      <c r="Q12" s="119"/>
      <c r="R12" s="108"/>
      <c r="S12" s="134"/>
      <c r="Z12" s="116" t="s">
        <v>880</v>
      </c>
      <c r="AA12" s="116" t="s">
        <v>881</v>
      </c>
      <c r="AB12" s="116" t="s">
        <v>882</v>
      </c>
      <c r="AC12" s="116" t="s">
        <v>883</v>
      </c>
    </row>
    <row r="13" spans="1:29" s="73" customFormat="1" ht="13.5">
      <c r="B13" s="104">
        <v>6</v>
      </c>
      <c r="C13" s="105"/>
      <c r="D13" s="119"/>
      <c r="E13" s="107"/>
      <c r="F13" s="107"/>
      <c r="G13" s="108"/>
      <c r="H13" s="109"/>
      <c r="I13" s="110">
        <v>6</v>
      </c>
      <c r="J13" s="118"/>
      <c r="K13" s="119"/>
      <c r="L13" s="113"/>
      <c r="M13" s="112"/>
      <c r="N13" s="108"/>
      <c r="O13" s="108"/>
      <c r="P13" s="119"/>
      <c r="Q13" s="112"/>
      <c r="R13" s="114"/>
      <c r="S13" s="134"/>
      <c r="Z13" s="116" t="s">
        <v>888</v>
      </c>
      <c r="AA13" s="116" t="s">
        <v>889</v>
      </c>
      <c r="AB13" s="116" t="s">
        <v>890</v>
      </c>
      <c r="AC13" s="116" t="s">
        <v>891</v>
      </c>
    </row>
    <row r="14" spans="1:29" s="73" customFormat="1" ht="13.5">
      <c r="B14" s="104">
        <v>7</v>
      </c>
      <c r="C14" s="105"/>
      <c r="D14" s="119"/>
      <c r="E14" s="107"/>
      <c r="F14" s="107"/>
      <c r="G14" s="108"/>
      <c r="H14" s="109"/>
      <c r="I14" s="110">
        <v>7</v>
      </c>
      <c r="J14" s="118"/>
      <c r="K14" s="106"/>
      <c r="L14" s="113"/>
      <c r="M14" s="112"/>
      <c r="N14" s="108"/>
      <c r="O14" s="108"/>
      <c r="P14" s="119"/>
      <c r="Q14" s="112"/>
      <c r="R14" s="114"/>
      <c r="S14" s="134"/>
      <c r="Z14" s="116" t="s">
        <v>896</v>
      </c>
      <c r="AA14" s="116" t="s">
        <v>849</v>
      </c>
      <c r="AB14" s="116" t="s">
        <v>897</v>
      </c>
      <c r="AC14" s="116" t="s">
        <v>898</v>
      </c>
    </row>
    <row r="15" spans="1:29" s="73" customFormat="1" ht="13.5">
      <c r="B15" s="104">
        <v>8</v>
      </c>
      <c r="C15" s="105"/>
      <c r="D15" s="119"/>
      <c r="E15" s="107"/>
      <c r="F15" s="107"/>
      <c r="G15" s="108"/>
      <c r="H15" s="109"/>
      <c r="I15" s="110">
        <v>8</v>
      </c>
      <c r="J15" s="118"/>
      <c r="K15" s="106"/>
      <c r="L15" s="113"/>
      <c r="M15" s="112"/>
      <c r="N15" s="108"/>
      <c r="O15" s="108"/>
      <c r="P15" s="119"/>
      <c r="Q15" s="112"/>
      <c r="R15" s="114"/>
      <c r="S15" s="134"/>
      <c r="Z15" s="116" t="s">
        <v>903</v>
      </c>
      <c r="AA15" s="116" t="s">
        <v>858</v>
      </c>
      <c r="AB15" s="116" t="s">
        <v>904</v>
      </c>
      <c r="AC15" s="116" t="s">
        <v>860</v>
      </c>
    </row>
    <row r="16" spans="1:29" s="73" customFormat="1" ht="13.5">
      <c r="B16" s="104">
        <v>9</v>
      </c>
      <c r="C16" s="105"/>
      <c r="D16" s="119"/>
      <c r="E16" s="107"/>
      <c r="F16" s="107"/>
      <c r="G16" s="108"/>
      <c r="H16" s="109"/>
      <c r="I16" s="110">
        <v>9</v>
      </c>
      <c r="J16" s="118"/>
      <c r="K16" s="106"/>
      <c r="L16" s="113"/>
      <c r="M16" s="112"/>
      <c r="N16" s="108"/>
      <c r="O16" s="108"/>
      <c r="P16" s="119"/>
      <c r="Q16" s="112"/>
      <c r="R16" s="114"/>
      <c r="S16" s="134"/>
      <c r="Z16" s="116" t="s">
        <v>909</v>
      </c>
      <c r="AA16" s="116" t="s">
        <v>858</v>
      </c>
      <c r="AB16" s="116" t="s">
        <v>910</v>
      </c>
      <c r="AC16" s="116" t="s">
        <v>911</v>
      </c>
    </row>
    <row r="17" spans="2:29" s="73" customFormat="1" ht="13.5">
      <c r="B17" s="104">
        <v>10</v>
      </c>
      <c r="C17" s="105"/>
      <c r="D17" s="119"/>
      <c r="E17" s="107"/>
      <c r="F17" s="107"/>
      <c r="G17" s="108"/>
      <c r="H17" s="109"/>
      <c r="I17" s="110">
        <v>10</v>
      </c>
      <c r="J17" s="117"/>
      <c r="K17" s="120"/>
      <c r="L17" s="113"/>
      <c r="M17" s="112"/>
      <c r="N17" s="108"/>
      <c r="O17" s="108"/>
      <c r="P17" s="112"/>
      <c r="Q17" s="112"/>
      <c r="R17" s="114"/>
      <c r="S17" s="134"/>
      <c r="Z17" s="116" t="s">
        <v>920</v>
      </c>
      <c r="AA17" s="116" t="s">
        <v>849</v>
      </c>
      <c r="AB17" s="116" t="s">
        <v>921</v>
      </c>
      <c r="AC17" s="116" t="s">
        <v>922</v>
      </c>
    </row>
    <row r="18" spans="2:29" s="73" customFormat="1" ht="13.5">
      <c r="B18" s="104">
        <v>11</v>
      </c>
      <c r="C18" s="105"/>
      <c r="D18" s="119"/>
      <c r="E18" s="107"/>
      <c r="F18" s="107"/>
      <c r="G18" s="108"/>
      <c r="H18" s="109"/>
      <c r="I18" s="110">
        <v>11</v>
      </c>
      <c r="J18" s="117"/>
      <c r="K18" s="112"/>
      <c r="L18" s="113"/>
      <c r="M18" s="112"/>
      <c r="N18" s="114"/>
      <c r="O18" s="114"/>
      <c r="P18" s="112"/>
      <c r="Q18" s="112"/>
      <c r="R18" s="114"/>
      <c r="S18" s="134"/>
      <c r="Z18" s="116" t="s">
        <v>931</v>
      </c>
      <c r="AA18" s="116" t="s">
        <v>932</v>
      </c>
      <c r="AB18" s="116" t="s">
        <v>933</v>
      </c>
      <c r="AC18" s="116" t="s">
        <v>934</v>
      </c>
    </row>
    <row r="19" spans="2:29" s="73" customFormat="1" ht="13.5">
      <c r="B19" s="104">
        <v>12</v>
      </c>
      <c r="C19" s="121"/>
      <c r="D19" s="119"/>
      <c r="E19" s="107"/>
      <c r="F19" s="107"/>
      <c r="G19" s="108"/>
      <c r="H19" s="109"/>
      <c r="I19" s="110">
        <v>12</v>
      </c>
      <c r="J19" s="117"/>
      <c r="K19" s="120"/>
      <c r="L19" s="113"/>
      <c r="M19" s="112"/>
      <c r="N19" s="114"/>
      <c r="O19" s="114"/>
      <c r="P19" s="112"/>
      <c r="Q19" s="112"/>
      <c r="R19" s="114"/>
      <c r="S19" s="134"/>
      <c r="Z19" s="116" t="s">
        <v>941</v>
      </c>
      <c r="AA19" s="116" t="s">
        <v>942</v>
      </c>
      <c r="AB19" s="116" t="s">
        <v>943</v>
      </c>
      <c r="AC19" s="116" t="s">
        <v>944</v>
      </c>
    </row>
    <row r="20" spans="2:29" s="73" customFormat="1" ht="13.5">
      <c r="B20" s="104">
        <v>13</v>
      </c>
      <c r="C20" s="121"/>
      <c r="D20" s="119"/>
      <c r="E20" s="107"/>
      <c r="F20" s="107"/>
      <c r="G20" s="108"/>
      <c r="H20" s="109"/>
      <c r="I20" s="110">
        <v>13</v>
      </c>
      <c r="J20" s="117"/>
      <c r="K20" s="120"/>
      <c r="L20" s="113"/>
      <c r="M20" s="112"/>
      <c r="N20" s="114"/>
      <c r="O20" s="114"/>
      <c r="P20" s="112"/>
      <c r="Q20" s="112"/>
      <c r="R20" s="114"/>
      <c r="S20" s="134"/>
      <c r="Z20" s="116" t="s">
        <v>952</v>
      </c>
      <c r="AA20" s="116" t="s">
        <v>942</v>
      </c>
      <c r="AB20" s="116" t="s">
        <v>953</v>
      </c>
      <c r="AC20" s="116" t="s">
        <v>954</v>
      </c>
    </row>
    <row r="21" spans="2:29" s="73" customFormat="1" ht="13.5">
      <c r="B21" s="104">
        <v>14</v>
      </c>
      <c r="C21" s="121"/>
      <c r="D21" s="119"/>
      <c r="E21" s="107"/>
      <c r="F21" s="107"/>
      <c r="G21" s="108"/>
      <c r="H21" s="109"/>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c r="D22" s="119"/>
      <c r="E22" s="107"/>
      <c r="F22" s="107"/>
      <c r="G22" s="108"/>
      <c r="H22" s="109"/>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2150B412-819D-46EC-B708-3F049249A322}"/>
  </hyperlinks>
  <pageMargins left="0.7" right="0.7" top="0.75" bottom="0.75" header="0.3" footer="0.3"/>
  <customProperties>
    <customPr name="_pios_id" r:id="rId1"/>
  </customPropertie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BCA0-55C6-4C2D-B5A2-D8FB67F4D2DC}">
  <sheetPr>
    <tabColor theme="9" tint="0.79998168889431442"/>
  </sheetPr>
  <dimension ref="A1:AC96"/>
  <sheetViews>
    <sheetView showGridLines="0" workbookViewId="0">
      <selection activeCell="J8" sqref="J8:N11"/>
    </sheetView>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2955</v>
      </c>
      <c r="C2" s="993"/>
      <c r="D2" s="993"/>
      <c r="E2" s="993"/>
      <c r="F2" s="993"/>
      <c r="G2" s="993"/>
      <c r="H2" s="993"/>
      <c r="I2" s="994"/>
      <c r="J2" s="70" t="s">
        <v>816</v>
      </c>
      <c r="K2" s="998" t="s">
        <v>145</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823</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32.1" customHeight="1">
      <c r="B6" s="78" t="s">
        <v>828</v>
      </c>
      <c r="C6" s="987"/>
      <c r="D6" s="984"/>
      <c r="E6" s="984"/>
      <c r="F6" s="984"/>
      <c r="G6" s="984"/>
      <c r="H6" s="986"/>
      <c r="I6" s="102" t="s">
        <v>829</v>
      </c>
      <c r="J6" s="988"/>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25.5">
      <c r="B8" s="104">
        <v>1</v>
      </c>
      <c r="C8" s="209" t="s">
        <v>2956</v>
      </c>
      <c r="D8" s="205" t="s">
        <v>1870</v>
      </c>
      <c r="E8" s="206" t="s">
        <v>845</v>
      </c>
      <c r="F8" s="206">
        <v>10</v>
      </c>
      <c r="G8" s="216" t="s">
        <v>2948</v>
      </c>
      <c r="H8" s="109"/>
      <c r="I8" s="110">
        <v>1</v>
      </c>
      <c r="J8" s="491" t="s">
        <v>2903</v>
      </c>
      <c r="K8" s="484" t="s">
        <v>2810</v>
      </c>
      <c r="L8" s="483" t="s">
        <v>2579</v>
      </c>
      <c r="M8" s="484">
        <v>1000</v>
      </c>
      <c r="N8" s="504" t="s">
        <v>1922</v>
      </c>
      <c r="O8" s="114"/>
      <c r="P8" s="112"/>
      <c r="Q8" s="112"/>
      <c r="R8" s="114"/>
      <c r="S8" s="134"/>
      <c r="Z8" s="116" t="s">
        <v>848</v>
      </c>
      <c r="AA8" s="116" t="s">
        <v>849</v>
      </c>
      <c r="AB8" s="116" t="s">
        <v>850</v>
      </c>
      <c r="AC8" s="116" t="s">
        <v>851</v>
      </c>
    </row>
    <row r="9" spans="1:29" s="73" customFormat="1" ht="25.5">
      <c r="B9" s="104">
        <v>2</v>
      </c>
      <c r="C9" s="209" t="s">
        <v>2957</v>
      </c>
      <c r="D9" s="205" t="s">
        <v>1870</v>
      </c>
      <c r="E9" s="206" t="s">
        <v>845</v>
      </c>
      <c r="F9" s="206">
        <v>4</v>
      </c>
      <c r="G9" s="216" t="s">
        <v>2935</v>
      </c>
      <c r="H9" s="109"/>
      <c r="I9" s="110">
        <v>2</v>
      </c>
      <c r="J9" s="495" t="s">
        <v>2928</v>
      </c>
      <c r="K9" s="480" t="s">
        <v>2810</v>
      </c>
      <c r="L9" s="486" t="s">
        <v>2579</v>
      </c>
      <c r="M9" s="487">
        <v>1000</v>
      </c>
      <c r="N9" s="500" t="s">
        <v>853</v>
      </c>
      <c r="O9" s="114"/>
      <c r="P9" s="112"/>
      <c r="Q9" s="112"/>
      <c r="R9" s="114"/>
      <c r="S9" s="134"/>
      <c r="T9" s="71"/>
      <c r="Z9" s="116" t="s">
        <v>857</v>
      </c>
      <c r="AA9" s="116" t="s">
        <v>858</v>
      </c>
      <c r="AB9" s="116" t="s">
        <v>859</v>
      </c>
      <c r="AC9" s="116" t="s">
        <v>860</v>
      </c>
    </row>
    <row r="10" spans="1:29" s="73" customFormat="1" ht="13.5">
      <c r="B10" s="104">
        <v>3</v>
      </c>
      <c r="C10" s="209" t="s">
        <v>2929</v>
      </c>
      <c r="D10" s="205"/>
      <c r="E10" s="206" t="s">
        <v>845</v>
      </c>
      <c r="F10" s="206">
        <v>4</v>
      </c>
      <c r="G10" s="204" t="s">
        <v>2930</v>
      </c>
      <c r="H10" s="109"/>
      <c r="I10" s="110">
        <v>3</v>
      </c>
      <c r="J10" s="496" t="s">
        <v>2929</v>
      </c>
      <c r="K10" s="480" t="s">
        <v>1368</v>
      </c>
      <c r="L10" s="486" t="s">
        <v>2579</v>
      </c>
      <c r="M10" s="487">
        <v>1000</v>
      </c>
      <c r="N10" s="499" t="s">
        <v>2930</v>
      </c>
      <c r="O10" s="114"/>
      <c r="P10" s="112"/>
      <c r="Q10" s="112"/>
      <c r="R10" s="114"/>
      <c r="S10" s="134"/>
      <c r="T10" s="71"/>
      <c r="Z10" s="116" t="s">
        <v>865</v>
      </c>
      <c r="AA10" s="116" t="s">
        <v>866</v>
      </c>
      <c r="AB10" s="116" t="s">
        <v>867</v>
      </c>
      <c r="AC10" s="116" t="s">
        <v>868</v>
      </c>
    </row>
    <row r="11" spans="1:29" s="73" customFormat="1" ht="13.5">
      <c r="B11" s="104">
        <v>4</v>
      </c>
      <c r="C11" s="209" t="s">
        <v>2931</v>
      </c>
      <c r="D11" s="205"/>
      <c r="E11" s="206" t="s">
        <v>845</v>
      </c>
      <c r="F11" s="206">
        <v>4</v>
      </c>
      <c r="G11" s="204" t="s">
        <v>2932</v>
      </c>
      <c r="H11" s="109"/>
      <c r="I11" s="110">
        <v>4</v>
      </c>
      <c r="J11" s="496" t="s">
        <v>2931</v>
      </c>
      <c r="K11" s="480" t="s">
        <v>1368</v>
      </c>
      <c r="L11" s="486" t="s">
        <v>2579</v>
      </c>
      <c r="M11" s="487">
        <v>1000</v>
      </c>
      <c r="N11" s="499" t="s">
        <v>2932</v>
      </c>
      <c r="O11" s="108"/>
      <c r="P11" s="119"/>
      <c r="Q11" s="119"/>
      <c r="R11" s="108"/>
      <c r="S11" s="134"/>
      <c r="Z11" s="116" t="s">
        <v>873</v>
      </c>
      <c r="AA11" s="116" t="s">
        <v>858</v>
      </c>
      <c r="AB11" s="116" t="s">
        <v>874</v>
      </c>
      <c r="AC11" s="116" t="s">
        <v>875</v>
      </c>
    </row>
    <row r="12" spans="1:29" s="73" customFormat="1" ht="13.5">
      <c r="B12" s="104">
        <v>5</v>
      </c>
      <c r="C12" s="105"/>
      <c r="D12" s="119"/>
      <c r="E12" s="107"/>
      <c r="F12" s="107"/>
      <c r="G12" s="108"/>
      <c r="H12" s="109"/>
      <c r="I12" s="110">
        <v>5</v>
      </c>
      <c r="J12" s="118"/>
      <c r="K12" s="119"/>
      <c r="L12" s="113"/>
      <c r="M12" s="112"/>
      <c r="N12" s="108"/>
      <c r="O12" s="108"/>
      <c r="P12" s="119"/>
      <c r="Q12" s="119"/>
      <c r="R12" s="108"/>
      <c r="S12" s="134"/>
      <c r="Z12" s="116" t="s">
        <v>880</v>
      </c>
      <c r="AA12" s="116" t="s">
        <v>881</v>
      </c>
      <c r="AB12" s="116" t="s">
        <v>882</v>
      </c>
      <c r="AC12" s="116" t="s">
        <v>883</v>
      </c>
    </row>
    <row r="13" spans="1:29" s="73" customFormat="1" ht="13.5">
      <c r="B13" s="104">
        <v>6</v>
      </c>
      <c r="C13" s="105"/>
      <c r="D13" s="119"/>
      <c r="E13" s="107"/>
      <c r="F13" s="107"/>
      <c r="G13" s="108"/>
      <c r="H13" s="109"/>
      <c r="I13" s="110">
        <v>6</v>
      </c>
      <c r="J13" s="118"/>
      <c r="K13" s="119"/>
      <c r="L13" s="113"/>
      <c r="M13" s="112"/>
      <c r="N13" s="108"/>
      <c r="O13" s="108"/>
      <c r="P13" s="119"/>
      <c r="Q13" s="112"/>
      <c r="R13" s="114"/>
      <c r="S13" s="134"/>
      <c r="Z13" s="116" t="s">
        <v>888</v>
      </c>
      <c r="AA13" s="116" t="s">
        <v>889</v>
      </c>
      <c r="AB13" s="116" t="s">
        <v>890</v>
      </c>
      <c r="AC13" s="116" t="s">
        <v>891</v>
      </c>
    </row>
    <row r="14" spans="1:29" s="73" customFormat="1" ht="13.5">
      <c r="B14" s="104">
        <v>7</v>
      </c>
      <c r="C14" s="105"/>
      <c r="D14" s="119"/>
      <c r="E14" s="107"/>
      <c r="F14" s="107"/>
      <c r="G14" s="108"/>
      <c r="H14" s="109"/>
      <c r="I14" s="110">
        <v>7</v>
      </c>
      <c r="J14" s="118"/>
      <c r="K14" s="106"/>
      <c r="L14" s="113"/>
      <c r="M14" s="112"/>
      <c r="N14" s="108"/>
      <c r="O14" s="108"/>
      <c r="P14" s="119"/>
      <c r="Q14" s="112"/>
      <c r="R14" s="114"/>
      <c r="S14" s="134"/>
      <c r="Z14" s="116" t="s">
        <v>896</v>
      </c>
      <c r="AA14" s="116" t="s">
        <v>849</v>
      </c>
      <c r="AB14" s="116" t="s">
        <v>897</v>
      </c>
      <c r="AC14" s="116" t="s">
        <v>898</v>
      </c>
    </row>
    <row r="15" spans="1:29" s="73" customFormat="1" ht="13.5">
      <c r="B15" s="104">
        <v>8</v>
      </c>
      <c r="C15" s="105"/>
      <c r="D15" s="119"/>
      <c r="E15" s="107"/>
      <c r="F15" s="107"/>
      <c r="G15" s="108"/>
      <c r="H15" s="109"/>
      <c r="I15" s="110">
        <v>8</v>
      </c>
      <c r="J15" s="118"/>
      <c r="K15" s="106"/>
      <c r="L15" s="113"/>
      <c r="M15" s="112"/>
      <c r="N15" s="108"/>
      <c r="O15" s="108"/>
      <c r="P15" s="119"/>
      <c r="Q15" s="112"/>
      <c r="R15" s="114"/>
      <c r="S15" s="134"/>
      <c r="Z15" s="116" t="s">
        <v>903</v>
      </c>
      <c r="AA15" s="116" t="s">
        <v>858</v>
      </c>
      <c r="AB15" s="116" t="s">
        <v>904</v>
      </c>
      <c r="AC15" s="116" t="s">
        <v>860</v>
      </c>
    </row>
    <row r="16" spans="1:29" s="73" customFormat="1" ht="13.5">
      <c r="B16" s="104">
        <v>9</v>
      </c>
      <c r="C16" s="105"/>
      <c r="D16" s="119"/>
      <c r="E16" s="107"/>
      <c r="F16" s="107"/>
      <c r="G16" s="108"/>
      <c r="H16" s="109"/>
      <c r="I16" s="110">
        <v>9</v>
      </c>
      <c r="J16" s="118"/>
      <c r="K16" s="106"/>
      <c r="L16" s="113"/>
      <c r="M16" s="112"/>
      <c r="N16" s="108"/>
      <c r="O16" s="108"/>
      <c r="P16" s="119"/>
      <c r="Q16" s="112"/>
      <c r="R16" s="114"/>
      <c r="S16" s="134"/>
      <c r="Z16" s="116" t="s">
        <v>909</v>
      </c>
      <c r="AA16" s="116" t="s">
        <v>858</v>
      </c>
      <c r="AB16" s="116" t="s">
        <v>910</v>
      </c>
      <c r="AC16" s="116" t="s">
        <v>911</v>
      </c>
    </row>
    <row r="17" spans="2:29" s="73" customFormat="1" ht="13.5">
      <c r="B17" s="104">
        <v>10</v>
      </c>
      <c r="C17" s="105"/>
      <c r="D17" s="119"/>
      <c r="E17" s="107"/>
      <c r="F17" s="107"/>
      <c r="G17" s="108"/>
      <c r="H17" s="109"/>
      <c r="I17" s="110">
        <v>10</v>
      </c>
      <c r="J17" s="117"/>
      <c r="K17" s="120"/>
      <c r="L17" s="113"/>
      <c r="M17" s="112"/>
      <c r="N17" s="108"/>
      <c r="O17" s="108"/>
      <c r="P17" s="112"/>
      <c r="Q17" s="112"/>
      <c r="R17" s="114"/>
      <c r="S17" s="134"/>
      <c r="Z17" s="116" t="s">
        <v>920</v>
      </c>
      <c r="AA17" s="116" t="s">
        <v>849</v>
      </c>
      <c r="AB17" s="116" t="s">
        <v>921</v>
      </c>
      <c r="AC17" s="116" t="s">
        <v>922</v>
      </c>
    </row>
    <row r="18" spans="2:29" s="73" customFormat="1" ht="13.5">
      <c r="B18" s="104">
        <v>11</v>
      </c>
      <c r="C18" s="105"/>
      <c r="D18" s="119"/>
      <c r="E18" s="107"/>
      <c r="F18" s="107"/>
      <c r="G18" s="108"/>
      <c r="H18" s="109"/>
      <c r="I18" s="110">
        <v>11</v>
      </c>
      <c r="J18" s="117"/>
      <c r="K18" s="112"/>
      <c r="L18" s="113"/>
      <c r="M18" s="112"/>
      <c r="N18" s="114"/>
      <c r="O18" s="114"/>
      <c r="P18" s="112"/>
      <c r="Q18" s="112"/>
      <c r="R18" s="114"/>
      <c r="S18" s="134"/>
      <c r="Z18" s="116" t="s">
        <v>931</v>
      </c>
      <c r="AA18" s="116" t="s">
        <v>932</v>
      </c>
      <c r="AB18" s="116" t="s">
        <v>933</v>
      </c>
      <c r="AC18" s="116" t="s">
        <v>934</v>
      </c>
    </row>
    <row r="19" spans="2:29" s="73" customFormat="1" ht="13.5">
      <c r="B19" s="104">
        <v>12</v>
      </c>
      <c r="C19" s="121"/>
      <c r="D19" s="119"/>
      <c r="E19" s="107"/>
      <c r="F19" s="107"/>
      <c r="G19" s="108"/>
      <c r="H19" s="109"/>
      <c r="I19" s="110">
        <v>12</v>
      </c>
      <c r="J19" s="117"/>
      <c r="K19" s="120"/>
      <c r="L19" s="113"/>
      <c r="M19" s="112"/>
      <c r="N19" s="114"/>
      <c r="O19" s="114"/>
      <c r="P19" s="112"/>
      <c r="Q19" s="112"/>
      <c r="R19" s="114"/>
      <c r="S19" s="134"/>
      <c r="Z19" s="116" t="s">
        <v>941</v>
      </c>
      <c r="AA19" s="116" t="s">
        <v>942</v>
      </c>
      <c r="AB19" s="116" t="s">
        <v>943</v>
      </c>
      <c r="AC19" s="116" t="s">
        <v>944</v>
      </c>
    </row>
    <row r="20" spans="2:29" s="73" customFormat="1" ht="13.5">
      <c r="B20" s="104">
        <v>13</v>
      </c>
      <c r="C20" s="121"/>
      <c r="D20" s="119"/>
      <c r="E20" s="107"/>
      <c r="F20" s="107"/>
      <c r="G20" s="108"/>
      <c r="H20" s="109"/>
      <c r="I20" s="110">
        <v>13</v>
      </c>
      <c r="J20" s="117"/>
      <c r="K20" s="120"/>
      <c r="L20" s="113"/>
      <c r="M20" s="112"/>
      <c r="N20" s="114"/>
      <c r="O20" s="114"/>
      <c r="P20" s="112"/>
      <c r="Q20" s="112"/>
      <c r="R20" s="114"/>
      <c r="S20" s="134"/>
      <c r="Z20" s="116" t="s">
        <v>952</v>
      </c>
      <c r="AA20" s="116" t="s">
        <v>942</v>
      </c>
      <c r="AB20" s="116" t="s">
        <v>953</v>
      </c>
      <c r="AC20" s="116" t="s">
        <v>954</v>
      </c>
    </row>
    <row r="21" spans="2:29" s="73" customFormat="1" ht="13.5">
      <c r="B21" s="104">
        <v>14</v>
      </c>
      <c r="C21" s="121"/>
      <c r="D21" s="119"/>
      <c r="E21" s="107"/>
      <c r="F21" s="107"/>
      <c r="G21" s="108"/>
      <c r="H21" s="109"/>
      <c r="I21" s="110">
        <v>14</v>
      </c>
      <c r="J21" s="118"/>
      <c r="K21" s="119"/>
      <c r="L21" s="113"/>
      <c r="M21" s="112"/>
      <c r="N21" s="108"/>
      <c r="O21" s="108"/>
      <c r="P21" s="119"/>
      <c r="Q21" s="119"/>
      <c r="R21" s="108"/>
      <c r="S21" s="134"/>
      <c r="Z21" s="116" t="s">
        <v>958</v>
      </c>
      <c r="AA21" s="116" t="s">
        <v>959</v>
      </c>
      <c r="AB21" s="116" t="s">
        <v>960</v>
      </c>
      <c r="AC21" s="116" t="s">
        <v>961</v>
      </c>
    </row>
    <row r="22" spans="2:29" s="73" customFormat="1" ht="13.5">
      <c r="B22" s="104">
        <v>15</v>
      </c>
      <c r="C22" s="121"/>
      <c r="D22" s="119"/>
      <c r="E22" s="107"/>
      <c r="F22" s="107"/>
      <c r="G22" s="108"/>
      <c r="H22" s="109"/>
      <c r="I22" s="110">
        <v>15</v>
      </c>
      <c r="J22" s="118"/>
      <c r="K22" s="119"/>
      <c r="L22" s="113"/>
      <c r="M22" s="112"/>
      <c r="N22" s="108"/>
      <c r="O22" s="108"/>
      <c r="P22" s="119"/>
      <c r="Q22" s="119"/>
      <c r="R22" s="108"/>
      <c r="S22" s="134"/>
      <c r="Z22" s="116" t="s">
        <v>965</v>
      </c>
      <c r="AA22" s="116" t="s">
        <v>966</v>
      </c>
      <c r="AB22" s="116" t="s">
        <v>967</v>
      </c>
      <c r="AC22" s="116" t="s">
        <v>968</v>
      </c>
    </row>
    <row r="23" spans="2:29" s="73" customFormat="1" ht="13.5">
      <c r="B23" s="104">
        <v>16</v>
      </c>
      <c r="C23" s="121"/>
      <c r="D23" s="119"/>
      <c r="E23" s="107"/>
      <c r="F23" s="107"/>
      <c r="G23" s="108"/>
      <c r="H23" s="109"/>
      <c r="I23" s="110">
        <v>16</v>
      </c>
      <c r="J23" s="105"/>
      <c r="K23" s="119"/>
      <c r="L23" s="113"/>
      <c r="M23" s="112"/>
      <c r="N23" s="114"/>
      <c r="O23" s="114"/>
      <c r="P23" s="119"/>
      <c r="Q23" s="119"/>
      <c r="R23" s="108"/>
      <c r="S23" s="134"/>
      <c r="Z23" s="116" t="s">
        <v>969</v>
      </c>
      <c r="AA23" s="116" t="s">
        <v>970</v>
      </c>
      <c r="AB23" s="116" t="s">
        <v>971</v>
      </c>
      <c r="AC23" s="116" t="s">
        <v>972</v>
      </c>
    </row>
    <row r="24" spans="2:29" s="73" customFormat="1" ht="13.5">
      <c r="B24" s="104">
        <v>17</v>
      </c>
      <c r="C24" s="121"/>
      <c r="D24" s="119"/>
      <c r="E24" s="107"/>
      <c r="F24" s="107"/>
      <c r="G24" s="108"/>
      <c r="H24" s="109"/>
      <c r="I24" s="110">
        <v>17</v>
      </c>
      <c r="J24" s="105"/>
      <c r="K24" s="119"/>
      <c r="L24" s="113"/>
      <c r="M24" s="112"/>
      <c r="N24" s="114"/>
      <c r="O24" s="114"/>
      <c r="P24" s="119"/>
      <c r="Q24" s="119"/>
      <c r="R24" s="108"/>
      <c r="S24" s="134"/>
      <c r="Z24" s="116" t="s">
        <v>973</v>
      </c>
      <c r="AA24" s="116" t="s">
        <v>970</v>
      </c>
      <c r="AB24" s="116" t="s">
        <v>974</v>
      </c>
      <c r="AC24" s="116" t="s">
        <v>975</v>
      </c>
    </row>
    <row r="25" spans="2:29" s="73" customFormat="1" ht="13.5">
      <c r="B25" s="104">
        <v>18</v>
      </c>
      <c r="C25" s="121"/>
      <c r="D25" s="119"/>
      <c r="E25" s="107"/>
      <c r="F25" s="107"/>
      <c r="G25" s="108"/>
      <c r="H25" s="109"/>
      <c r="I25" s="110">
        <v>18</v>
      </c>
      <c r="J25" s="105"/>
      <c r="K25" s="119"/>
      <c r="L25" s="113"/>
      <c r="M25" s="112"/>
      <c r="N25" s="114"/>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18.75" customHeight="1">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18.75" customHeight="1">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18.75" customHeight="1">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2.5" customHeight="1">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18.75" customHeight="1">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18.75" customHeight="1">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54" customHeight="1">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33" customHeight="1">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71.25" customHeight="1">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38.25" customHeight="1">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5" customHeight="1"/>
    <row r="52" spans="2:29" s="73" customFormat="1" ht="15" customHeight="1"/>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9402D677-4195-4749-B2F7-0BC61B973525}"/>
  </hyperlinks>
  <pageMargins left="0.7" right="0.7" top="0.75" bottom="0.75" header="0.3" footer="0.3"/>
  <customProperties>
    <customPr name="_pios_id" r:id="rId1"/>
  </customPropertie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15946-ABA7-4BC3-80CD-7B89A94CB708}">
  <sheetPr>
    <tabColor theme="9" tint="0.79998168889431442"/>
  </sheetPr>
  <dimension ref="A1:AC98"/>
  <sheetViews>
    <sheetView showGridLines="0" topLeftCell="A23" zoomScaleNormal="100" workbookViewId="0">
      <selection activeCell="H34" sqref="H34"/>
    </sheetView>
  </sheetViews>
  <sheetFormatPr defaultColWidth="12.625" defaultRowHeight="16.5"/>
  <cols>
    <col min="1" max="1" width="2.125" style="69" customWidth="1"/>
    <col min="2" max="2" width="5.125" style="69" customWidth="1"/>
    <col min="3" max="3" width="27.87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5.875" style="69" bestFit="1" customWidth="1"/>
    <col min="21" max="24" width="2.125" style="69" customWidth="1"/>
    <col min="25" max="25" width="35.125" style="69" customWidth="1"/>
    <col min="26" max="16384" width="12.625" style="69"/>
  </cols>
  <sheetData>
    <row r="1" spans="1:29" ht="9.6" customHeight="1" thickBot="1">
      <c r="A1" s="67" t="s">
        <v>814</v>
      </c>
    </row>
    <row r="2" spans="1:29" ht="23.1" customHeight="1">
      <c r="B2" s="992" t="s">
        <v>2958</v>
      </c>
      <c r="C2" s="993"/>
      <c r="D2" s="993"/>
      <c r="E2" s="993"/>
      <c r="F2" s="993"/>
      <c r="G2" s="993"/>
      <c r="H2" s="993"/>
      <c r="I2" s="994"/>
      <c r="J2" s="70" t="s">
        <v>816</v>
      </c>
      <c r="K2" s="998" t="s">
        <v>145</v>
      </c>
      <c r="L2" s="999"/>
      <c r="M2" s="999"/>
      <c r="N2" s="1000"/>
      <c r="O2" s="70" t="s">
        <v>817</v>
      </c>
      <c r="P2" s="1001" t="s">
        <v>818</v>
      </c>
      <c r="Q2" s="1001"/>
      <c r="R2" s="1001"/>
      <c r="S2" s="1002"/>
      <c r="T2" s="71"/>
    </row>
    <row r="3" spans="1:29"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26.1" customHeight="1" thickBot="1">
      <c r="B4" s="74" t="s">
        <v>822</v>
      </c>
      <c r="C4" s="73"/>
      <c r="D4" s="73"/>
      <c r="E4" s="73"/>
      <c r="F4" s="73"/>
      <c r="G4" s="73"/>
      <c r="H4" s="73"/>
      <c r="I4" s="73"/>
      <c r="J4" s="73"/>
      <c r="K4" s="73"/>
      <c r="L4" s="73"/>
      <c r="M4" s="73"/>
      <c r="N4" s="75"/>
      <c r="O4" s="75"/>
      <c r="P4" s="73"/>
      <c r="Q4" s="75"/>
      <c r="R4" s="75"/>
      <c r="S4" s="73"/>
      <c r="T4" s="73"/>
    </row>
    <row r="5" spans="1:29" ht="20.25">
      <c r="B5" s="979" t="s">
        <v>2959</v>
      </c>
      <c r="C5" s="980"/>
      <c r="D5" s="980"/>
      <c r="E5" s="980"/>
      <c r="F5" s="980"/>
      <c r="G5" s="980"/>
      <c r="H5" s="981"/>
      <c r="I5" s="982" t="s">
        <v>1390</v>
      </c>
      <c r="J5" s="980"/>
      <c r="K5" s="980"/>
      <c r="L5" s="980"/>
      <c r="M5" s="980"/>
      <c r="N5" s="980"/>
      <c r="O5" s="980"/>
      <c r="P5" s="980"/>
      <c r="Q5" s="980"/>
      <c r="R5" s="983" t="s">
        <v>825</v>
      </c>
      <c r="S5" s="985" t="s">
        <v>826</v>
      </c>
      <c r="T5" s="73"/>
      <c r="Z5" s="76"/>
      <c r="AA5" s="76"/>
      <c r="AB5" s="76"/>
      <c r="AC5" s="77"/>
    </row>
    <row r="6" spans="1:29" ht="32.1" customHeight="1">
      <c r="B6" s="78" t="s">
        <v>828</v>
      </c>
      <c r="C6" s="987"/>
      <c r="D6" s="984"/>
      <c r="E6" s="984"/>
      <c r="F6" s="984"/>
      <c r="G6" s="984"/>
      <c r="H6" s="986"/>
      <c r="I6" s="102" t="s">
        <v>829</v>
      </c>
      <c r="J6" s="988"/>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c r="AA7" s="83"/>
      <c r="AB7" s="83"/>
      <c r="AC7" s="83"/>
    </row>
    <row r="8" spans="1:29" s="73" customFormat="1" ht="13.5">
      <c r="B8" s="104">
        <v>1</v>
      </c>
      <c r="C8" s="207" t="s">
        <v>2862</v>
      </c>
      <c r="D8" s="205" t="s">
        <v>1870</v>
      </c>
      <c r="E8" s="206" t="s">
        <v>845</v>
      </c>
      <c r="F8" s="206">
        <v>4</v>
      </c>
      <c r="G8" s="216" t="s">
        <v>2960</v>
      </c>
      <c r="H8" s="109"/>
      <c r="I8" s="110">
        <v>1</v>
      </c>
      <c r="J8" s="499" t="s">
        <v>2862</v>
      </c>
      <c r="K8" s="505" t="s">
        <v>2810</v>
      </c>
      <c r="L8" s="483" t="s">
        <v>1188</v>
      </c>
      <c r="M8" s="484">
        <v>1000</v>
      </c>
      <c r="N8" s="504" t="s">
        <v>2961</v>
      </c>
      <c r="O8" s="114"/>
      <c r="P8" s="112"/>
      <c r="Q8" s="112"/>
      <c r="R8" s="114"/>
      <c r="S8" s="134"/>
      <c r="Z8" s="116"/>
      <c r="AA8" s="116"/>
      <c r="AB8" s="116"/>
      <c r="AC8" s="116"/>
    </row>
    <row r="9" spans="1:29" s="73" customFormat="1" ht="13.5">
      <c r="B9" s="104">
        <v>2</v>
      </c>
      <c r="C9" s="22" t="s">
        <v>2962</v>
      </c>
      <c r="D9" s="205" t="s">
        <v>1870</v>
      </c>
      <c r="E9" s="208" t="s">
        <v>845</v>
      </c>
      <c r="F9" s="206">
        <v>4</v>
      </c>
      <c r="G9" s="211" t="s">
        <v>2963</v>
      </c>
      <c r="H9" s="109"/>
      <c r="I9" s="110">
        <v>2</v>
      </c>
      <c r="J9" s="496" t="s">
        <v>2928</v>
      </c>
      <c r="K9" s="506" t="s">
        <v>2810</v>
      </c>
      <c r="L9" s="486" t="s">
        <v>1188</v>
      </c>
      <c r="M9" s="487">
        <v>1000</v>
      </c>
      <c r="N9" s="492" t="s">
        <v>2963</v>
      </c>
      <c r="O9" s="114"/>
      <c r="P9" s="112"/>
      <c r="Q9" s="112"/>
      <c r="R9" s="114"/>
      <c r="S9" s="134"/>
      <c r="T9" s="71"/>
      <c r="Z9" s="116"/>
      <c r="AA9" s="116"/>
      <c r="AB9" s="116"/>
      <c r="AC9" s="116"/>
    </row>
    <row r="10" spans="1:29" s="73" customFormat="1" ht="13.5">
      <c r="B10" s="104">
        <v>3</v>
      </c>
      <c r="C10" s="207" t="s">
        <v>2964</v>
      </c>
      <c r="D10" s="205" t="s">
        <v>1870</v>
      </c>
      <c r="E10" s="208" t="s">
        <v>2024</v>
      </c>
      <c r="F10" s="208">
        <v>6</v>
      </c>
      <c r="G10" s="213" t="s">
        <v>2965</v>
      </c>
      <c r="H10" s="109"/>
      <c r="I10" s="110">
        <v>3</v>
      </c>
      <c r="J10" s="499" t="s">
        <v>1472</v>
      </c>
      <c r="K10" s="506" t="s">
        <v>2810</v>
      </c>
      <c r="L10" s="486" t="s">
        <v>1188</v>
      </c>
      <c r="M10" s="487">
        <v>1000</v>
      </c>
      <c r="N10" s="500" t="s">
        <v>2966</v>
      </c>
      <c r="O10" s="114"/>
      <c r="P10" s="112"/>
      <c r="Q10" s="112"/>
      <c r="R10" s="114"/>
      <c r="S10" s="134"/>
      <c r="T10" s="71"/>
      <c r="Z10" s="116"/>
      <c r="AA10" s="116"/>
      <c r="AB10" s="116"/>
      <c r="AC10" s="116"/>
    </row>
    <row r="11" spans="1:29" s="73" customFormat="1" ht="13.5">
      <c r="B11" s="104">
        <v>4</v>
      </c>
      <c r="C11" s="756" t="s">
        <v>2967</v>
      </c>
      <c r="D11" s="205" t="s">
        <v>1870</v>
      </c>
      <c r="E11" s="206" t="s">
        <v>2024</v>
      </c>
      <c r="F11" s="206">
        <v>6</v>
      </c>
      <c r="G11" s="213" t="s">
        <v>2968</v>
      </c>
      <c r="H11" s="109"/>
      <c r="I11" s="110">
        <v>4</v>
      </c>
      <c r="J11" s="499" t="s">
        <v>2969</v>
      </c>
      <c r="K11" s="506" t="s">
        <v>2810</v>
      </c>
      <c r="L11" s="486" t="s">
        <v>1188</v>
      </c>
      <c r="M11" s="487">
        <v>1000</v>
      </c>
      <c r="N11" s="500" t="s">
        <v>2970</v>
      </c>
      <c r="O11" s="108"/>
      <c r="P11" s="119"/>
      <c r="Q11" s="119"/>
      <c r="R11" s="108"/>
      <c r="S11" s="134"/>
      <c r="Z11" s="116"/>
      <c r="AA11" s="116"/>
      <c r="AB11" s="116"/>
      <c r="AC11" s="116"/>
    </row>
    <row r="12" spans="1:29" s="73" customFormat="1" ht="13.5">
      <c r="B12" s="104">
        <v>5</v>
      </c>
      <c r="C12" s="756" t="s">
        <v>2971</v>
      </c>
      <c r="D12" s="205" t="s">
        <v>1870</v>
      </c>
      <c r="E12" s="206" t="s">
        <v>845</v>
      </c>
      <c r="F12" s="206">
        <v>9</v>
      </c>
      <c r="G12" s="213" t="s">
        <v>2972</v>
      </c>
      <c r="H12" s="109"/>
      <c r="I12" s="110">
        <v>5</v>
      </c>
      <c r="J12" s="499" t="s">
        <v>2973</v>
      </c>
      <c r="K12" s="506" t="s">
        <v>2810</v>
      </c>
      <c r="L12" s="486" t="s">
        <v>1188</v>
      </c>
      <c r="M12" s="487">
        <v>1000</v>
      </c>
      <c r="N12" s="500" t="s">
        <v>2974</v>
      </c>
      <c r="O12" s="108"/>
      <c r="P12" s="119"/>
      <c r="Q12" s="119"/>
      <c r="R12" s="108"/>
      <c r="S12" s="134"/>
      <c r="Z12" s="116"/>
      <c r="AA12" s="116"/>
      <c r="AB12" s="116"/>
      <c r="AC12" s="116"/>
    </row>
    <row r="13" spans="1:29" s="73" customFormat="1" ht="13.5">
      <c r="B13" s="104">
        <v>6</v>
      </c>
      <c r="C13" s="757" t="s">
        <v>2975</v>
      </c>
      <c r="D13" s="758" t="s">
        <v>1870</v>
      </c>
      <c r="E13" s="759" t="s">
        <v>845</v>
      </c>
      <c r="F13" s="759">
        <v>40</v>
      </c>
      <c r="G13" s="760" t="s">
        <v>2976</v>
      </c>
      <c r="H13" s="109" t="s">
        <v>2977</v>
      </c>
      <c r="I13" s="110">
        <v>6</v>
      </c>
      <c r="J13" s="496" t="s">
        <v>2978</v>
      </c>
      <c r="K13" s="506" t="s">
        <v>2810</v>
      </c>
      <c r="L13" s="486" t="s">
        <v>1188</v>
      </c>
      <c r="M13" s="487">
        <v>1000</v>
      </c>
      <c r="N13" s="492" t="s">
        <v>2979</v>
      </c>
      <c r="O13" s="108"/>
      <c r="P13" s="119"/>
      <c r="Q13" s="112"/>
      <c r="R13" s="114"/>
      <c r="S13" s="134"/>
      <c r="Z13" s="116"/>
      <c r="AA13" s="116"/>
      <c r="AB13" s="116"/>
      <c r="AC13" s="116"/>
    </row>
    <row r="14" spans="1:29" s="73" customFormat="1" ht="13.5">
      <c r="B14" s="104">
        <v>7</v>
      </c>
      <c r="C14" s="756" t="s">
        <v>2980</v>
      </c>
      <c r="D14" s="758" t="s">
        <v>1870</v>
      </c>
      <c r="E14" s="759" t="s">
        <v>845</v>
      </c>
      <c r="F14" s="759">
        <v>10</v>
      </c>
      <c r="G14" s="760" t="s">
        <v>2981</v>
      </c>
      <c r="H14" s="109" t="s">
        <v>2982</v>
      </c>
      <c r="I14" s="110">
        <v>7</v>
      </c>
      <c r="J14" s="499" t="s">
        <v>2983</v>
      </c>
      <c r="K14" s="506" t="s">
        <v>2810</v>
      </c>
      <c r="L14" s="486" t="s">
        <v>1188</v>
      </c>
      <c r="M14" s="487">
        <v>1000</v>
      </c>
      <c r="N14" s="492" t="s">
        <v>2984</v>
      </c>
      <c r="O14" s="108"/>
      <c r="P14" s="119"/>
      <c r="Q14" s="112"/>
      <c r="R14" s="114"/>
      <c r="S14" s="134"/>
      <c r="Z14" s="116"/>
      <c r="AA14" s="116"/>
      <c r="AB14" s="116"/>
      <c r="AC14" s="116"/>
    </row>
    <row r="15" spans="1:29" s="73" customFormat="1" ht="40.5">
      <c r="B15" s="104">
        <v>8</v>
      </c>
      <c r="C15" s="757" t="s">
        <v>2985</v>
      </c>
      <c r="D15" s="205" t="s">
        <v>1870</v>
      </c>
      <c r="E15" s="206" t="s">
        <v>845</v>
      </c>
      <c r="F15" s="206">
        <v>1</v>
      </c>
      <c r="G15" s="216" t="s">
        <v>2986</v>
      </c>
      <c r="H15" s="109" t="s">
        <v>2987</v>
      </c>
      <c r="I15" s="110">
        <v>8</v>
      </c>
      <c r="J15" s="496" t="s">
        <v>2988</v>
      </c>
      <c r="K15" s="506" t="s">
        <v>2810</v>
      </c>
      <c r="L15" s="486" t="s">
        <v>1188</v>
      </c>
      <c r="M15" s="487">
        <v>1000</v>
      </c>
      <c r="N15" s="500" t="s">
        <v>2986</v>
      </c>
      <c r="O15" s="108"/>
      <c r="P15" s="119"/>
      <c r="Q15" s="112"/>
      <c r="R15" s="114"/>
      <c r="S15" s="134"/>
      <c r="Z15" s="116"/>
      <c r="AA15" s="116"/>
      <c r="AB15" s="116"/>
      <c r="AC15" s="116"/>
    </row>
    <row r="16" spans="1:29" s="73" customFormat="1" ht="13.5">
      <c r="B16" s="104">
        <v>10</v>
      </c>
      <c r="C16" s="204" t="s">
        <v>1874</v>
      </c>
      <c r="D16" s="205" t="s">
        <v>1870</v>
      </c>
      <c r="E16" s="206" t="s">
        <v>845</v>
      </c>
      <c r="F16" s="208">
        <v>2</v>
      </c>
      <c r="G16" s="213" t="s">
        <v>1875</v>
      </c>
      <c r="H16" s="109"/>
      <c r="I16" s="110">
        <v>10</v>
      </c>
      <c r="J16" s="496" t="s">
        <v>2863</v>
      </c>
      <c r="K16" s="506">
        <v>0</v>
      </c>
      <c r="L16" s="486" t="s">
        <v>1188</v>
      </c>
      <c r="M16" s="487">
        <v>1000</v>
      </c>
      <c r="N16" s="500" t="s">
        <v>1667</v>
      </c>
      <c r="O16" s="108"/>
      <c r="P16" s="112"/>
      <c r="Q16" s="112"/>
      <c r="R16" s="114"/>
      <c r="S16" s="134"/>
      <c r="Z16" s="116"/>
      <c r="AA16" s="116"/>
      <c r="AB16" s="116"/>
      <c r="AC16" s="116"/>
    </row>
    <row r="17" spans="2:29" s="73" customFormat="1" ht="13.5">
      <c r="B17" s="104">
        <v>11</v>
      </c>
      <c r="C17" s="756" t="s">
        <v>2989</v>
      </c>
      <c r="D17" s="205"/>
      <c r="E17" s="206" t="s">
        <v>2990</v>
      </c>
      <c r="F17" s="206">
        <v>5</v>
      </c>
      <c r="G17" s="761" t="s">
        <v>2755</v>
      </c>
      <c r="H17" s="109"/>
      <c r="I17" s="110">
        <v>11</v>
      </c>
      <c r="J17" s="499" t="s">
        <v>2991</v>
      </c>
      <c r="K17" s="506"/>
      <c r="L17" s="486" t="s">
        <v>1188</v>
      </c>
      <c r="M17" s="487">
        <v>1000</v>
      </c>
      <c r="N17" s="499" t="s">
        <v>1404</v>
      </c>
      <c r="O17" s="114"/>
      <c r="P17" s="112"/>
      <c r="Q17" s="112"/>
      <c r="R17" s="114"/>
      <c r="S17" s="134"/>
      <c r="Z17" s="116"/>
      <c r="AA17" s="116"/>
      <c r="AB17" s="116"/>
      <c r="AC17" s="116"/>
    </row>
    <row r="18" spans="2:29" s="73" customFormat="1" ht="13.5">
      <c r="B18" s="104">
        <v>12</v>
      </c>
      <c r="C18" s="756" t="s">
        <v>2992</v>
      </c>
      <c r="D18" s="205"/>
      <c r="E18" s="206" t="s">
        <v>2993</v>
      </c>
      <c r="F18" s="206" t="s">
        <v>2994</v>
      </c>
      <c r="G18" s="204" t="s">
        <v>2995</v>
      </c>
      <c r="H18" s="109" t="s">
        <v>2996</v>
      </c>
      <c r="I18" s="110">
        <v>12</v>
      </c>
      <c r="J18" s="499" t="s">
        <v>2997</v>
      </c>
      <c r="K18" s="506" t="s">
        <v>1368</v>
      </c>
      <c r="L18" s="727" t="s">
        <v>1188</v>
      </c>
      <c r="M18" s="728">
        <v>1000</v>
      </c>
      <c r="N18" s="499" t="s">
        <v>2995</v>
      </c>
      <c r="O18" s="114"/>
      <c r="P18" s="112"/>
      <c r="Q18" s="112"/>
      <c r="R18" s="114"/>
      <c r="S18" s="134"/>
      <c r="Z18" s="116"/>
      <c r="AA18" s="116"/>
      <c r="AB18" s="116"/>
      <c r="AC18" s="116"/>
    </row>
    <row r="19" spans="2:29" s="73" customFormat="1" ht="13.5">
      <c r="B19" s="104">
        <v>13</v>
      </c>
      <c r="C19" s="121"/>
      <c r="D19" s="119"/>
      <c r="E19" s="107"/>
      <c r="F19" s="107"/>
      <c r="G19" s="108"/>
      <c r="H19" s="109"/>
      <c r="I19" s="110">
        <v>13</v>
      </c>
      <c r="J19" s="117"/>
      <c r="K19" s="120"/>
      <c r="L19" s="113"/>
      <c r="M19" s="112"/>
      <c r="N19" s="114"/>
      <c r="O19" s="114"/>
      <c r="P19" s="112"/>
      <c r="Q19" s="112"/>
      <c r="R19" s="114"/>
      <c r="S19" s="134"/>
      <c r="Z19" s="116"/>
      <c r="AA19" s="116"/>
      <c r="AB19" s="116"/>
      <c r="AC19" s="116"/>
    </row>
    <row r="20" spans="2:29" s="73" customFormat="1" ht="13.5">
      <c r="B20" s="104"/>
      <c r="C20" s="121"/>
      <c r="D20" s="119"/>
      <c r="E20" s="107"/>
      <c r="F20" s="107"/>
      <c r="G20" s="108"/>
      <c r="H20" s="109"/>
      <c r="I20" s="110"/>
      <c r="J20" s="117"/>
      <c r="K20" s="120"/>
      <c r="L20" s="113"/>
      <c r="M20" s="112"/>
      <c r="N20" s="114"/>
      <c r="O20" s="114"/>
      <c r="P20" s="112"/>
      <c r="Q20" s="112"/>
      <c r="R20" s="114"/>
      <c r="S20" s="134"/>
      <c r="Z20" s="116"/>
      <c r="AA20" s="116"/>
      <c r="AB20" s="116"/>
      <c r="AC20" s="116"/>
    </row>
    <row r="21" spans="2:29" s="73" customFormat="1" ht="13.5">
      <c r="B21" s="104"/>
      <c r="C21" s="121"/>
      <c r="D21" s="119"/>
      <c r="E21" s="107"/>
      <c r="F21" s="107"/>
      <c r="G21" s="108"/>
      <c r="H21" s="109"/>
      <c r="I21" s="110"/>
      <c r="J21" s="117"/>
      <c r="K21" s="120"/>
      <c r="L21" s="113"/>
      <c r="M21" s="112"/>
      <c r="N21" s="114"/>
      <c r="O21" s="114"/>
      <c r="P21" s="112"/>
      <c r="Q21" s="112"/>
      <c r="R21" s="114"/>
      <c r="S21" s="134"/>
      <c r="Z21" s="116"/>
      <c r="AA21" s="116"/>
      <c r="AB21" s="116"/>
      <c r="AC21" s="116"/>
    </row>
    <row r="22" spans="2:29" s="73" customFormat="1" ht="13.5">
      <c r="B22" s="104"/>
      <c r="C22" s="121"/>
      <c r="D22" s="119"/>
      <c r="E22" s="107"/>
      <c r="F22" s="107"/>
      <c r="G22" s="108"/>
      <c r="H22" s="109"/>
      <c r="I22" s="110"/>
      <c r="J22" s="117"/>
      <c r="K22" s="120"/>
      <c r="L22" s="113"/>
      <c r="M22" s="112"/>
      <c r="N22" s="114"/>
      <c r="O22" s="114"/>
      <c r="P22" s="112"/>
      <c r="Q22" s="112"/>
      <c r="R22" s="114"/>
      <c r="S22" s="134"/>
      <c r="Z22" s="116"/>
      <c r="AA22" s="116"/>
      <c r="AB22" s="116"/>
      <c r="AC22" s="116"/>
    </row>
    <row r="23" spans="2:29" s="73" customFormat="1" ht="13.5">
      <c r="B23" s="104">
        <v>14</v>
      </c>
      <c r="C23" s="121"/>
      <c r="D23" s="119"/>
      <c r="E23" s="107"/>
      <c r="F23" s="107"/>
      <c r="G23" s="108"/>
      <c r="H23" s="109"/>
      <c r="I23" s="110">
        <v>14</v>
      </c>
      <c r="J23" s="118"/>
      <c r="K23" s="119"/>
      <c r="L23" s="113"/>
      <c r="M23" s="112"/>
      <c r="N23" s="108"/>
      <c r="O23" s="108"/>
      <c r="P23" s="119"/>
      <c r="Q23" s="119"/>
      <c r="R23" s="108"/>
      <c r="S23" s="134"/>
      <c r="Z23" s="116"/>
      <c r="AA23" s="116"/>
      <c r="AB23" s="116"/>
      <c r="AC23" s="116"/>
    </row>
    <row r="24" spans="2:29" s="73" customFormat="1" ht="13.5">
      <c r="B24" s="104">
        <v>15</v>
      </c>
      <c r="C24" s="121"/>
      <c r="D24" s="119"/>
      <c r="E24" s="107"/>
      <c r="F24" s="107"/>
      <c r="G24" s="108"/>
      <c r="H24" s="109"/>
      <c r="I24" s="110">
        <v>15</v>
      </c>
      <c r="J24" s="118"/>
      <c r="K24" s="119"/>
      <c r="L24" s="113"/>
      <c r="M24" s="112"/>
      <c r="N24" s="108"/>
      <c r="O24" s="108"/>
      <c r="P24" s="119"/>
      <c r="Q24" s="119"/>
      <c r="R24" s="108"/>
      <c r="S24" s="134"/>
      <c r="Z24" s="116"/>
      <c r="AA24" s="116"/>
      <c r="AB24" s="116"/>
      <c r="AC24" s="116"/>
    </row>
    <row r="25" spans="2:29" s="73" customFormat="1" ht="13.5">
      <c r="B25" s="104">
        <v>16</v>
      </c>
      <c r="C25" s="121"/>
      <c r="D25" s="119"/>
      <c r="E25" s="107"/>
      <c r="F25" s="107"/>
      <c r="G25" s="108"/>
      <c r="H25" s="109"/>
      <c r="I25" s="110">
        <v>16</v>
      </c>
      <c r="J25" s="105"/>
      <c r="K25" s="119"/>
      <c r="L25" s="113"/>
      <c r="M25" s="112"/>
      <c r="N25" s="114"/>
      <c r="O25" s="114"/>
      <c r="P25" s="119"/>
      <c r="Q25" s="119"/>
      <c r="R25" s="108"/>
      <c r="S25" s="134"/>
      <c r="Z25" s="116"/>
      <c r="AA25" s="116"/>
      <c r="AB25" s="116"/>
      <c r="AC25" s="116"/>
    </row>
    <row r="26" spans="2:29" s="73" customFormat="1" ht="17.25">
      <c r="B26" s="104">
        <v>17</v>
      </c>
      <c r="C26" s="752" t="s">
        <v>2998</v>
      </c>
      <c r="D26" s="463"/>
      <c r="E26" s="463"/>
      <c r="F26" s="463"/>
      <c r="G26" s="463" t="s">
        <v>2999</v>
      </c>
      <c r="H26" s="109"/>
      <c r="I26" s="110">
        <v>17</v>
      </c>
      <c r="J26" s="105"/>
      <c r="K26" s="119"/>
      <c r="L26" s="113"/>
      <c r="M26" s="112"/>
      <c r="N26" s="114"/>
      <c r="O26" s="114"/>
      <c r="P26" s="119"/>
      <c r="Q26" s="119"/>
      <c r="R26" s="108"/>
      <c r="S26" s="134"/>
      <c r="Z26" s="116"/>
      <c r="AA26" s="116"/>
      <c r="AB26" s="116"/>
      <c r="AC26" s="116"/>
    </row>
    <row r="27" spans="2:29" s="73" customFormat="1" ht="17.25">
      <c r="B27" s="104">
        <v>18</v>
      </c>
      <c r="C27" s="752" t="s">
        <v>3000</v>
      </c>
      <c r="D27" s="465"/>
      <c r="E27" s="465"/>
      <c r="F27" s="463"/>
      <c r="G27" s="463" t="s">
        <v>3001</v>
      </c>
      <c r="H27" s="109"/>
      <c r="I27" s="110">
        <v>18</v>
      </c>
      <c r="J27" s="105"/>
      <c r="K27" s="119"/>
      <c r="L27" s="113"/>
      <c r="M27" s="112"/>
      <c r="N27" s="114"/>
      <c r="O27" s="114"/>
      <c r="P27" s="119"/>
      <c r="Q27" s="119"/>
      <c r="R27" s="108"/>
      <c r="S27" s="134"/>
      <c r="Z27" s="116"/>
      <c r="AA27" s="116"/>
      <c r="AB27" s="116"/>
      <c r="AC27" s="116"/>
    </row>
    <row r="28" spans="2:29" s="73" customFormat="1" ht="17.25">
      <c r="B28" s="104">
        <v>19</v>
      </c>
      <c r="C28" s="752" t="s">
        <v>3002</v>
      </c>
      <c r="D28" s="465"/>
      <c r="E28" s="465"/>
      <c r="F28" s="463"/>
      <c r="G28" s="463" t="s">
        <v>3003</v>
      </c>
      <c r="H28" s="109"/>
      <c r="I28" s="110">
        <v>19</v>
      </c>
      <c r="J28" s="105"/>
      <c r="K28" s="119"/>
      <c r="L28" s="113"/>
      <c r="M28" s="112"/>
      <c r="N28" s="114"/>
      <c r="O28" s="114"/>
      <c r="P28" s="119"/>
      <c r="Q28" s="119"/>
      <c r="R28" s="108"/>
      <c r="S28" s="134"/>
      <c r="Z28" s="116"/>
      <c r="AA28" s="116"/>
      <c r="AB28" s="116"/>
      <c r="AC28" s="116"/>
    </row>
    <row r="29" spans="2:29" s="73" customFormat="1" ht="17.25">
      <c r="B29" s="104">
        <v>20</v>
      </c>
      <c r="C29" s="752" t="s">
        <v>3004</v>
      </c>
      <c r="D29" s="463"/>
      <c r="E29" s="463"/>
      <c r="F29" s="463"/>
      <c r="G29" s="463" t="s">
        <v>3005</v>
      </c>
      <c r="H29" s="109"/>
      <c r="I29" s="110">
        <v>20</v>
      </c>
      <c r="J29" s="105"/>
      <c r="K29" s="119"/>
      <c r="L29" s="113"/>
      <c r="M29" s="112"/>
      <c r="N29" s="114"/>
      <c r="O29" s="114"/>
      <c r="P29" s="119"/>
      <c r="Q29" s="119"/>
      <c r="R29" s="108"/>
      <c r="S29" s="134"/>
      <c r="Z29" s="116"/>
      <c r="AA29" s="116"/>
      <c r="AB29" s="116"/>
      <c r="AC29" s="116"/>
    </row>
    <row r="30" spans="2:29" s="73" customFormat="1" ht="17.25">
      <c r="B30" s="104">
        <v>21</v>
      </c>
      <c r="C30" s="465" t="s">
        <v>3006</v>
      </c>
      <c r="D30" s="463"/>
      <c r="E30" s="463"/>
      <c r="F30" s="463"/>
      <c r="G30" s="463" t="s">
        <v>3007</v>
      </c>
      <c r="H30" s="109"/>
      <c r="I30" s="110">
        <v>21</v>
      </c>
      <c r="J30" s="105"/>
      <c r="K30" s="119"/>
      <c r="L30" s="113"/>
      <c r="M30" s="112"/>
      <c r="N30" s="114"/>
      <c r="O30" s="114"/>
      <c r="P30" s="119"/>
      <c r="Q30" s="119"/>
      <c r="R30" s="108"/>
      <c r="S30" s="134"/>
      <c r="Z30" s="116"/>
      <c r="AA30" s="116"/>
      <c r="AB30" s="116"/>
      <c r="AC30" s="116"/>
    </row>
    <row r="31" spans="2:29" s="73" customFormat="1" ht="17.25">
      <c r="B31" s="104">
        <v>22</v>
      </c>
      <c r="C31" s="465"/>
      <c r="D31" s="463"/>
      <c r="E31" s="463"/>
      <c r="F31" s="463"/>
      <c r="G31" s="463" t="s">
        <v>3008</v>
      </c>
      <c r="H31" s="109"/>
      <c r="I31" s="110">
        <v>22</v>
      </c>
      <c r="J31" s="105"/>
      <c r="K31" s="119"/>
      <c r="L31" s="113"/>
      <c r="M31" s="112"/>
      <c r="N31" s="114"/>
      <c r="O31" s="114"/>
      <c r="P31" s="119"/>
      <c r="Q31" s="119"/>
      <c r="R31" s="108"/>
      <c r="S31" s="134"/>
      <c r="Z31" s="116"/>
      <c r="AA31" s="116"/>
      <c r="AB31" s="116"/>
      <c r="AC31" s="116"/>
    </row>
    <row r="32" spans="2:29" s="73" customFormat="1" ht="17.25">
      <c r="B32" s="104">
        <v>23</v>
      </c>
      <c r="C32" s="465" t="s">
        <v>3009</v>
      </c>
      <c r="D32" s="463"/>
      <c r="E32" s="463"/>
      <c r="F32" s="463"/>
      <c r="G32" s="463" t="s">
        <v>3010</v>
      </c>
      <c r="H32" s="109"/>
      <c r="I32" s="110">
        <v>23</v>
      </c>
      <c r="J32" s="105"/>
      <c r="K32" s="119"/>
      <c r="L32" s="113"/>
      <c r="M32" s="112"/>
      <c r="N32" s="114"/>
      <c r="O32" s="114"/>
      <c r="P32" s="119"/>
      <c r="Q32" s="119"/>
      <c r="R32" s="108"/>
      <c r="S32" s="134"/>
      <c r="Z32" s="116"/>
      <c r="AA32" s="116"/>
      <c r="AB32" s="116"/>
      <c r="AC32" s="116"/>
    </row>
    <row r="33" spans="2:29" s="73" customFormat="1" ht="17.25">
      <c r="B33" s="104">
        <v>24</v>
      </c>
      <c r="C33" s="465"/>
      <c r="D33" s="463"/>
      <c r="E33" s="463"/>
      <c r="F33" s="463"/>
      <c r="G33" s="463" t="s">
        <v>3011</v>
      </c>
      <c r="H33" s="109"/>
      <c r="I33" s="110">
        <v>24</v>
      </c>
      <c r="J33" s="105"/>
      <c r="K33" s="119"/>
      <c r="L33" s="113"/>
      <c r="M33" s="112"/>
      <c r="N33" s="114"/>
      <c r="O33" s="114"/>
      <c r="P33" s="119"/>
      <c r="Q33" s="119"/>
      <c r="R33" s="108"/>
      <c r="S33" s="134"/>
      <c r="Z33" s="116"/>
      <c r="AA33" s="116"/>
      <c r="AB33" s="116"/>
      <c r="AC33" s="116"/>
    </row>
    <row r="34" spans="2:29" s="73" customFormat="1" ht="17.25">
      <c r="B34" s="104">
        <v>25</v>
      </c>
      <c r="C34" s="465" t="s">
        <v>3012</v>
      </c>
      <c r="D34" s="463"/>
      <c r="E34" s="463"/>
      <c r="F34" s="463"/>
      <c r="G34" s="463" t="s">
        <v>3013</v>
      </c>
      <c r="H34" s="109"/>
      <c r="I34" s="110">
        <v>25</v>
      </c>
      <c r="J34" s="105"/>
      <c r="K34" s="119"/>
      <c r="L34" s="113"/>
      <c r="M34" s="112"/>
      <c r="N34" s="114"/>
      <c r="O34" s="114"/>
      <c r="P34" s="119"/>
      <c r="Q34" s="119"/>
      <c r="R34" s="108"/>
      <c r="S34" s="134"/>
      <c r="Z34" s="116"/>
      <c r="AA34" s="116"/>
      <c r="AB34" s="116"/>
      <c r="AC34" s="116"/>
    </row>
    <row r="35" spans="2:29" s="73" customFormat="1" ht="17.25">
      <c r="B35" s="104">
        <v>26</v>
      </c>
      <c r="C35" s="465"/>
      <c r="D35" s="463"/>
      <c r="E35" s="463"/>
      <c r="F35" s="463"/>
      <c r="G35" s="463" t="s">
        <v>3014</v>
      </c>
      <c r="H35" s="109"/>
      <c r="I35" s="110">
        <v>26</v>
      </c>
      <c r="J35" s="105"/>
      <c r="K35" s="119"/>
      <c r="L35" s="113"/>
      <c r="M35" s="112"/>
      <c r="N35" s="114"/>
      <c r="O35" s="114"/>
      <c r="P35" s="119"/>
      <c r="Q35" s="119"/>
      <c r="R35" s="108"/>
      <c r="S35" s="134"/>
      <c r="Z35" s="116"/>
      <c r="AA35" s="116"/>
      <c r="AB35" s="116"/>
      <c r="AC35" s="116"/>
    </row>
    <row r="36" spans="2:29" s="73" customFormat="1" ht="17.25">
      <c r="B36" s="104">
        <v>27</v>
      </c>
      <c r="C36" s="465" t="s">
        <v>3015</v>
      </c>
      <c r="D36" s="753"/>
      <c r="E36" s="753"/>
      <c r="F36" s="753"/>
      <c r="G36" s="754" t="s">
        <v>3016</v>
      </c>
      <c r="H36" s="109"/>
      <c r="I36" s="110">
        <v>27</v>
      </c>
      <c r="J36" s="105"/>
      <c r="K36" s="119"/>
      <c r="L36" s="113"/>
      <c r="M36" s="112"/>
      <c r="N36" s="114"/>
      <c r="O36" s="114"/>
      <c r="P36" s="119"/>
      <c r="Q36" s="119"/>
      <c r="R36" s="108"/>
      <c r="S36" s="134"/>
      <c r="Z36" s="116"/>
      <c r="AA36" s="116"/>
      <c r="AB36" s="116"/>
      <c r="AC36" s="116"/>
    </row>
    <row r="37" spans="2:29" s="73" customFormat="1" ht="17.25">
      <c r="B37" s="104">
        <v>28</v>
      </c>
      <c r="C37" s="755"/>
      <c r="D37" s="753"/>
      <c r="E37" s="753"/>
      <c r="F37" s="753"/>
      <c r="G37" s="754" t="s">
        <v>3017</v>
      </c>
      <c r="H37" s="109"/>
      <c r="I37" s="110">
        <v>28</v>
      </c>
      <c r="J37" s="105"/>
      <c r="K37" s="119"/>
      <c r="L37" s="113"/>
      <c r="M37" s="112"/>
      <c r="N37" s="114"/>
      <c r="O37" s="114"/>
      <c r="P37" s="119"/>
      <c r="Q37" s="119"/>
      <c r="R37" s="108"/>
      <c r="S37" s="134"/>
      <c r="Z37" s="116"/>
      <c r="AA37" s="116"/>
      <c r="AB37" s="116"/>
      <c r="AC37" s="116"/>
    </row>
    <row r="38" spans="2:29" s="73" customFormat="1" ht="17.25">
      <c r="B38" s="104">
        <v>29</v>
      </c>
      <c r="C38" s="755" t="s">
        <v>3018</v>
      </c>
      <c r="D38" s="753"/>
      <c r="E38" s="753"/>
      <c r="F38" s="753"/>
      <c r="G38" s="754" t="s">
        <v>2981</v>
      </c>
      <c r="H38" s="109"/>
      <c r="I38" s="110">
        <v>29</v>
      </c>
      <c r="J38" s="105"/>
      <c r="K38" s="119"/>
      <c r="L38" s="113"/>
      <c r="M38" s="112"/>
      <c r="N38" s="114"/>
      <c r="O38" s="114"/>
      <c r="P38" s="119"/>
      <c r="Q38" s="119"/>
      <c r="R38" s="108"/>
      <c r="S38" s="134"/>
      <c r="Z38" s="116"/>
      <c r="AA38" s="116"/>
      <c r="AB38" s="116"/>
      <c r="AC38" s="116"/>
    </row>
    <row r="39" spans="2:29" s="73" customFormat="1" ht="17.25">
      <c r="B39" s="104">
        <v>30</v>
      </c>
      <c r="C39" s="753"/>
      <c r="D39" s="753"/>
      <c r="E39" s="753"/>
      <c r="F39" s="753"/>
      <c r="G39" s="754" t="s">
        <v>3019</v>
      </c>
      <c r="H39" s="109"/>
      <c r="I39" s="110">
        <v>30</v>
      </c>
      <c r="J39" s="105"/>
      <c r="K39" s="119"/>
      <c r="L39" s="113"/>
      <c r="M39" s="112"/>
      <c r="N39" s="114"/>
      <c r="O39" s="114"/>
      <c r="P39" s="119"/>
      <c r="Q39" s="119"/>
      <c r="R39" s="108"/>
      <c r="S39" s="134"/>
      <c r="Z39" s="116"/>
      <c r="AA39" s="116"/>
      <c r="AB39" s="116"/>
      <c r="AC39" s="116"/>
    </row>
    <row r="40" spans="2:29" s="73" customFormat="1" ht="13.5">
      <c r="B40" s="104">
        <v>31</v>
      </c>
      <c r="C40" s="121"/>
      <c r="D40" s="119"/>
      <c r="E40" s="107"/>
      <c r="F40" s="107"/>
      <c r="G40" s="108"/>
      <c r="H40" s="109"/>
      <c r="I40" s="110">
        <v>31</v>
      </c>
      <c r="J40" s="105"/>
      <c r="K40" s="119"/>
      <c r="L40" s="113"/>
      <c r="M40" s="112"/>
      <c r="N40" s="114"/>
      <c r="O40" s="114"/>
      <c r="P40" s="119"/>
      <c r="Q40" s="119"/>
      <c r="R40" s="108"/>
      <c r="S40" s="134"/>
      <c r="Z40" s="116"/>
      <c r="AA40" s="116"/>
      <c r="AB40" s="116"/>
      <c r="AC40" s="116"/>
    </row>
    <row r="41" spans="2:29" s="73" customFormat="1" ht="14.25" thickBot="1">
      <c r="B41" s="129"/>
      <c r="C41" s="130"/>
      <c r="D41" s="131"/>
      <c r="E41" s="131"/>
      <c r="F41" s="131"/>
      <c r="G41" s="131"/>
      <c r="H41" s="132"/>
      <c r="I41" s="135"/>
      <c r="J41" s="130"/>
      <c r="K41" s="131"/>
      <c r="L41" s="130"/>
      <c r="M41" s="131"/>
      <c r="N41" s="131"/>
      <c r="O41" s="131"/>
      <c r="P41" s="131"/>
      <c r="Q41" s="131"/>
      <c r="R41" s="131"/>
      <c r="S41" s="136"/>
      <c r="Z41" s="116"/>
      <c r="AA41" s="116"/>
      <c r="AB41" s="116"/>
      <c r="AC41" s="116"/>
    </row>
    <row r="42" spans="2:29" ht="18.75" customHeight="1">
      <c r="B42" s="100"/>
      <c r="C42" s="100"/>
      <c r="D42" s="100"/>
      <c r="E42" s="100"/>
      <c r="F42" s="100"/>
      <c r="G42" s="100"/>
      <c r="H42" s="100"/>
      <c r="I42" s="100"/>
      <c r="J42" s="100"/>
      <c r="K42" s="100"/>
      <c r="L42" s="100"/>
      <c r="M42" s="100"/>
      <c r="N42" s="133"/>
      <c r="O42" s="133"/>
      <c r="P42" s="100"/>
      <c r="Q42" s="133"/>
      <c r="R42" s="133"/>
      <c r="S42" s="100"/>
      <c r="T42" s="100"/>
      <c r="Z42" s="101"/>
      <c r="AA42" s="101"/>
      <c r="AB42" s="101"/>
      <c r="AC42" s="101"/>
    </row>
    <row r="43" spans="2:29" ht="18.75" customHeight="1">
      <c r="B43" s="51" t="s">
        <v>1025</v>
      </c>
      <c r="C43" s="73"/>
      <c r="D43" s="73"/>
      <c r="E43" s="73"/>
      <c r="F43" s="73"/>
      <c r="G43" s="73"/>
      <c r="H43" s="73"/>
      <c r="I43" s="73"/>
      <c r="J43" s="73"/>
      <c r="K43" s="73"/>
      <c r="L43" s="73"/>
      <c r="M43" s="73"/>
      <c r="N43" s="75"/>
      <c r="O43" s="75"/>
      <c r="P43" s="73"/>
      <c r="Q43" s="75"/>
      <c r="R43" s="75"/>
      <c r="S43" s="73"/>
      <c r="T43" s="100"/>
      <c r="Z43" s="101"/>
      <c r="AA43" s="101"/>
      <c r="AB43" s="101"/>
      <c r="AC43" s="101"/>
    </row>
    <row r="44" spans="2:29" ht="18.75" customHeight="1">
      <c r="B44" s="976" t="s">
        <v>826</v>
      </c>
      <c r="C44" s="976"/>
      <c r="D44" s="976" t="s">
        <v>1029</v>
      </c>
      <c r="E44" s="976"/>
      <c r="F44" s="976"/>
      <c r="G44" s="976"/>
      <c r="H44" s="976"/>
      <c r="I44" s="976"/>
      <c r="J44" s="976"/>
      <c r="K44" s="976"/>
      <c r="L44" s="976"/>
      <c r="M44" s="976"/>
      <c r="N44" s="976"/>
      <c r="O44" s="976"/>
      <c r="P44" s="976"/>
      <c r="Q44" s="976"/>
      <c r="R44" s="976"/>
      <c r="S44" s="976"/>
      <c r="T44" s="100"/>
      <c r="Z44" s="101"/>
      <c r="AA44" s="101"/>
      <c r="AB44" s="101"/>
      <c r="AC44" s="101"/>
    </row>
    <row r="45" spans="2:29" ht="22.5" customHeight="1">
      <c r="B45" s="977" t="s">
        <v>1033</v>
      </c>
      <c r="C45" s="978"/>
      <c r="D45" s="989"/>
      <c r="E45" s="990"/>
      <c r="F45" s="990"/>
      <c r="G45" s="990"/>
      <c r="H45" s="990"/>
      <c r="I45" s="990"/>
      <c r="J45" s="990"/>
      <c r="K45" s="990"/>
      <c r="L45" s="990"/>
      <c r="M45" s="990"/>
      <c r="N45" s="990"/>
      <c r="O45" s="990"/>
      <c r="P45" s="990"/>
      <c r="Q45" s="990"/>
      <c r="R45" s="990"/>
      <c r="S45" s="991"/>
      <c r="T45" s="100"/>
      <c r="Z45" s="101"/>
      <c r="AA45" s="101"/>
      <c r="AB45" s="101"/>
      <c r="AC45" s="101"/>
    </row>
    <row r="46" spans="2:29" ht="24.75" customHeight="1">
      <c r="B46" s="1008" t="s">
        <v>1038</v>
      </c>
      <c r="C46" s="1009"/>
      <c r="D46" s="1010"/>
      <c r="E46" s="1011"/>
      <c r="F46" s="1011"/>
      <c r="G46" s="1011"/>
      <c r="H46" s="1011"/>
      <c r="I46" s="1011"/>
      <c r="J46" s="1011"/>
      <c r="K46" s="1011"/>
      <c r="L46" s="1011"/>
      <c r="M46" s="1011"/>
      <c r="N46" s="1011"/>
      <c r="O46" s="1011"/>
      <c r="P46" s="1011"/>
      <c r="Q46" s="1011"/>
      <c r="R46" s="1011"/>
      <c r="S46" s="1012"/>
      <c r="T46" s="100"/>
      <c r="Z46" s="101"/>
      <c r="AA46" s="101"/>
      <c r="AB46" s="101"/>
      <c r="AC46" s="101"/>
    </row>
    <row r="47" spans="2:29" ht="18.75" customHeight="1">
      <c r="B47" s="75"/>
      <c r="C47" s="75"/>
      <c r="D47" s="75"/>
      <c r="E47" s="75"/>
      <c r="F47" s="75"/>
      <c r="G47" s="75"/>
      <c r="H47" s="75"/>
      <c r="I47" s="75"/>
      <c r="J47" s="75"/>
      <c r="K47" s="75"/>
      <c r="L47" s="75"/>
      <c r="M47" s="75"/>
      <c r="N47" s="75"/>
      <c r="O47" s="75"/>
      <c r="P47" s="75"/>
      <c r="Q47" s="75"/>
      <c r="R47" s="75"/>
      <c r="S47" s="75"/>
      <c r="T47" s="100"/>
      <c r="Z47" s="101"/>
      <c r="AA47" s="101"/>
      <c r="AB47" s="101"/>
      <c r="AC47" s="101"/>
    </row>
    <row r="48" spans="2:29" ht="18.75" customHeight="1">
      <c r="B48" s="51" t="s">
        <v>1045</v>
      </c>
      <c r="C48" s="73"/>
      <c r="D48" s="73"/>
      <c r="E48" s="73"/>
      <c r="F48" s="73"/>
      <c r="G48" s="73"/>
      <c r="H48" s="73"/>
      <c r="I48" s="73"/>
      <c r="J48" s="73"/>
      <c r="K48" s="73"/>
      <c r="L48" s="73"/>
      <c r="M48" s="73"/>
      <c r="N48" s="75"/>
      <c r="O48" s="75"/>
      <c r="P48" s="73"/>
      <c r="Q48" s="75"/>
      <c r="R48" s="75"/>
      <c r="S48" s="73"/>
      <c r="T48" s="100"/>
      <c r="Z48" s="101"/>
      <c r="AA48" s="101"/>
      <c r="AB48" s="101"/>
      <c r="AC48" s="101"/>
    </row>
    <row r="49" spans="2:29" ht="54" customHeight="1">
      <c r="B49" s="1014" t="s">
        <v>1049</v>
      </c>
      <c r="C49" s="1014"/>
      <c r="D49" s="1013"/>
      <c r="E49" s="1013"/>
      <c r="F49" s="1013"/>
      <c r="G49" s="1013"/>
      <c r="H49" s="1013"/>
      <c r="I49" s="1013"/>
      <c r="J49" s="1013"/>
      <c r="K49" s="1013"/>
      <c r="L49" s="1013"/>
      <c r="M49" s="1013"/>
      <c r="N49" s="1013"/>
      <c r="O49" s="1013"/>
      <c r="P49" s="1013"/>
      <c r="Q49" s="1013"/>
      <c r="R49" s="1013"/>
      <c r="S49" s="1013"/>
      <c r="Z49" s="101"/>
      <c r="AA49" s="101"/>
      <c r="AB49" s="101"/>
      <c r="AC49" s="101"/>
    </row>
    <row r="50" spans="2:29" ht="33" customHeight="1">
      <c r="B50" s="976" t="s">
        <v>1053</v>
      </c>
      <c r="C50" s="976"/>
      <c r="D50" s="1013"/>
      <c r="E50" s="1013"/>
      <c r="F50" s="1013"/>
      <c r="G50" s="1013"/>
      <c r="H50" s="1013"/>
      <c r="I50" s="1013"/>
      <c r="J50" s="1013"/>
      <c r="K50" s="1013"/>
      <c r="L50" s="1013"/>
      <c r="M50" s="1013"/>
      <c r="N50" s="1013"/>
      <c r="O50" s="1013"/>
      <c r="P50" s="1013"/>
      <c r="Q50" s="1013"/>
      <c r="R50" s="1013"/>
      <c r="S50" s="1013"/>
      <c r="Z50" s="101"/>
      <c r="AA50" s="101"/>
      <c r="AB50" s="101"/>
      <c r="AC50" s="101"/>
    </row>
    <row r="51" spans="2:29" ht="71.25" customHeight="1">
      <c r="B51" s="976" t="s">
        <v>1057</v>
      </c>
      <c r="C51" s="976"/>
      <c r="D51" s="1013"/>
      <c r="E51" s="1013"/>
      <c r="F51" s="1013"/>
      <c r="G51" s="1013"/>
      <c r="H51" s="1013"/>
      <c r="I51" s="1013"/>
      <c r="J51" s="1013"/>
      <c r="K51" s="1013"/>
      <c r="L51" s="1013"/>
      <c r="M51" s="1013"/>
      <c r="N51" s="1013"/>
      <c r="O51" s="1013"/>
      <c r="P51" s="1013"/>
      <c r="Q51" s="1013"/>
      <c r="R51" s="1013"/>
      <c r="S51" s="1013"/>
      <c r="Z51" s="101"/>
      <c r="AA51" s="101"/>
      <c r="AB51" s="101"/>
      <c r="AC51" s="101"/>
    </row>
    <row r="52" spans="2:29" ht="38.25" customHeight="1">
      <c r="B52" s="976" t="s">
        <v>1061</v>
      </c>
      <c r="C52" s="976"/>
      <c r="D52" s="1013"/>
      <c r="E52" s="1013"/>
      <c r="F52" s="1013"/>
      <c r="G52" s="1013"/>
      <c r="H52" s="1013"/>
      <c r="I52" s="1013"/>
      <c r="J52" s="1013"/>
      <c r="K52" s="1013"/>
      <c r="L52" s="1013"/>
      <c r="M52" s="1013"/>
      <c r="N52" s="1013"/>
      <c r="O52" s="1013"/>
      <c r="P52" s="1013"/>
      <c r="Q52" s="1013"/>
      <c r="R52" s="1013"/>
      <c r="S52" s="1013"/>
      <c r="Z52" s="101"/>
      <c r="AA52" s="101"/>
      <c r="AB52" s="101"/>
      <c r="AC52" s="101"/>
    </row>
    <row r="53" spans="2:29" s="73" customFormat="1" ht="15" customHeight="1"/>
    <row r="54" spans="2:29" s="73" customFormat="1" ht="15" customHeight="1"/>
    <row r="55" spans="2:29" s="73" customFormat="1" ht="15" customHeight="1"/>
    <row r="56" spans="2:29" s="73" customFormat="1" ht="15" customHeight="1"/>
    <row r="57" spans="2:29" s="73" customFormat="1" ht="15" customHeight="1"/>
    <row r="58" spans="2:29" s="73" customFormat="1" ht="15" customHeight="1"/>
    <row r="59" spans="2:29" s="73" customFormat="1" ht="15" customHeight="1"/>
    <row r="60" spans="2:29" s="73" customFormat="1" ht="15" customHeight="1"/>
    <row r="61" spans="2:29" s="73" customFormat="1" ht="15" customHeight="1"/>
    <row r="62" spans="2:29" s="73" customFormat="1" ht="15" customHeight="1"/>
    <row r="63" spans="2:29" s="73" customFormat="1" ht="15" customHeight="1"/>
    <row r="64" spans="2:2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row r="97" s="73" customFormat="1" ht="15" customHeight="1"/>
    <row r="98" s="73" customFormat="1" ht="15" customHeight="1"/>
  </sheetData>
  <mergeCells count="25">
    <mergeCell ref="B44:C44"/>
    <mergeCell ref="D44:S44"/>
    <mergeCell ref="B45:C45"/>
    <mergeCell ref="B5:H5"/>
    <mergeCell ref="I5:Q5"/>
    <mergeCell ref="R5:R7"/>
    <mergeCell ref="S5:S7"/>
    <mergeCell ref="C6:H6"/>
    <mergeCell ref="J6:Q6"/>
    <mergeCell ref="D45:S45"/>
    <mergeCell ref="B2:I3"/>
    <mergeCell ref="K2:N2"/>
    <mergeCell ref="P2:S2"/>
    <mergeCell ref="K3:N3"/>
    <mergeCell ref="P3:S3"/>
    <mergeCell ref="B46:C46"/>
    <mergeCell ref="D46:S46"/>
    <mergeCell ref="B52:C52"/>
    <mergeCell ref="D52:S52"/>
    <mergeCell ref="B49:C49"/>
    <mergeCell ref="D49:S49"/>
    <mergeCell ref="B50:C50"/>
    <mergeCell ref="D50:S50"/>
    <mergeCell ref="B51:C51"/>
    <mergeCell ref="D51:S51"/>
  </mergeCells>
  <phoneticPr fontId="4" type="noConversion"/>
  <hyperlinks>
    <hyperlink ref="A1" location="List!A1" display="Top" xr:uid="{D37090E7-9078-4048-BA37-0E2892B61084}"/>
  </hyperlinks>
  <pageMargins left="0.7" right="0.7" top="0.75" bottom="0.75" header="0.3" footer="0.3"/>
  <customProperties>
    <customPr name="_pios_id" r:id="rId1"/>
  </customProperties>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80DC3-E127-4DFE-BBBD-D8256276760D}">
  <sheetPr>
    <tabColor theme="9" tint="0.79998168889431442"/>
  </sheetPr>
  <dimension ref="A1:AC96"/>
  <sheetViews>
    <sheetView showGridLines="0" topLeftCell="A3" workbookViewId="0">
      <selection activeCell="H31" sqref="H31"/>
    </sheetView>
  </sheetViews>
  <sheetFormatPr defaultColWidth="12.625" defaultRowHeight="16.5"/>
  <cols>
    <col min="1" max="1" width="2.125" style="69" customWidth="1"/>
    <col min="2" max="2" width="5.125" style="69" customWidth="1"/>
    <col min="3" max="3" width="30.87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17.25" thickBot="1">
      <c r="A1" s="67" t="s">
        <v>814</v>
      </c>
    </row>
    <row r="2" spans="1:29">
      <c r="B2" s="992" t="s">
        <v>3020</v>
      </c>
      <c r="C2" s="993"/>
      <c r="D2" s="993"/>
      <c r="E2" s="993"/>
      <c r="F2" s="993"/>
      <c r="G2" s="993"/>
      <c r="H2" s="993"/>
      <c r="I2" s="994"/>
      <c r="J2" s="70" t="s">
        <v>816</v>
      </c>
      <c r="K2" s="998" t="s">
        <v>145</v>
      </c>
      <c r="L2" s="999"/>
      <c r="M2" s="999"/>
      <c r="N2" s="1000"/>
      <c r="O2" s="70" t="s">
        <v>817</v>
      </c>
      <c r="P2" s="1001" t="s">
        <v>818</v>
      </c>
      <c r="Q2" s="1001"/>
      <c r="R2" s="1001"/>
      <c r="S2" s="1002"/>
      <c r="T2" s="71"/>
    </row>
    <row r="3" spans="1:29" ht="17.25"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17.25" thickBot="1">
      <c r="B4" s="74" t="s">
        <v>822</v>
      </c>
      <c r="C4" s="73"/>
      <c r="D4" s="73"/>
      <c r="E4" s="73"/>
      <c r="F4" s="73"/>
      <c r="G4" s="73"/>
      <c r="H4" s="73"/>
      <c r="I4" s="73"/>
      <c r="J4" s="73"/>
      <c r="K4" s="73"/>
      <c r="L4" s="73"/>
      <c r="M4" s="73"/>
      <c r="N4" s="75"/>
      <c r="O4" s="75"/>
      <c r="P4" s="73"/>
      <c r="Q4" s="75"/>
      <c r="R4" s="75"/>
      <c r="S4" s="73"/>
      <c r="T4" s="73"/>
    </row>
    <row r="5" spans="1:29" ht="20.25">
      <c r="B5" s="979" t="s">
        <v>3021</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27">
      <c r="B6" s="78" t="s">
        <v>828</v>
      </c>
      <c r="C6" s="987"/>
      <c r="D6" s="984"/>
      <c r="E6" s="984"/>
      <c r="F6" s="984"/>
      <c r="G6" s="984"/>
      <c r="H6" s="986"/>
      <c r="I6" s="102" t="s">
        <v>829</v>
      </c>
      <c r="J6" s="988"/>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204" t="s">
        <v>3022</v>
      </c>
      <c r="D8" s="205" t="s">
        <v>1870</v>
      </c>
      <c r="E8" s="206" t="s">
        <v>2865</v>
      </c>
      <c r="F8" s="206">
        <v>8</v>
      </c>
      <c r="G8" s="211" t="s">
        <v>3023</v>
      </c>
      <c r="H8" s="109"/>
      <c r="I8" s="110">
        <v>1</v>
      </c>
      <c r="J8" s="507" t="s">
        <v>3024</v>
      </c>
      <c r="K8" s="505" t="s">
        <v>2810</v>
      </c>
      <c r="L8" s="483" t="s">
        <v>1188</v>
      </c>
      <c r="M8" s="484">
        <v>1000</v>
      </c>
      <c r="N8" s="492" t="s">
        <v>3025</v>
      </c>
      <c r="O8" s="114"/>
      <c r="P8" s="112"/>
      <c r="Q8" s="112"/>
      <c r="R8" s="114"/>
      <c r="S8" s="134"/>
      <c r="Z8" s="116" t="s">
        <v>848</v>
      </c>
      <c r="AA8" s="116" t="s">
        <v>849</v>
      </c>
      <c r="AB8" s="116" t="s">
        <v>850</v>
      </c>
      <c r="AC8" s="116" t="s">
        <v>851</v>
      </c>
    </row>
    <row r="9" spans="1:29" s="73" customFormat="1" ht="13.5">
      <c r="B9" s="104">
        <v>2</v>
      </c>
      <c r="C9" s="22" t="s">
        <v>1538</v>
      </c>
      <c r="D9" s="205" t="s">
        <v>1870</v>
      </c>
      <c r="E9" s="206" t="s">
        <v>845</v>
      </c>
      <c r="F9" s="206">
        <v>4</v>
      </c>
      <c r="G9" s="211" t="s">
        <v>1873</v>
      </c>
      <c r="H9" s="109"/>
      <c r="I9" s="110">
        <v>2</v>
      </c>
      <c r="J9" s="496" t="s">
        <v>2862</v>
      </c>
      <c r="K9" s="506" t="s">
        <v>2810</v>
      </c>
      <c r="L9" s="486" t="s">
        <v>1188</v>
      </c>
      <c r="M9" s="487">
        <v>1000</v>
      </c>
      <c r="N9" s="492" t="s">
        <v>862</v>
      </c>
      <c r="O9" s="114"/>
      <c r="P9" s="112"/>
      <c r="Q9" s="112"/>
      <c r="R9" s="114"/>
      <c r="S9" s="134"/>
      <c r="T9" s="71"/>
      <c r="Z9" s="116" t="s">
        <v>857</v>
      </c>
      <c r="AA9" s="116" t="s">
        <v>858</v>
      </c>
      <c r="AB9" s="116" t="s">
        <v>859</v>
      </c>
      <c r="AC9" s="116" t="s">
        <v>860</v>
      </c>
    </row>
    <row r="10" spans="1:29" s="73" customFormat="1" ht="13.5">
      <c r="B10" s="104">
        <v>3</v>
      </c>
      <c r="C10" s="207" t="s">
        <v>3026</v>
      </c>
      <c r="D10" s="205" t="s">
        <v>1870</v>
      </c>
      <c r="E10" s="206" t="s">
        <v>845</v>
      </c>
      <c r="F10" s="206">
        <v>10</v>
      </c>
      <c r="G10" s="205" t="s">
        <v>1675</v>
      </c>
      <c r="H10" s="109"/>
      <c r="I10" s="110">
        <v>3</v>
      </c>
      <c r="J10" s="499" t="s">
        <v>2903</v>
      </c>
      <c r="K10" s="506" t="s">
        <v>2810</v>
      </c>
      <c r="L10" s="486" t="s">
        <v>1188</v>
      </c>
      <c r="M10" s="487">
        <v>1000</v>
      </c>
      <c r="N10" s="506" t="s">
        <v>1675</v>
      </c>
      <c r="O10" s="114"/>
      <c r="P10" s="112"/>
      <c r="Q10" s="112"/>
      <c r="R10" s="114"/>
      <c r="S10" s="134"/>
      <c r="T10" s="71"/>
      <c r="Z10" s="116" t="s">
        <v>865</v>
      </c>
      <c r="AA10" s="116" t="s">
        <v>866</v>
      </c>
      <c r="AB10" s="116" t="s">
        <v>867</v>
      </c>
      <c r="AC10" s="116" t="s">
        <v>868</v>
      </c>
    </row>
    <row r="11" spans="1:29" s="73" customFormat="1" ht="13.5">
      <c r="B11" s="104">
        <v>4</v>
      </c>
      <c r="C11" s="207" t="s">
        <v>1547</v>
      </c>
      <c r="D11" s="205" t="s">
        <v>1870</v>
      </c>
      <c r="E11" s="206" t="s">
        <v>845</v>
      </c>
      <c r="F11" s="206">
        <v>40</v>
      </c>
      <c r="G11" s="207" t="s">
        <v>1548</v>
      </c>
      <c r="H11" s="109"/>
      <c r="I11" s="110">
        <v>4</v>
      </c>
      <c r="J11" s="499" t="s">
        <v>2809</v>
      </c>
      <c r="K11" s="506" t="s">
        <v>2810</v>
      </c>
      <c r="L11" s="486" t="s">
        <v>1188</v>
      </c>
      <c r="M11" s="487">
        <v>1000</v>
      </c>
      <c r="N11" s="499" t="s">
        <v>1548</v>
      </c>
      <c r="O11" s="108"/>
      <c r="P11" s="119"/>
      <c r="Q11" s="119"/>
      <c r="R11" s="108"/>
      <c r="S11" s="134"/>
      <c r="Z11" s="116" t="s">
        <v>873</v>
      </c>
      <c r="AA11" s="116" t="s">
        <v>858</v>
      </c>
      <c r="AB11" s="116" t="s">
        <v>874</v>
      </c>
      <c r="AC11" s="116" t="s">
        <v>875</v>
      </c>
    </row>
    <row r="12" spans="1:29" s="73" customFormat="1" ht="13.5">
      <c r="B12" s="104">
        <v>5</v>
      </c>
      <c r="C12" s="207" t="s">
        <v>2131</v>
      </c>
      <c r="D12" s="205" t="s">
        <v>1870</v>
      </c>
      <c r="E12" s="206" t="s">
        <v>1649</v>
      </c>
      <c r="F12" s="206">
        <v>5</v>
      </c>
      <c r="G12" s="207" t="s">
        <v>1404</v>
      </c>
      <c r="H12" s="109"/>
      <c r="I12" s="110">
        <v>5</v>
      </c>
      <c r="J12" s="508" t="s">
        <v>1644</v>
      </c>
      <c r="K12" s="509" t="s">
        <v>2810</v>
      </c>
      <c r="L12" s="486" t="s">
        <v>1188</v>
      </c>
      <c r="M12" s="487">
        <v>1000</v>
      </c>
      <c r="N12" s="499" t="s">
        <v>1404</v>
      </c>
      <c r="O12" s="108"/>
      <c r="P12" s="119"/>
      <c r="Q12" s="119"/>
      <c r="R12" s="108"/>
      <c r="S12" s="134"/>
      <c r="Z12" s="116" t="s">
        <v>880</v>
      </c>
      <c r="AA12" s="116" t="s">
        <v>881</v>
      </c>
      <c r="AB12" s="116" t="s">
        <v>882</v>
      </c>
      <c r="AC12" s="116" t="s">
        <v>883</v>
      </c>
    </row>
    <row r="13" spans="1:29" s="73" customFormat="1" ht="13.5">
      <c r="B13" s="104">
        <v>6</v>
      </c>
      <c r="C13" s="762" t="s">
        <v>3027</v>
      </c>
      <c r="D13" s="763" t="s">
        <v>1870</v>
      </c>
      <c r="E13" s="764" t="s">
        <v>1581</v>
      </c>
      <c r="F13" s="764">
        <v>3</v>
      </c>
      <c r="G13" s="765" t="s">
        <v>1101</v>
      </c>
      <c r="H13" s="109"/>
      <c r="I13" s="110">
        <v>6</v>
      </c>
      <c r="J13" s="647" t="s">
        <v>2129</v>
      </c>
      <c r="K13" s="642" t="s">
        <v>2810</v>
      </c>
      <c r="L13" s="486" t="s">
        <v>1188</v>
      </c>
      <c r="M13" s="487">
        <v>1000</v>
      </c>
      <c r="N13" s="492" t="s">
        <v>1101</v>
      </c>
      <c r="O13" s="108"/>
      <c r="P13" s="119"/>
      <c r="Q13" s="112"/>
      <c r="R13" s="114"/>
      <c r="S13" s="134"/>
      <c r="Z13" s="116" t="s">
        <v>888</v>
      </c>
      <c r="AA13" s="116" t="s">
        <v>889</v>
      </c>
      <c r="AB13" s="116" t="s">
        <v>890</v>
      </c>
      <c r="AC13" s="116" t="s">
        <v>891</v>
      </c>
    </row>
    <row r="14" spans="1:29" s="73" customFormat="1" ht="13.5">
      <c r="B14" s="104">
        <v>7</v>
      </c>
      <c r="C14" s="762" t="s">
        <v>1874</v>
      </c>
      <c r="D14" s="763" t="s">
        <v>1870</v>
      </c>
      <c r="E14" s="764" t="s">
        <v>845</v>
      </c>
      <c r="F14" s="764">
        <v>2</v>
      </c>
      <c r="G14" s="766" t="s">
        <v>1875</v>
      </c>
      <c r="H14" s="109"/>
      <c r="I14" s="110">
        <v>7</v>
      </c>
      <c r="J14" s="493" t="s">
        <v>3028</v>
      </c>
      <c r="K14" s="642" t="s">
        <v>2810</v>
      </c>
      <c r="L14" s="486" t="s">
        <v>1188</v>
      </c>
      <c r="M14" s="487">
        <v>1000</v>
      </c>
      <c r="N14" s="492" t="s">
        <v>1667</v>
      </c>
      <c r="O14" s="108"/>
      <c r="P14" s="119"/>
      <c r="Q14" s="112"/>
      <c r="R14" s="114"/>
      <c r="S14" s="134"/>
      <c r="Z14" s="116" t="s">
        <v>896</v>
      </c>
      <c r="AA14" s="116" t="s">
        <v>849</v>
      </c>
      <c r="AB14" s="116" t="s">
        <v>897</v>
      </c>
      <c r="AC14" s="116" t="s">
        <v>898</v>
      </c>
    </row>
    <row r="15" spans="1:29" s="73" customFormat="1" ht="13.5">
      <c r="B15" s="104">
        <v>8</v>
      </c>
      <c r="C15" s="215" t="s">
        <v>3029</v>
      </c>
      <c r="D15" s="205"/>
      <c r="E15" s="206" t="s">
        <v>2993</v>
      </c>
      <c r="F15" s="206" t="s">
        <v>2994</v>
      </c>
      <c r="G15" s="207" t="s">
        <v>3030</v>
      </c>
      <c r="H15" s="109"/>
      <c r="I15" s="110">
        <v>8</v>
      </c>
      <c r="J15" s="510" t="s">
        <v>3031</v>
      </c>
      <c r="K15" s="506" t="s">
        <v>1368</v>
      </c>
      <c r="L15" s="486" t="s">
        <v>1188</v>
      </c>
      <c r="M15" s="487">
        <v>1000</v>
      </c>
      <c r="N15" s="499" t="s">
        <v>3030</v>
      </c>
      <c r="O15" s="108"/>
      <c r="P15" s="119"/>
      <c r="Q15" s="112"/>
      <c r="R15" s="114"/>
      <c r="S15" s="134"/>
      <c r="Z15" s="116" t="s">
        <v>903</v>
      </c>
      <c r="AA15" s="116" t="s">
        <v>858</v>
      </c>
      <c r="AB15" s="116" t="s">
        <v>904</v>
      </c>
      <c r="AC15" s="116" t="s">
        <v>860</v>
      </c>
    </row>
    <row r="16" spans="1:29" s="73" customFormat="1" ht="13.5">
      <c r="B16" s="104">
        <v>9</v>
      </c>
      <c r="C16" s="204" t="s">
        <v>3032</v>
      </c>
      <c r="D16" s="205"/>
      <c r="E16" s="206" t="s">
        <v>2993</v>
      </c>
      <c r="F16" s="206" t="s">
        <v>2994</v>
      </c>
      <c r="G16" s="209" t="s">
        <v>3033</v>
      </c>
      <c r="H16" s="109"/>
      <c r="I16" s="110">
        <v>9</v>
      </c>
      <c r="J16" s="510" t="s">
        <v>3034</v>
      </c>
      <c r="K16" s="506" t="s">
        <v>1368</v>
      </c>
      <c r="L16" s="486" t="s">
        <v>1188</v>
      </c>
      <c r="M16" s="487">
        <v>1000</v>
      </c>
      <c r="N16" s="499" t="s">
        <v>3033</v>
      </c>
      <c r="O16" s="108"/>
      <c r="P16" s="119"/>
      <c r="Q16" s="112"/>
      <c r="R16" s="114"/>
      <c r="S16" s="134"/>
      <c r="Z16" s="116" t="s">
        <v>909</v>
      </c>
      <c r="AA16" s="116" t="s">
        <v>858</v>
      </c>
      <c r="AB16" s="116" t="s">
        <v>910</v>
      </c>
      <c r="AC16" s="116" t="s">
        <v>911</v>
      </c>
    </row>
    <row r="17" spans="2:29" s="73" customFormat="1" ht="13.5">
      <c r="B17" s="104">
        <v>10</v>
      </c>
      <c r="C17" s="204" t="s">
        <v>3035</v>
      </c>
      <c r="D17" s="205"/>
      <c r="E17" s="206" t="s">
        <v>2993</v>
      </c>
      <c r="F17" s="206" t="s">
        <v>2994</v>
      </c>
      <c r="G17" s="209" t="s">
        <v>3036</v>
      </c>
      <c r="H17" s="109"/>
      <c r="I17" s="110">
        <v>10</v>
      </c>
      <c r="J17" s="510" t="s">
        <v>3037</v>
      </c>
      <c r="K17" s="506" t="s">
        <v>1368</v>
      </c>
      <c r="L17" s="486" t="s">
        <v>1188</v>
      </c>
      <c r="M17" s="487">
        <v>1000</v>
      </c>
      <c r="N17" s="499" t="s">
        <v>3036</v>
      </c>
      <c r="O17" s="108"/>
      <c r="P17" s="112"/>
      <c r="Q17" s="112"/>
      <c r="R17" s="114"/>
      <c r="S17" s="134"/>
      <c r="Z17" s="116" t="s">
        <v>920</v>
      </c>
      <c r="AA17" s="116" t="s">
        <v>849</v>
      </c>
      <c r="AB17" s="116" t="s">
        <v>921</v>
      </c>
      <c r="AC17" s="116" t="s">
        <v>922</v>
      </c>
    </row>
    <row r="18" spans="2:29" s="73" customFormat="1" ht="13.5">
      <c r="B18" s="104">
        <v>11</v>
      </c>
      <c r="C18" s="204" t="s">
        <v>3038</v>
      </c>
      <c r="D18" s="205"/>
      <c r="E18" s="206" t="s">
        <v>2993</v>
      </c>
      <c r="F18" s="206" t="s">
        <v>2994</v>
      </c>
      <c r="G18" s="209" t="s">
        <v>3039</v>
      </c>
      <c r="H18" s="109"/>
      <c r="I18" s="110">
        <v>11</v>
      </c>
      <c r="J18" s="510" t="s">
        <v>3040</v>
      </c>
      <c r="K18" s="506" t="s">
        <v>1368</v>
      </c>
      <c r="L18" s="486" t="s">
        <v>1188</v>
      </c>
      <c r="M18" s="487">
        <v>1000</v>
      </c>
      <c r="N18" s="499" t="s">
        <v>3039</v>
      </c>
      <c r="O18" s="114"/>
      <c r="P18" s="112"/>
      <c r="Q18" s="112"/>
      <c r="R18" s="114"/>
      <c r="S18" s="134"/>
      <c r="Z18" s="116" t="s">
        <v>931</v>
      </c>
      <c r="AA18" s="116" t="s">
        <v>932</v>
      </c>
      <c r="AB18" s="116" t="s">
        <v>933</v>
      </c>
      <c r="AC18" s="116" t="s">
        <v>934</v>
      </c>
    </row>
    <row r="19" spans="2:29" s="73" customFormat="1" ht="13.5">
      <c r="B19" s="104">
        <v>12</v>
      </c>
      <c r="C19" s="767" t="s">
        <v>3041</v>
      </c>
      <c r="D19" s="758"/>
      <c r="E19" s="759" t="s">
        <v>2993</v>
      </c>
      <c r="F19" s="759" t="s">
        <v>2994</v>
      </c>
      <c r="G19" s="768" t="s">
        <v>3042</v>
      </c>
      <c r="H19" s="109"/>
      <c r="I19" s="110">
        <v>12</v>
      </c>
      <c r="J19" s="510" t="s">
        <v>3043</v>
      </c>
      <c r="K19" s="506" t="s">
        <v>1368</v>
      </c>
      <c r="L19" s="486" t="s">
        <v>1188</v>
      </c>
      <c r="M19" s="487">
        <v>1000</v>
      </c>
      <c r="N19" s="492" t="s">
        <v>3044</v>
      </c>
      <c r="O19" s="114"/>
      <c r="P19" s="112"/>
      <c r="Q19" s="112"/>
      <c r="R19" s="114"/>
      <c r="S19" s="134"/>
      <c r="Z19" s="116" t="s">
        <v>941</v>
      </c>
      <c r="AA19" s="116" t="s">
        <v>942</v>
      </c>
      <c r="AB19" s="116" t="s">
        <v>943</v>
      </c>
      <c r="AC19" s="116" t="s">
        <v>944</v>
      </c>
    </row>
    <row r="20" spans="2:29" s="73" customFormat="1" ht="13.5">
      <c r="B20" s="104">
        <v>13</v>
      </c>
      <c r="C20" s="767" t="s">
        <v>3045</v>
      </c>
      <c r="D20" s="758"/>
      <c r="E20" s="759" t="s">
        <v>2993</v>
      </c>
      <c r="F20" s="759" t="s">
        <v>2994</v>
      </c>
      <c r="G20" s="756" t="s">
        <v>3046</v>
      </c>
      <c r="H20" s="109"/>
      <c r="I20" s="110">
        <v>13</v>
      </c>
      <c r="J20" s="510" t="s">
        <v>3047</v>
      </c>
      <c r="K20" s="506" t="s">
        <v>1368</v>
      </c>
      <c r="L20" s="486" t="s">
        <v>1188</v>
      </c>
      <c r="M20" s="487">
        <v>1000</v>
      </c>
      <c r="N20" s="511" t="s">
        <v>3048</v>
      </c>
      <c r="O20" s="114"/>
      <c r="P20" s="112"/>
      <c r="Q20" s="112"/>
      <c r="R20" s="114"/>
      <c r="S20" s="134"/>
      <c r="Z20" s="116" t="s">
        <v>952</v>
      </c>
      <c r="AA20" s="116" t="s">
        <v>942</v>
      </c>
      <c r="AB20" s="116" t="s">
        <v>953</v>
      </c>
      <c r="AC20" s="116" t="s">
        <v>954</v>
      </c>
    </row>
    <row r="21" spans="2:29" s="73" customFormat="1" ht="13.5">
      <c r="B21" s="104">
        <v>14</v>
      </c>
      <c r="C21" s="204" t="s">
        <v>3049</v>
      </c>
      <c r="D21" s="205"/>
      <c r="E21" s="206" t="s">
        <v>2993</v>
      </c>
      <c r="F21" s="206" t="s">
        <v>2994</v>
      </c>
      <c r="G21" s="207" t="s">
        <v>3050</v>
      </c>
      <c r="H21" s="109"/>
      <c r="I21" s="110">
        <v>14</v>
      </c>
      <c r="J21" s="510" t="s">
        <v>3051</v>
      </c>
      <c r="K21" s="506" t="s">
        <v>1368</v>
      </c>
      <c r="L21" s="486" t="s">
        <v>1188</v>
      </c>
      <c r="M21" s="487">
        <v>1000</v>
      </c>
      <c r="N21" s="499" t="s">
        <v>3050</v>
      </c>
      <c r="O21" s="108"/>
      <c r="P21" s="119"/>
      <c r="Q21" s="119"/>
      <c r="R21" s="108"/>
      <c r="S21" s="134"/>
      <c r="Z21" s="116" t="s">
        <v>958</v>
      </c>
      <c r="AA21" s="116" t="s">
        <v>959</v>
      </c>
      <c r="AB21" s="116" t="s">
        <v>960</v>
      </c>
      <c r="AC21" s="116" t="s">
        <v>961</v>
      </c>
    </row>
    <row r="22" spans="2:29" s="73" customFormat="1" ht="13.5">
      <c r="B22" s="104">
        <v>15</v>
      </c>
      <c r="C22" s="204" t="s">
        <v>3052</v>
      </c>
      <c r="D22" s="205"/>
      <c r="E22" s="206" t="s">
        <v>2993</v>
      </c>
      <c r="F22" s="206" t="s">
        <v>2994</v>
      </c>
      <c r="G22" s="209" t="s">
        <v>3053</v>
      </c>
      <c r="H22" s="109"/>
      <c r="I22" s="110">
        <v>15</v>
      </c>
      <c r="J22" s="510" t="s">
        <v>3054</v>
      </c>
      <c r="K22" s="506" t="s">
        <v>1368</v>
      </c>
      <c r="L22" s="486" t="s">
        <v>1188</v>
      </c>
      <c r="M22" s="487">
        <v>1000</v>
      </c>
      <c r="N22" s="499" t="s">
        <v>3055</v>
      </c>
      <c r="O22" s="108"/>
      <c r="P22" s="119"/>
      <c r="Q22" s="119"/>
      <c r="R22" s="108"/>
      <c r="S22" s="134"/>
      <c r="Z22" s="116" t="s">
        <v>965</v>
      </c>
      <c r="AA22" s="116" t="s">
        <v>966</v>
      </c>
      <c r="AB22" s="116" t="s">
        <v>967</v>
      </c>
      <c r="AC22" s="116" t="s">
        <v>968</v>
      </c>
    </row>
    <row r="23" spans="2:29" s="73" customFormat="1" ht="27">
      <c r="B23" s="104">
        <v>16</v>
      </c>
      <c r="C23" s="204" t="s">
        <v>3056</v>
      </c>
      <c r="D23" s="205"/>
      <c r="E23" s="206" t="s">
        <v>2993</v>
      </c>
      <c r="F23" s="206" t="s">
        <v>2994</v>
      </c>
      <c r="G23" s="209" t="s">
        <v>3057</v>
      </c>
      <c r="H23" s="109"/>
      <c r="I23" s="110">
        <v>16</v>
      </c>
      <c r="J23" s="510" t="s">
        <v>3058</v>
      </c>
      <c r="K23" s="506" t="s">
        <v>1368</v>
      </c>
      <c r="L23" s="486" t="s">
        <v>1188</v>
      </c>
      <c r="M23" s="487">
        <v>1000</v>
      </c>
      <c r="N23" s="499" t="s">
        <v>3057</v>
      </c>
      <c r="O23" s="114"/>
      <c r="P23" s="119"/>
      <c r="Q23" s="119"/>
      <c r="R23" s="108"/>
      <c r="S23" s="134"/>
      <c r="Z23" s="116" t="s">
        <v>969</v>
      </c>
      <c r="AA23" s="116" t="s">
        <v>970</v>
      </c>
      <c r="AB23" s="116" t="s">
        <v>971</v>
      </c>
      <c r="AC23" s="116" t="s">
        <v>972</v>
      </c>
    </row>
    <row r="24" spans="2:29" s="73" customFormat="1" ht="13.5">
      <c r="B24" s="104">
        <v>17</v>
      </c>
      <c r="C24" s="204" t="s">
        <v>3059</v>
      </c>
      <c r="D24" s="205"/>
      <c r="E24" s="206" t="s">
        <v>2993</v>
      </c>
      <c r="F24" s="206" t="s">
        <v>2994</v>
      </c>
      <c r="G24" s="209" t="s">
        <v>3060</v>
      </c>
      <c r="H24" s="109"/>
      <c r="I24" s="110">
        <v>17</v>
      </c>
      <c r="J24" s="510" t="s">
        <v>3061</v>
      </c>
      <c r="K24" s="506" t="s">
        <v>1368</v>
      </c>
      <c r="L24" s="486" t="s">
        <v>1188</v>
      </c>
      <c r="M24" s="487">
        <v>1000</v>
      </c>
      <c r="N24" s="499" t="s">
        <v>3060</v>
      </c>
      <c r="O24" s="114"/>
      <c r="P24" s="119"/>
      <c r="Q24" s="119"/>
      <c r="R24" s="108"/>
      <c r="S24" s="134"/>
      <c r="Z24" s="116" t="s">
        <v>973</v>
      </c>
      <c r="AA24" s="116" t="s">
        <v>970</v>
      </c>
      <c r="AB24" s="116" t="s">
        <v>974</v>
      </c>
      <c r="AC24" s="116" t="s">
        <v>975</v>
      </c>
    </row>
    <row r="25" spans="2:29" s="73" customFormat="1" ht="13.5">
      <c r="B25" s="104">
        <v>18</v>
      </c>
      <c r="C25" s="767" t="s">
        <v>3062</v>
      </c>
      <c r="D25" s="574"/>
      <c r="E25" s="759" t="s">
        <v>2993</v>
      </c>
      <c r="F25" s="759" t="s">
        <v>2994</v>
      </c>
      <c r="G25" s="140" t="s">
        <v>3063</v>
      </c>
      <c r="H25" s="109"/>
      <c r="I25" s="110">
        <v>18</v>
      </c>
      <c r="J25" s="105" t="s">
        <v>3064</v>
      </c>
      <c r="K25" s="119"/>
      <c r="L25" s="727" t="s">
        <v>1188</v>
      </c>
      <c r="M25" s="728">
        <v>1000</v>
      </c>
      <c r="N25" s="108" t="s">
        <v>3065</v>
      </c>
      <c r="O25" s="114"/>
      <c r="P25" s="119"/>
      <c r="Q25" s="119"/>
      <c r="R25" s="108"/>
      <c r="S25" s="134"/>
      <c r="Z25" s="116" t="s">
        <v>976</v>
      </c>
      <c r="AA25" s="116" t="s">
        <v>977</v>
      </c>
      <c r="AB25" s="116" t="s">
        <v>978</v>
      </c>
      <c r="AC25" s="116" t="s">
        <v>979</v>
      </c>
    </row>
    <row r="26" spans="2:29" s="73" customFormat="1" ht="13.5">
      <c r="B26" s="104">
        <v>19</v>
      </c>
      <c r="C26" s="121"/>
      <c r="D26" s="119"/>
      <c r="E26" s="107"/>
      <c r="F26" s="107"/>
      <c r="G26" s="108"/>
      <c r="H26" s="109"/>
      <c r="I26" s="110">
        <v>19</v>
      </c>
      <c r="J26" s="105"/>
      <c r="K26" s="119"/>
      <c r="L26" s="113"/>
      <c r="M26" s="112"/>
      <c r="N26" s="114"/>
      <c r="O26" s="114"/>
      <c r="P26" s="119"/>
      <c r="Q26" s="119"/>
      <c r="R26" s="108"/>
      <c r="S26" s="134"/>
      <c r="Z26" s="116" t="s">
        <v>980</v>
      </c>
      <c r="AA26" s="116" t="s">
        <v>981</v>
      </c>
      <c r="AB26" s="116" t="s">
        <v>982</v>
      </c>
      <c r="AC26" s="116" t="s">
        <v>983</v>
      </c>
    </row>
    <row r="27" spans="2:29" s="73" customFormat="1" ht="13.5">
      <c r="B27" s="104">
        <v>20</v>
      </c>
      <c r="C27" s="121"/>
      <c r="D27" s="119"/>
      <c r="E27" s="107"/>
      <c r="F27" s="107"/>
      <c r="G27" s="108"/>
      <c r="H27" s="109"/>
      <c r="I27" s="110">
        <v>20</v>
      </c>
      <c r="J27" s="105"/>
      <c r="K27" s="119"/>
      <c r="L27" s="113"/>
      <c r="M27" s="112"/>
      <c r="N27" s="114"/>
      <c r="O27" s="114"/>
      <c r="P27" s="119"/>
      <c r="Q27" s="119"/>
      <c r="R27" s="108"/>
      <c r="S27" s="134"/>
      <c r="Z27" s="116" t="s">
        <v>984</v>
      </c>
      <c r="AA27" s="116" t="s">
        <v>942</v>
      </c>
      <c r="AB27" s="116" t="s">
        <v>985</v>
      </c>
      <c r="AC27" s="116" t="s">
        <v>986</v>
      </c>
    </row>
    <row r="28" spans="2:29" s="73" customFormat="1" ht="13.5">
      <c r="B28" s="104">
        <v>21</v>
      </c>
      <c r="C28" s="121"/>
      <c r="D28" s="119"/>
      <c r="E28" s="107"/>
      <c r="F28" s="107"/>
      <c r="G28" s="108"/>
      <c r="H28" s="109"/>
      <c r="I28" s="110">
        <v>21</v>
      </c>
      <c r="J28" s="105"/>
      <c r="K28" s="119"/>
      <c r="L28" s="113"/>
      <c r="M28" s="112"/>
      <c r="N28" s="114"/>
      <c r="O28" s="114"/>
      <c r="P28" s="119"/>
      <c r="Q28" s="119"/>
      <c r="R28" s="108"/>
      <c r="S28" s="134"/>
      <c r="Z28" s="116" t="s">
        <v>987</v>
      </c>
      <c r="AA28" s="116" t="s">
        <v>942</v>
      </c>
      <c r="AB28" s="116" t="s">
        <v>988</v>
      </c>
      <c r="AC28" s="116" t="s">
        <v>989</v>
      </c>
    </row>
    <row r="29" spans="2:29" s="73" customFormat="1" ht="13.5">
      <c r="B29" s="104">
        <v>22</v>
      </c>
      <c r="C29" s="121"/>
      <c r="D29" s="119"/>
      <c r="E29" s="107"/>
      <c r="F29" s="107"/>
      <c r="G29" s="108"/>
      <c r="H29" s="109"/>
      <c r="I29" s="110">
        <v>22</v>
      </c>
      <c r="J29" s="105"/>
      <c r="K29" s="119"/>
      <c r="L29" s="113"/>
      <c r="M29" s="112"/>
      <c r="N29" s="114"/>
      <c r="O29" s="114"/>
      <c r="P29" s="119"/>
      <c r="Q29" s="119"/>
      <c r="R29" s="108"/>
      <c r="S29" s="134"/>
      <c r="Z29" s="116" t="s">
        <v>990</v>
      </c>
      <c r="AA29" s="116" t="s">
        <v>932</v>
      </c>
      <c r="AB29" s="116" t="s">
        <v>991</v>
      </c>
      <c r="AC29" s="116" t="s">
        <v>979</v>
      </c>
    </row>
    <row r="30" spans="2:29" s="73" customFormat="1" ht="13.5">
      <c r="B30" s="104">
        <v>23</v>
      </c>
      <c r="C30" s="121"/>
      <c r="D30" s="119"/>
      <c r="E30" s="107"/>
      <c r="F30" s="107"/>
      <c r="G30" s="108"/>
      <c r="H30" s="109"/>
      <c r="I30" s="110">
        <v>23</v>
      </c>
      <c r="J30" s="105"/>
      <c r="K30" s="119"/>
      <c r="L30" s="113"/>
      <c r="M30" s="112"/>
      <c r="N30" s="114"/>
      <c r="O30" s="114"/>
      <c r="P30" s="119"/>
      <c r="Q30" s="119"/>
      <c r="R30" s="108"/>
      <c r="S30" s="134"/>
      <c r="Z30" s="116" t="s">
        <v>992</v>
      </c>
      <c r="AA30" s="116" t="s">
        <v>970</v>
      </c>
      <c r="AB30" s="116" t="s">
        <v>993</v>
      </c>
      <c r="AC30" s="116" t="s">
        <v>994</v>
      </c>
    </row>
    <row r="31" spans="2:29" s="73" customFormat="1" ht="13.5">
      <c r="B31" s="104">
        <v>24</v>
      </c>
      <c r="C31" s="121"/>
      <c r="D31" s="119"/>
      <c r="E31" s="107"/>
      <c r="F31" s="107"/>
      <c r="G31" s="108"/>
      <c r="H31" s="109"/>
      <c r="I31" s="110">
        <v>24</v>
      </c>
      <c r="J31" s="105"/>
      <c r="K31" s="119"/>
      <c r="L31" s="113"/>
      <c r="M31" s="112"/>
      <c r="N31" s="114"/>
      <c r="O31" s="114"/>
      <c r="P31" s="119"/>
      <c r="Q31" s="119"/>
      <c r="R31" s="108"/>
      <c r="S31" s="134"/>
      <c r="Z31" s="116" t="s">
        <v>995</v>
      </c>
      <c r="AA31" s="116" t="s">
        <v>981</v>
      </c>
      <c r="AB31" s="116" t="s">
        <v>996</v>
      </c>
      <c r="AC31" s="116" t="s">
        <v>997</v>
      </c>
    </row>
    <row r="32" spans="2:29" s="73" customFormat="1" ht="13.5">
      <c r="B32" s="104">
        <v>25</v>
      </c>
      <c r="C32" s="121"/>
      <c r="D32" s="119"/>
      <c r="E32" s="107"/>
      <c r="F32" s="107"/>
      <c r="G32" s="108"/>
      <c r="H32" s="109"/>
      <c r="I32" s="110">
        <v>25</v>
      </c>
      <c r="J32" s="105"/>
      <c r="K32" s="119"/>
      <c r="L32" s="113"/>
      <c r="M32" s="112"/>
      <c r="N32" s="114"/>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3.5">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20.25">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20.25">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20.25">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0.25">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0.25">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20.25">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20.25">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20.25">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20.25">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20.25">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20.25">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3.5"/>
    <row r="52" spans="2:29" s="73" customFormat="1" ht="13.5"/>
    <row r="53" spans="2:29" s="73" customFormat="1" ht="13.5"/>
    <row r="54" spans="2:29" s="73" customFormat="1" ht="13.5"/>
    <row r="55" spans="2:29" s="73" customFormat="1" ht="13.5"/>
    <row r="56" spans="2:29" s="73" customFormat="1" ht="13.5"/>
    <row r="57" spans="2:29" s="73" customFormat="1" ht="13.5"/>
    <row r="58" spans="2:29" s="73" customFormat="1" ht="13.5"/>
    <row r="59" spans="2:29" s="73" customFormat="1" ht="13.5"/>
    <row r="60" spans="2:29" s="73" customFormat="1" ht="13.5"/>
    <row r="61" spans="2:29" s="73" customFormat="1" ht="13.5"/>
    <row r="62" spans="2:29" s="73" customFormat="1" ht="13.5"/>
    <row r="63" spans="2:29" s="73" customFormat="1" ht="13.5"/>
    <row r="64" spans="2:29" s="73" customFormat="1" ht="13.5"/>
    <row r="65" s="73" customFormat="1" ht="13.5"/>
    <row r="66" s="73" customFormat="1" ht="13.5"/>
    <row r="67" s="73" customFormat="1" ht="13.5"/>
    <row r="68" s="73" customFormat="1" ht="13.5"/>
    <row r="69" s="73" customFormat="1" ht="13.5"/>
    <row r="70" s="73" customFormat="1" ht="13.5"/>
    <row r="71" s="73" customFormat="1" ht="13.5"/>
    <row r="72" s="73" customFormat="1" ht="13.5"/>
    <row r="73" s="73" customFormat="1" ht="13.5"/>
    <row r="74" s="73" customFormat="1" ht="13.5"/>
    <row r="75" s="73" customFormat="1" ht="13.5"/>
    <row r="76" s="73" customFormat="1" ht="13.5"/>
    <row r="77" s="73" customFormat="1" ht="13.5"/>
    <row r="78" s="73" customFormat="1" ht="13.5"/>
    <row r="79" s="73" customFormat="1" ht="13.5"/>
    <row r="80" s="73" customFormat="1" ht="13.5"/>
    <row r="81" s="73" customFormat="1" ht="13.5"/>
    <row r="82" s="73" customFormat="1" ht="13.5"/>
    <row r="83" s="73" customFormat="1" ht="13.5"/>
    <row r="84" s="73" customFormat="1" ht="13.5"/>
    <row r="85" s="73" customFormat="1" ht="13.5"/>
    <row r="86" s="73" customFormat="1" ht="13.5"/>
    <row r="87" s="73" customFormat="1" ht="13.5"/>
    <row r="88" s="73" customFormat="1" ht="13.5"/>
    <row r="89" s="73" customFormat="1" ht="13.5"/>
    <row r="90" s="73" customFormat="1" ht="13.5"/>
    <row r="91" s="73" customFormat="1" ht="13.5"/>
    <row r="92" s="73" customFormat="1" ht="13.5"/>
    <row r="93" s="73" customFormat="1" ht="13.5"/>
    <row r="94" s="73" customFormat="1" ht="13.5"/>
    <row r="95" s="73" customFormat="1" ht="13.5"/>
    <row r="96" s="73" customFormat="1" ht="13.5"/>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189FBCE3-17A8-43E5-886D-47E3A80597B3}"/>
  </hyperlinks>
  <pageMargins left="0.7" right="0.7" top="0.75" bottom="0.75" header="0.3" footer="0.3"/>
  <customProperties>
    <customPr name="_pios_id" r:id="rId1"/>
  </customProperties>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EBA93-5739-4933-9378-483D713F2395}">
  <sheetPr>
    <tabColor theme="9" tint="0.79998168889431442"/>
  </sheetPr>
  <dimension ref="A1:AC96"/>
  <sheetViews>
    <sheetView showGridLines="0" workbookViewId="0"/>
  </sheetViews>
  <sheetFormatPr defaultColWidth="12.625" defaultRowHeight="16.5"/>
  <cols>
    <col min="1" max="1" width="2.125" style="69" customWidth="1"/>
    <col min="2" max="2" width="5.125" style="69" customWidth="1"/>
    <col min="3" max="3" width="13.875" style="69" bestFit="1" customWidth="1"/>
    <col min="4" max="4" width="3.875" style="69" customWidth="1"/>
    <col min="5" max="5" width="9.125" style="69" customWidth="1"/>
    <col min="6" max="6" width="6.5" style="69" customWidth="1"/>
    <col min="7" max="7" width="42.6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25" width="35.125" style="69" customWidth="1"/>
    <col min="26" max="16384" width="12.625" style="69"/>
  </cols>
  <sheetData>
    <row r="1" spans="1:29" ht="17.25" thickBot="1">
      <c r="A1" s="67" t="s">
        <v>814</v>
      </c>
    </row>
    <row r="2" spans="1:29">
      <c r="B2" s="992" t="s">
        <v>3066</v>
      </c>
      <c r="C2" s="993"/>
      <c r="D2" s="993"/>
      <c r="E2" s="993"/>
      <c r="F2" s="993"/>
      <c r="G2" s="993"/>
      <c r="H2" s="993"/>
      <c r="I2" s="994"/>
      <c r="J2" s="70" t="s">
        <v>816</v>
      </c>
      <c r="K2" s="998" t="s">
        <v>145</v>
      </c>
      <c r="L2" s="999"/>
      <c r="M2" s="999"/>
      <c r="N2" s="1000"/>
      <c r="O2" s="70" t="s">
        <v>817</v>
      </c>
      <c r="P2" s="1001" t="s">
        <v>818</v>
      </c>
      <c r="Q2" s="1001"/>
      <c r="R2" s="1001"/>
      <c r="S2" s="1002"/>
      <c r="T2" s="71"/>
    </row>
    <row r="3" spans="1:29" ht="17.25"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9" ht="17.25" thickBot="1">
      <c r="B4" s="74" t="s">
        <v>822</v>
      </c>
      <c r="C4" s="73"/>
      <c r="D4" s="73"/>
      <c r="E4" s="73"/>
      <c r="F4" s="73"/>
      <c r="G4" s="73"/>
      <c r="H4" s="73"/>
      <c r="I4" s="73"/>
      <c r="J4" s="73"/>
      <c r="K4" s="73"/>
      <c r="L4" s="73"/>
      <c r="M4" s="73"/>
      <c r="N4" s="75"/>
      <c r="O4" s="75"/>
      <c r="P4" s="73"/>
      <c r="Q4" s="75"/>
      <c r="R4" s="75"/>
      <c r="S4" s="73"/>
      <c r="T4" s="73"/>
    </row>
    <row r="5" spans="1:29" ht="20.25">
      <c r="B5" s="979" t="s">
        <v>3067</v>
      </c>
      <c r="C5" s="980"/>
      <c r="D5" s="980"/>
      <c r="E5" s="980"/>
      <c r="F5" s="980"/>
      <c r="G5" s="980"/>
      <c r="H5" s="981"/>
      <c r="I5" s="982" t="s">
        <v>1390</v>
      </c>
      <c r="J5" s="980"/>
      <c r="K5" s="980"/>
      <c r="L5" s="980"/>
      <c r="M5" s="980"/>
      <c r="N5" s="980"/>
      <c r="O5" s="980"/>
      <c r="P5" s="980"/>
      <c r="Q5" s="980"/>
      <c r="R5" s="983" t="s">
        <v>825</v>
      </c>
      <c r="S5" s="985" t="s">
        <v>826</v>
      </c>
      <c r="T5" s="73"/>
      <c r="Z5" s="76" t="s">
        <v>827</v>
      </c>
      <c r="AA5" s="76"/>
      <c r="AB5" s="76"/>
      <c r="AC5" s="77"/>
    </row>
    <row r="6" spans="1:29" ht="27">
      <c r="B6" s="78" t="s">
        <v>828</v>
      </c>
      <c r="C6" s="987"/>
      <c r="D6" s="984"/>
      <c r="E6" s="984"/>
      <c r="F6" s="984"/>
      <c r="G6" s="984"/>
      <c r="H6" s="986"/>
      <c r="I6" s="102" t="s">
        <v>829</v>
      </c>
      <c r="J6" s="988"/>
      <c r="K6" s="984"/>
      <c r="L6" s="984"/>
      <c r="M6" s="984"/>
      <c r="N6" s="984"/>
      <c r="O6" s="984"/>
      <c r="P6" s="984"/>
      <c r="Q6" s="984"/>
      <c r="R6" s="984"/>
      <c r="S6" s="986"/>
      <c r="T6" s="73"/>
      <c r="Z6" s="77"/>
      <c r="AA6" s="77"/>
      <c r="AB6" s="77"/>
      <c r="AC6" s="77"/>
    </row>
    <row r="7" spans="1:2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c r="Z7" s="83" t="s">
        <v>840</v>
      </c>
      <c r="AA7" s="83" t="s">
        <v>841</v>
      </c>
      <c r="AB7" s="83" t="s">
        <v>842</v>
      </c>
      <c r="AC7" s="83" t="s">
        <v>843</v>
      </c>
    </row>
    <row r="8" spans="1:29" s="73" customFormat="1" ht="13.5">
      <c r="B8" s="104">
        <v>1</v>
      </c>
      <c r="C8" s="204" t="s">
        <v>3022</v>
      </c>
      <c r="D8" s="205" t="s">
        <v>1870</v>
      </c>
      <c r="E8" s="206" t="s">
        <v>2865</v>
      </c>
      <c r="F8" s="206">
        <v>8</v>
      </c>
      <c r="G8" s="211" t="s">
        <v>3023</v>
      </c>
      <c r="H8" s="109"/>
      <c r="I8" s="110">
        <v>1</v>
      </c>
      <c r="J8" s="491" t="s">
        <v>3068</v>
      </c>
      <c r="K8" s="505" t="s">
        <v>2810</v>
      </c>
      <c r="L8" s="483" t="s">
        <v>1188</v>
      </c>
      <c r="M8" s="484">
        <v>1000</v>
      </c>
      <c r="N8" s="483" t="s">
        <v>3025</v>
      </c>
      <c r="O8" s="114"/>
      <c r="P8" s="112"/>
      <c r="Q8" s="112"/>
      <c r="R8" s="114"/>
      <c r="S8" s="134"/>
      <c r="Z8" s="116" t="s">
        <v>848</v>
      </c>
      <c r="AA8" s="116" t="s">
        <v>849</v>
      </c>
      <c r="AB8" s="116" t="s">
        <v>850</v>
      </c>
      <c r="AC8" s="116" t="s">
        <v>851</v>
      </c>
    </row>
    <row r="9" spans="1:29" s="73" customFormat="1" ht="13.5">
      <c r="B9" s="104">
        <v>2</v>
      </c>
      <c r="C9" s="22" t="s">
        <v>3069</v>
      </c>
      <c r="D9" s="205" t="s">
        <v>1870</v>
      </c>
      <c r="E9" s="206" t="s">
        <v>845</v>
      </c>
      <c r="F9" s="206">
        <v>4</v>
      </c>
      <c r="G9" s="211" t="s">
        <v>1873</v>
      </c>
      <c r="H9" s="109"/>
      <c r="I9" s="110">
        <v>2</v>
      </c>
      <c r="J9" s="495" t="s">
        <v>2862</v>
      </c>
      <c r="K9" s="506" t="s">
        <v>2810</v>
      </c>
      <c r="L9" s="486" t="s">
        <v>1188</v>
      </c>
      <c r="M9" s="487">
        <v>1000</v>
      </c>
      <c r="N9" s="486" t="s">
        <v>862</v>
      </c>
      <c r="O9" s="114"/>
      <c r="P9" s="112"/>
      <c r="Q9" s="112"/>
      <c r="R9" s="114"/>
      <c r="S9" s="134"/>
      <c r="T9" s="71"/>
      <c r="Z9" s="116" t="s">
        <v>857</v>
      </c>
      <c r="AA9" s="116" t="s">
        <v>858</v>
      </c>
      <c r="AB9" s="116" t="s">
        <v>859</v>
      </c>
      <c r="AC9" s="116" t="s">
        <v>860</v>
      </c>
    </row>
    <row r="10" spans="1:29" s="73" customFormat="1" ht="13.5">
      <c r="B10" s="104">
        <v>3</v>
      </c>
      <c r="C10" s="207" t="s">
        <v>3026</v>
      </c>
      <c r="D10" s="205" t="s">
        <v>1870</v>
      </c>
      <c r="E10" s="206" t="s">
        <v>845</v>
      </c>
      <c r="F10" s="206">
        <v>10</v>
      </c>
      <c r="G10" s="205" t="s">
        <v>1675</v>
      </c>
      <c r="H10" s="109"/>
      <c r="I10" s="110">
        <v>3</v>
      </c>
      <c r="J10" s="495" t="s">
        <v>2903</v>
      </c>
      <c r="K10" s="506" t="s">
        <v>2810</v>
      </c>
      <c r="L10" s="486" t="s">
        <v>1188</v>
      </c>
      <c r="M10" s="487">
        <v>1000</v>
      </c>
      <c r="N10" s="486" t="s">
        <v>1675</v>
      </c>
      <c r="O10" s="114"/>
      <c r="P10" s="112"/>
      <c r="Q10" s="112"/>
      <c r="R10" s="114"/>
      <c r="S10" s="134"/>
      <c r="T10" s="71"/>
      <c r="Z10" s="116" t="s">
        <v>865</v>
      </c>
      <c r="AA10" s="116" t="s">
        <v>866</v>
      </c>
      <c r="AB10" s="116" t="s">
        <v>867</v>
      </c>
      <c r="AC10" s="116" t="s">
        <v>868</v>
      </c>
    </row>
    <row r="11" spans="1:29" s="73" customFormat="1" ht="13.5">
      <c r="B11" s="104">
        <v>4</v>
      </c>
      <c r="C11" s="207" t="s">
        <v>1547</v>
      </c>
      <c r="D11" s="205" t="s">
        <v>1870</v>
      </c>
      <c r="E11" s="206" t="s">
        <v>845</v>
      </c>
      <c r="F11" s="206">
        <v>40</v>
      </c>
      <c r="G11" s="207" t="s">
        <v>1548</v>
      </c>
      <c r="H11" s="109"/>
      <c r="I11" s="110">
        <v>4</v>
      </c>
      <c r="J11" s="501" t="s">
        <v>2809</v>
      </c>
      <c r="K11" s="506" t="s">
        <v>2810</v>
      </c>
      <c r="L11" s="486" t="s">
        <v>1188</v>
      </c>
      <c r="M11" s="487">
        <v>1000</v>
      </c>
      <c r="N11" s="497" t="s">
        <v>1548</v>
      </c>
      <c r="O11" s="108"/>
      <c r="P11" s="119"/>
      <c r="Q11" s="119"/>
      <c r="R11" s="108"/>
      <c r="S11" s="134"/>
      <c r="Z11" s="116" t="s">
        <v>873</v>
      </c>
      <c r="AA11" s="116" t="s">
        <v>858</v>
      </c>
      <c r="AB11" s="116" t="s">
        <v>874</v>
      </c>
      <c r="AC11" s="116" t="s">
        <v>875</v>
      </c>
    </row>
    <row r="12" spans="1:29" s="73" customFormat="1" ht="13.5">
      <c r="B12" s="104">
        <v>5</v>
      </c>
      <c r="C12" s="207" t="s">
        <v>2989</v>
      </c>
      <c r="D12" s="205" t="s">
        <v>1870</v>
      </c>
      <c r="E12" s="206" t="s">
        <v>1649</v>
      </c>
      <c r="F12" s="206">
        <v>5</v>
      </c>
      <c r="G12" s="207" t="s">
        <v>1404</v>
      </c>
      <c r="H12" s="109"/>
      <c r="I12" s="110">
        <v>5</v>
      </c>
      <c r="J12" s="501" t="s">
        <v>1644</v>
      </c>
      <c r="K12" s="506" t="s">
        <v>2810</v>
      </c>
      <c r="L12" s="486" t="s">
        <v>1188</v>
      </c>
      <c r="M12" s="487">
        <v>1000</v>
      </c>
      <c r="N12" s="497" t="s">
        <v>1404</v>
      </c>
      <c r="O12" s="108"/>
      <c r="P12" s="119"/>
      <c r="Q12" s="119"/>
      <c r="R12" s="108"/>
      <c r="S12" s="134"/>
      <c r="Z12" s="116" t="s">
        <v>880</v>
      </c>
      <c r="AA12" s="116" t="s">
        <v>881</v>
      </c>
      <c r="AB12" s="116" t="s">
        <v>882</v>
      </c>
      <c r="AC12" s="116" t="s">
        <v>883</v>
      </c>
    </row>
    <row r="13" spans="1:29" s="73" customFormat="1" ht="13.5">
      <c r="B13" s="104">
        <v>6</v>
      </c>
      <c r="C13" s="215" t="s">
        <v>2129</v>
      </c>
      <c r="D13" s="205" t="s">
        <v>1870</v>
      </c>
      <c r="E13" s="206" t="s">
        <v>1581</v>
      </c>
      <c r="F13" s="208">
        <v>3</v>
      </c>
      <c r="G13" s="209" t="s">
        <v>1101</v>
      </c>
      <c r="H13" s="109"/>
      <c r="I13" s="110">
        <v>6</v>
      </c>
      <c r="J13" s="501" t="s">
        <v>3070</v>
      </c>
      <c r="K13" s="506" t="s">
        <v>2810</v>
      </c>
      <c r="L13" s="486" t="s">
        <v>1188</v>
      </c>
      <c r="M13" s="487">
        <v>1000</v>
      </c>
      <c r="N13" s="497" t="s">
        <v>1101</v>
      </c>
      <c r="O13" s="108"/>
      <c r="P13" s="119"/>
      <c r="Q13" s="112"/>
      <c r="R13" s="114"/>
      <c r="S13" s="134"/>
      <c r="Z13" s="116" t="s">
        <v>888</v>
      </c>
      <c r="AA13" s="116" t="s">
        <v>889</v>
      </c>
      <c r="AB13" s="116" t="s">
        <v>890</v>
      </c>
      <c r="AC13" s="116" t="s">
        <v>891</v>
      </c>
    </row>
    <row r="14" spans="1:29" s="73" customFormat="1" ht="13.5">
      <c r="B14" s="104">
        <v>7</v>
      </c>
      <c r="C14" s="204" t="s">
        <v>1874</v>
      </c>
      <c r="D14" s="205" t="s">
        <v>1870</v>
      </c>
      <c r="E14" s="206" t="s">
        <v>845</v>
      </c>
      <c r="F14" s="208">
        <v>2</v>
      </c>
      <c r="G14" s="213" t="s">
        <v>1875</v>
      </c>
      <c r="H14" s="109"/>
      <c r="I14" s="110">
        <v>7</v>
      </c>
      <c r="J14" s="501" t="s">
        <v>2863</v>
      </c>
      <c r="K14" s="506" t="s">
        <v>2810</v>
      </c>
      <c r="L14" s="486" t="s">
        <v>1188</v>
      </c>
      <c r="M14" s="487">
        <v>1000</v>
      </c>
      <c r="N14" s="497" t="s">
        <v>1667</v>
      </c>
      <c r="O14" s="108"/>
      <c r="P14" s="119"/>
      <c r="Q14" s="112"/>
      <c r="R14" s="114"/>
      <c r="S14" s="134"/>
      <c r="Z14" s="116" t="s">
        <v>896</v>
      </c>
      <c r="AA14" s="116" t="s">
        <v>849</v>
      </c>
      <c r="AB14" s="116" t="s">
        <v>897</v>
      </c>
      <c r="AC14" s="116" t="s">
        <v>898</v>
      </c>
    </row>
    <row r="15" spans="1:29" s="73" customFormat="1" ht="13.5">
      <c r="B15" s="104">
        <v>8</v>
      </c>
      <c r="C15" s="209" t="s">
        <v>3071</v>
      </c>
      <c r="D15" s="205"/>
      <c r="E15" s="206" t="s">
        <v>845</v>
      </c>
      <c r="F15" s="206">
        <v>2</v>
      </c>
      <c r="G15" s="204" t="s">
        <v>3072</v>
      </c>
      <c r="H15" s="217" t="s">
        <v>3073</v>
      </c>
      <c r="I15" s="110">
        <v>8</v>
      </c>
      <c r="J15" s="501" t="s">
        <v>3074</v>
      </c>
      <c r="K15" s="480" t="s">
        <v>1368</v>
      </c>
      <c r="L15" s="486" t="s">
        <v>1188</v>
      </c>
      <c r="M15" s="487">
        <v>1000</v>
      </c>
      <c r="N15" s="497" t="s">
        <v>3072</v>
      </c>
      <c r="O15" s="108"/>
      <c r="P15" s="119"/>
      <c r="Q15" s="112"/>
      <c r="R15" s="114"/>
      <c r="S15" s="134"/>
      <c r="Z15" s="116" t="s">
        <v>903</v>
      </c>
      <c r="AA15" s="116" t="s">
        <v>858</v>
      </c>
      <c r="AB15" s="116" t="s">
        <v>904</v>
      </c>
      <c r="AC15" s="116" t="s">
        <v>860</v>
      </c>
    </row>
    <row r="16" spans="1:29" s="73" customFormat="1" ht="27">
      <c r="B16" s="104">
        <v>9</v>
      </c>
      <c r="C16" s="756" t="s">
        <v>3075</v>
      </c>
      <c r="D16" s="205"/>
      <c r="E16" s="206" t="s">
        <v>2993</v>
      </c>
      <c r="F16" s="206" t="s">
        <v>2994</v>
      </c>
      <c r="G16" s="207" t="s">
        <v>3076</v>
      </c>
      <c r="H16" s="769" t="s">
        <v>3073</v>
      </c>
      <c r="I16" s="110">
        <v>9</v>
      </c>
      <c r="J16" s="207" t="s">
        <v>3075</v>
      </c>
      <c r="K16" s="480" t="s">
        <v>1368</v>
      </c>
      <c r="L16" s="486" t="s">
        <v>1188</v>
      </c>
      <c r="M16" s="487">
        <v>1000</v>
      </c>
      <c r="N16" s="497" t="s">
        <v>3077</v>
      </c>
      <c r="O16" s="108"/>
      <c r="P16" s="119"/>
      <c r="Q16" s="112"/>
      <c r="R16" s="114"/>
      <c r="S16" s="134"/>
      <c r="Z16" s="116" t="s">
        <v>909</v>
      </c>
      <c r="AA16" s="116" t="s">
        <v>858</v>
      </c>
      <c r="AB16" s="116" t="s">
        <v>910</v>
      </c>
      <c r="AC16" s="116" t="s">
        <v>911</v>
      </c>
    </row>
    <row r="17" spans="2:29" s="73" customFormat="1" ht="27">
      <c r="B17" s="104">
        <v>10</v>
      </c>
      <c r="C17" s="757" t="s">
        <v>3078</v>
      </c>
      <c r="D17" s="205"/>
      <c r="E17" s="206" t="s">
        <v>2993</v>
      </c>
      <c r="F17" s="206" t="s">
        <v>2994</v>
      </c>
      <c r="G17" s="209" t="s">
        <v>3079</v>
      </c>
      <c r="H17" s="770" t="s">
        <v>3073</v>
      </c>
      <c r="I17" s="110">
        <v>10</v>
      </c>
      <c r="J17" s="209" t="s">
        <v>3078</v>
      </c>
      <c r="K17" s="487" t="s">
        <v>1368</v>
      </c>
      <c r="L17" s="486" t="s">
        <v>1188</v>
      </c>
      <c r="M17" s="487">
        <v>1000</v>
      </c>
      <c r="N17" s="497" t="s">
        <v>3080</v>
      </c>
      <c r="O17" s="108"/>
      <c r="P17" s="112"/>
      <c r="Q17" s="112"/>
      <c r="R17" s="114"/>
      <c r="S17" s="134"/>
      <c r="Z17" s="116" t="s">
        <v>920</v>
      </c>
      <c r="AA17" s="116" t="s">
        <v>849</v>
      </c>
      <c r="AB17" s="116" t="s">
        <v>921</v>
      </c>
      <c r="AC17" s="116" t="s">
        <v>922</v>
      </c>
    </row>
    <row r="18" spans="2:29" s="73" customFormat="1" ht="13.5">
      <c r="B18" s="104">
        <v>11</v>
      </c>
      <c r="C18" s="209" t="s">
        <v>3081</v>
      </c>
      <c r="D18" s="205"/>
      <c r="E18" s="206" t="s">
        <v>2993</v>
      </c>
      <c r="F18" s="206" t="s">
        <v>2994</v>
      </c>
      <c r="G18" s="209" t="s">
        <v>3082</v>
      </c>
      <c r="H18" s="217" t="s">
        <v>3073</v>
      </c>
      <c r="I18" s="110">
        <v>11</v>
      </c>
      <c r="J18" s="495" t="s">
        <v>3083</v>
      </c>
      <c r="K18" s="487" t="s">
        <v>1368</v>
      </c>
      <c r="L18" s="486" t="s">
        <v>1188</v>
      </c>
      <c r="M18" s="487">
        <v>1000</v>
      </c>
      <c r="N18" s="486" t="s">
        <v>3084</v>
      </c>
      <c r="O18" s="114"/>
      <c r="P18" s="112"/>
      <c r="Q18" s="112"/>
      <c r="R18" s="114"/>
      <c r="S18" s="134"/>
      <c r="Z18" s="116" t="s">
        <v>931</v>
      </c>
      <c r="AA18" s="116" t="s">
        <v>932</v>
      </c>
      <c r="AB18" s="116" t="s">
        <v>933</v>
      </c>
      <c r="AC18" s="116" t="s">
        <v>934</v>
      </c>
    </row>
    <row r="19" spans="2:29" s="73" customFormat="1" ht="13.5">
      <c r="B19" s="104">
        <v>12</v>
      </c>
      <c r="C19" s="209" t="s">
        <v>3085</v>
      </c>
      <c r="D19" s="205"/>
      <c r="E19" s="206" t="s">
        <v>2993</v>
      </c>
      <c r="F19" s="206" t="s">
        <v>2994</v>
      </c>
      <c r="G19" s="209" t="s">
        <v>3086</v>
      </c>
      <c r="H19" s="217" t="s">
        <v>3073</v>
      </c>
      <c r="I19" s="110">
        <v>12</v>
      </c>
      <c r="J19" s="495" t="s">
        <v>3087</v>
      </c>
      <c r="K19" s="487" t="s">
        <v>1368</v>
      </c>
      <c r="L19" s="486" t="s">
        <v>1188</v>
      </c>
      <c r="M19" s="487">
        <v>1000</v>
      </c>
      <c r="N19" s="486" t="s">
        <v>3088</v>
      </c>
      <c r="O19" s="114"/>
      <c r="P19" s="112"/>
      <c r="Q19" s="112"/>
      <c r="R19" s="114"/>
      <c r="S19" s="134"/>
      <c r="Z19" s="116" t="s">
        <v>941</v>
      </c>
      <c r="AA19" s="116" t="s">
        <v>942</v>
      </c>
      <c r="AB19" s="116" t="s">
        <v>943</v>
      </c>
      <c r="AC19" s="116" t="s">
        <v>944</v>
      </c>
    </row>
    <row r="20" spans="2:29" s="73" customFormat="1" ht="13.5">
      <c r="B20" s="104">
        <v>13</v>
      </c>
      <c r="C20" s="209" t="s">
        <v>3089</v>
      </c>
      <c r="D20" s="205"/>
      <c r="E20" s="206" t="s">
        <v>2993</v>
      </c>
      <c r="F20" s="206" t="s">
        <v>2994</v>
      </c>
      <c r="G20" s="209" t="s">
        <v>3090</v>
      </c>
      <c r="H20" s="217" t="s">
        <v>3073</v>
      </c>
      <c r="I20" s="110">
        <v>13</v>
      </c>
      <c r="J20" s="495" t="s">
        <v>3091</v>
      </c>
      <c r="K20" s="487" t="s">
        <v>1368</v>
      </c>
      <c r="L20" s="486" t="s">
        <v>1188</v>
      </c>
      <c r="M20" s="487">
        <v>1000</v>
      </c>
      <c r="N20" s="486" t="s">
        <v>3092</v>
      </c>
      <c r="O20" s="114"/>
      <c r="P20" s="112"/>
      <c r="Q20" s="112"/>
      <c r="R20" s="114"/>
      <c r="S20" s="134"/>
      <c r="Z20" s="116" t="s">
        <v>952</v>
      </c>
      <c r="AA20" s="116" t="s">
        <v>942</v>
      </c>
      <c r="AB20" s="116" t="s">
        <v>953</v>
      </c>
      <c r="AC20" s="116" t="s">
        <v>954</v>
      </c>
    </row>
    <row r="21" spans="2:29" s="73" customFormat="1" ht="13.5">
      <c r="B21" s="104">
        <v>14</v>
      </c>
      <c r="C21" s="207" t="s">
        <v>3093</v>
      </c>
      <c r="D21" s="205"/>
      <c r="E21" s="206" t="s">
        <v>2993</v>
      </c>
      <c r="F21" s="206" t="s">
        <v>2994</v>
      </c>
      <c r="G21" s="207" t="s">
        <v>3094</v>
      </c>
      <c r="H21" s="217" t="s">
        <v>3073</v>
      </c>
      <c r="I21" s="110">
        <v>14</v>
      </c>
      <c r="J21" s="501" t="s">
        <v>3095</v>
      </c>
      <c r="K21" s="480" t="s">
        <v>1368</v>
      </c>
      <c r="L21" s="486" t="s">
        <v>1188</v>
      </c>
      <c r="M21" s="487">
        <v>1000</v>
      </c>
      <c r="N21" s="497" t="s">
        <v>3096</v>
      </c>
      <c r="O21" s="108"/>
      <c r="P21" s="119"/>
      <c r="Q21" s="119"/>
      <c r="R21" s="108"/>
      <c r="S21" s="134"/>
      <c r="Z21" s="116" t="s">
        <v>958</v>
      </c>
      <c r="AA21" s="116" t="s">
        <v>959</v>
      </c>
      <c r="AB21" s="116" t="s">
        <v>960</v>
      </c>
      <c r="AC21" s="116" t="s">
        <v>961</v>
      </c>
    </row>
    <row r="22" spans="2:29" s="73" customFormat="1" ht="13.5">
      <c r="B22" s="104">
        <v>15</v>
      </c>
      <c r="C22" s="209" t="s">
        <v>3097</v>
      </c>
      <c r="D22" s="205"/>
      <c r="E22" s="206" t="s">
        <v>2993</v>
      </c>
      <c r="F22" s="206" t="s">
        <v>2994</v>
      </c>
      <c r="G22" s="209" t="s">
        <v>3098</v>
      </c>
      <c r="H22" s="217" t="s">
        <v>3073</v>
      </c>
      <c r="I22" s="110">
        <v>15</v>
      </c>
      <c r="J22" s="501" t="s">
        <v>3099</v>
      </c>
      <c r="K22" s="480" t="s">
        <v>1368</v>
      </c>
      <c r="L22" s="486" t="s">
        <v>1188</v>
      </c>
      <c r="M22" s="487">
        <v>1000</v>
      </c>
      <c r="N22" s="497" t="s">
        <v>3100</v>
      </c>
      <c r="O22" s="108"/>
      <c r="P22" s="119"/>
      <c r="Q22" s="119"/>
      <c r="R22" s="108"/>
      <c r="S22" s="134"/>
      <c r="Z22" s="116" t="s">
        <v>965</v>
      </c>
      <c r="AA22" s="116" t="s">
        <v>966</v>
      </c>
      <c r="AB22" s="116" t="s">
        <v>967</v>
      </c>
      <c r="AC22" s="116" t="s">
        <v>968</v>
      </c>
    </row>
    <row r="23" spans="2:29" s="73" customFormat="1" ht="13.5">
      <c r="B23" s="104">
        <v>16</v>
      </c>
      <c r="C23" s="209" t="s">
        <v>3101</v>
      </c>
      <c r="D23" s="205"/>
      <c r="E23" s="206" t="s">
        <v>2993</v>
      </c>
      <c r="F23" s="206" t="s">
        <v>2994</v>
      </c>
      <c r="G23" s="209" t="s">
        <v>3102</v>
      </c>
      <c r="H23" s="217" t="s">
        <v>3073</v>
      </c>
      <c r="I23" s="110">
        <v>16</v>
      </c>
      <c r="J23" s="510" t="s">
        <v>3103</v>
      </c>
      <c r="K23" s="480" t="s">
        <v>1368</v>
      </c>
      <c r="L23" s="486" t="s">
        <v>1188</v>
      </c>
      <c r="M23" s="487">
        <v>1000</v>
      </c>
      <c r="N23" s="486" t="s">
        <v>3104</v>
      </c>
      <c r="O23" s="114"/>
      <c r="P23" s="119"/>
      <c r="Q23" s="119"/>
      <c r="R23" s="108"/>
      <c r="S23" s="134"/>
      <c r="Z23" s="116" t="s">
        <v>969</v>
      </c>
      <c r="AA23" s="116" t="s">
        <v>970</v>
      </c>
      <c r="AB23" s="116" t="s">
        <v>971</v>
      </c>
      <c r="AC23" s="116" t="s">
        <v>972</v>
      </c>
    </row>
    <row r="24" spans="2:29" s="73" customFormat="1" ht="13.5">
      <c r="B24" s="104">
        <v>17</v>
      </c>
      <c r="C24" s="207" t="s">
        <v>3105</v>
      </c>
      <c r="D24" s="205"/>
      <c r="E24" s="206" t="s">
        <v>2993</v>
      </c>
      <c r="F24" s="206" t="s">
        <v>2994</v>
      </c>
      <c r="G24" s="761" t="s">
        <v>3106</v>
      </c>
      <c r="H24" s="217" t="s">
        <v>3073</v>
      </c>
      <c r="I24" s="110">
        <v>17</v>
      </c>
      <c r="J24" s="510" t="s">
        <v>3107</v>
      </c>
      <c r="K24" s="480" t="s">
        <v>1368</v>
      </c>
      <c r="L24" s="486" t="s">
        <v>1188</v>
      </c>
      <c r="M24" s="487">
        <v>1000</v>
      </c>
      <c r="N24" s="486" t="s">
        <v>3108</v>
      </c>
      <c r="O24" s="114"/>
      <c r="P24" s="119"/>
      <c r="Q24" s="119"/>
      <c r="R24" s="108"/>
      <c r="S24" s="134"/>
      <c r="Z24" s="116" t="s">
        <v>973</v>
      </c>
      <c r="AA24" s="116" t="s">
        <v>970</v>
      </c>
      <c r="AB24" s="116" t="s">
        <v>974</v>
      </c>
      <c r="AC24" s="116" t="s">
        <v>975</v>
      </c>
    </row>
    <row r="25" spans="2:29" s="73" customFormat="1" ht="13.5">
      <c r="B25" s="104">
        <v>18</v>
      </c>
      <c r="C25" s="209" t="s">
        <v>3109</v>
      </c>
      <c r="D25" s="205"/>
      <c r="E25" s="206" t="s">
        <v>2993</v>
      </c>
      <c r="F25" s="206" t="s">
        <v>2994</v>
      </c>
      <c r="G25" s="761" t="s">
        <v>3110</v>
      </c>
      <c r="H25" s="217" t="s">
        <v>3073</v>
      </c>
      <c r="I25" s="110">
        <v>18</v>
      </c>
      <c r="J25" s="510" t="s">
        <v>3111</v>
      </c>
      <c r="K25" s="480" t="s">
        <v>1368</v>
      </c>
      <c r="L25" s="486" t="s">
        <v>1188</v>
      </c>
      <c r="M25" s="487">
        <v>1000</v>
      </c>
      <c r="N25" s="486" t="s">
        <v>3112</v>
      </c>
      <c r="O25" s="114"/>
      <c r="P25" s="119"/>
      <c r="Q25" s="119"/>
      <c r="R25" s="108"/>
      <c r="S25" s="134"/>
      <c r="Z25" s="116" t="s">
        <v>976</v>
      </c>
      <c r="AA25" s="116" t="s">
        <v>977</v>
      </c>
      <c r="AB25" s="116" t="s">
        <v>978</v>
      </c>
      <c r="AC25" s="116" t="s">
        <v>979</v>
      </c>
    </row>
    <row r="26" spans="2:29" s="73" customFormat="1" ht="13.5">
      <c r="B26" s="104">
        <v>19</v>
      </c>
      <c r="C26" s="209" t="s">
        <v>3113</v>
      </c>
      <c r="D26" s="205"/>
      <c r="E26" s="206" t="s">
        <v>2993</v>
      </c>
      <c r="F26" s="206" t="s">
        <v>2994</v>
      </c>
      <c r="G26" s="204" t="s">
        <v>3114</v>
      </c>
      <c r="H26" s="217" t="s">
        <v>3073</v>
      </c>
      <c r="I26" s="110">
        <v>19</v>
      </c>
      <c r="J26" s="510" t="s">
        <v>3115</v>
      </c>
      <c r="K26" s="480" t="s">
        <v>1368</v>
      </c>
      <c r="L26" s="486" t="s">
        <v>1188</v>
      </c>
      <c r="M26" s="487">
        <v>1000</v>
      </c>
      <c r="N26" s="486" t="s">
        <v>3116</v>
      </c>
      <c r="O26" s="114"/>
      <c r="P26" s="119"/>
      <c r="Q26" s="119"/>
      <c r="R26" s="108"/>
      <c r="S26" s="134"/>
      <c r="Z26" s="116" t="s">
        <v>980</v>
      </c>
      <c r="AA26" s="116" t="s">
        <v>981</v>
      </c>
      <c r="AB26" s="116" t="s">
        <v>982</v>
      </c>
      <c r="AC26" s="116" t="s">
        <v>983</v>
      </c>
    </row>
    <row r="27" spans="2:29" s="73" customFormat="1" ht="13.5">
      <c r="B27" s="104">
        <v>20</v>
      </c>
      <c r="C27" s="209" t="s">
        <v>3117</v>
      </c>
      <c r="D27" s="205"/>
      <c r="E27" s="206" t="s">
        <v>2993</v>
      </c>
      <c r="F27" s="206" t="s">
        <v>2994</v>
      </c>
      <c r="G27" s="761" t="s">
        <v>3118</v>
      </c>
      <c r="H27" s="217" t="s">
        <v>3073</v>
      </c>
      <c r="I27" s="110">
        <v>20</v>
      </c>
      <c r="J27" s="510" t="s">
        <v>3119</v>
      </c>
      <c r="K27" s="480" t="s">
        <v>1368</v>
      </c>
      <c r="L27" s="486" t="s">
        <v>1188</v>
      </c>
      <c r="M27" s="487">
        <v>1000</v>
      </c>
      <c r="N27" s="486" t="s">
        <v>3120</v>
      </c>
      <c r="O27" s="114"/>
      <c r="P27" s="119"/>
      <c r="Q27" s="119"/>
      <c r="R27" s="108"/>
      <c r="S27" s="134"/>
      <c r="Z27" s="116" t="s">
        <v>984</v>
      </c>
      <c r="AA27" s="116" t="s">
        <v>942</v>
      </c>
      <c r="AB27" s="116" t="s">
        <v>985</v>
      </c>
      <c r="AC27" s="116" t="s">
        <v>986</v>
      </c>
    </row>
    <row r="28" spans="2:29" s="73" customFormat="1" ht="13.5">
      <c r="B28" s="104">
        <v>21</v>
      </c>
      <c r="C28" s="209" t="s">
        <v>3121</v>
      </c>
      <c r="D28" s="208"/>
      <c r="E28" s="206" t="s">
        <v>2993</v>
      </c>
      <c r="F28" s="206" t="s">
        <v>2994</v>
      </c>
      <c r="G28" s="771" t="s">
        <v>3122</v>
      </c>
      <c r="H28" s="217" t="s">
        <v>3073</v>
      </c>
      <c r="I28" s="110">
        <v>21</v>
      </c>
      <c r="J28" s="510" t="s">
        <v>3123</v>
      </c>
      <c r="K28" s="480" t="s">
        <v>1368</v>
      </c>
      <c r="L28" s="486" t="s">
        <v>1188</v>
      </c>
      <c r="M28" s="487">
        <v>1000</v>
      </c>
      <c r="N28" s="486" t="s">
        <v>3124</v>
      </c>
      <c r="O28" s="114"/>
      <c r="P28" s="119"/>
      <c r="Q28" s="119"/>
      <c r="R28" s="108"/>
      <c r="S28" s="134"/>
      <c r="Z28" s="116" t="s">
        <v>987</v>
      </c>
      <c r="AA28" s="116" t="s">
        <v>942</v>
      </c>
      <c r="AB28" s="116" t="s">
        <v>988</v>
      </c>
      <c r="AC28" s="116" t="s">
        <v>989</v>
      </c>
    </row>
    <row r="29" spans="2:29" s="73" customFormat="1" ht="13.5">
      <c r="B29" s="104">
        <v>22</v>
      </c>
      <c r="C29" s="209" t="s">
        <v>3125</v>
      </c>
      <c r="D29" s="205"/>
      <c r="E29" s="206" t="s">
        <v>2993</v>
      </c>
      <c r="F29" s="206" t="s">
        <v>2994</v>
      </c>
      <c r="G29" s="771" t="s">
        <v>3126</v>
      </c>
      <c r="H29" s="217" t="s">
        <v>3073</v>
      </c>
      <c r="I29" s="110">
        <v>22</v>
      </c>
      <c r="J29" s="510" t="s">
        <v>3127</v>
      </c>
      <c r="K29" s="480" t="s">
        <v>1368</v>
      </c>
      <c r="L29" s="486" t="s">
        <v>1188</v>
      </c>
      <c r="M29" s="487">
        <v>1000</v>
      </c>
      <c r="N29" s="486" t="s">
        <v>3128</v>
      </c>
      <c r="O29" s="114"/>
      <c r="P29" s="119"/>
      <c r="Q29" s="119"/>
      <c r="R29" s="108"/>
      <c r="S29" s="134"/>
      <c r="Z29" s="116" t="s">
        <v>990</v>
      </c>
      <c r="AA29" s="116" t="s">
        <v>932</v>
      </c>
      <c r="AB29" s="116" t="s">
        <v>991</v>
      </c>
      <c r="AC29" s="116" t="s">
        <v>979</v>
      </c>
    </row>
    <row r="30" spans="2:29" s="73" customFormat="1" ht="13.5">
      <c r="B30" s="104">
        <v>23</v>
      </c>
      <c r="C30" s="209" t="s">
        <v>3129</v>
      </c>
      <c r="D30" s="205"/>
      <c r="E30" s="206" t="s">
        <v>2993</v>
      </c>
      <c r="F30" s="206" t="s">
        <v>2994</v>
      </c>
      <c r="G30" s="771" t="s">
        <v>3130</v>
      </c>
      <c r="H30" s="217" t="s">
        <v>3073</v>
      </c>
      <c r="I30" s="110">
        <v>23</v>
      </c>
      <c r="J30" s="510" t="s">
        <v>3131</v>
      </c>
      <c r="K30" s="480" t="s">
        <v>1368</v>
      </c>
      <c r="L30" s="486" t="s">
        <v>1188</v>
      </c>
      <c r="M30" s="487">
        <v>1000</v>
      </c>
      <c r="N30" s="486" t="s">
        <v>3132</v>
      </c>
      <c r="O30" s="114"/>
      <c r="P30" s="119"/>
      <c r="Q30" s="119"/>
      <c r="R30" s="108"/>
      <c r="S30" s="134"/>
      <c r="Z30" s="116" t="s">
        <v>992</v>
      </c>
      <c r="AA30" s="116" t="s">
        <v>970</v>
      </c>
      <c r="AB30" s="116" t="s">
        <v>993</v>
      </c>
      <c r="AC30" s="116" t="s">
        <v>994</v>
      </c>
    </row>
    <row r="31" spans="2:29" s="73" customFormat="1" ht="13.5">
      <c r="B31" s="104">
        <v>24</v>
      </c>
      <c r="C31" s="209" t="s">
        <v>3133</v>
      </c>
      <c r="D31" s="205"/>
      <c r="E31" s="206" t="s">
        <v>2993</v>
      </c>
      <c r="F31" s="206" t="s">
        <v>2994</v>
      </c>
      <c r="G31" s="771" t="s">
        <v>3134</v>
      </c>
      <c r="H31" s="217" t="s">
        <v>3073</v>
      </c>
      <c r="I31" s="110">
        <v>24</v>
      </c>
      <c r="J31" s="510" t="s">
        <v>3135</v>
      </c>
      <c r="K31" s="480" t="s">
        <v>1368</v>
      </c>
      <c r="L31" s="486" t="s">
        <v>1188</v>
      </c>
      <c r="M31" s="487">
        <v>1000</v>
      </c>
      <c r="N31" s="486" t="s">
        <v>3136</v>
      </c>
      <c r="O31" s="114"/>
      <c r="P31" s="119"/>
      <c r="Q31" s="119"/>
      <c r="R31" s="108"/>
      <c r="S31" s="134"/>
      <c r="Z31" s="116" t="s">
        <v>995</v>
      </c>
      <c r="AA31" s="116" t="s">
        <v>981</v>
      </c>
      <c r="AB31" s="116" t="s">
        <v>996</v>
      </c>
      <c r="AC31" s="116" t="s">
        <v>997</v>
      </c>
    </row>
    <row r="32" spans="2:29" s="73" customFormat="1" ht="13.5">
      <c r="B32" s="104">
        <v>25</v>
      </c>
      <c r="C32" s="209" t="s">
        <v>3137</v>
      </c>
      <c r="D32" s="205"/>
      <c r="E32" s="206" t="s">
        <v>2993</v>
      </c>
      <c r="F32" s="206" t="s">
        <v>2994</v>
      </c>
      <c r="G32" s="218" t="s">
        <v>3138</v>
      </c>
      <c r="H32" s="217" t="s">
        <v>3073</v>
      </c>
      <c r="I32" s="110">
        <v>25</v>
      </c>
      <c r="J32" s="510" t="s">
        <v>3139</v>
      </c>
      <c r="K32" s="480" t="s">
        <v>1368</v>
      </c>
      <c r="L32" s="486" t="s">
        <v>1188</v>
      </c>
      <c r="M32" s="487">
        <v>1000</v>
      </c>
      <c r="N32" s="486" t="s">
        <v>1061</v>
      </c>
      <c r="O32" s="114"/>
      <c r="P32" s="119"/>
      <c r="Q32" s="119"/>
      <c r="R32" s="108"/>
      <c r="S32" s="134"/>
      <c r="Z32" s="116" t="s">
        <v>998</v>
      </c>
      <c r="AA32" s="116" t="s">
        <v>981</v>
      </c>
      <c r="AB32" s="116" t="s">
        <v>999</v>
      </c>
      <c r="AC32" s="116" t="s">
        <v>1000</v>
      </c>
    </row>
    <row r="33" spans="2:29" s="73" customFormat="1" ht="13.5">
      <c r="B33" s="104">
        <v>26</v>
      </c>
      <c r="C33" s="121"/>
      <c r="D33" s="119"/>
      <c r="E33" s="107"/>
      <c r="F33" s="107"/>
      <c r="G33" s="108"/>
      <c r="H33" s="109"/>
      <c r="I33" s="110">
        <v>26</v>
      </c>
      <c r="J33" s="105"/>
      <c r="K33" s="119"/>
      <c r="L33" s="113"/>
      <c r="M33" s="112"/>
      <c r="N33" s="114"/>
      <c r="O33" s="114"/>
      <c r="P33" s="119"/>
      <c r="Q33" s="119"/>
      <c r="R33" s="108"/>
      <c r="S33" s="134"/>
      <c r="Z33" s="116" t="s">
        <v>1001</v>
      </c>
      <c r="AA33" s="116" t="s">
        <v>970</v>
      </c>
      <c r="AB33" s="116" t="s">
        <v>1002</v>
      </c>
      <c r="AC33" s="116" t="s">
        <v>1003</v>
      </c>
    </row>
    <row r="34" spans="2:29" s="73" customFormat="1" ht="13.5">
      <c r="B34" s="104">
        <v>27</v>
      </c>
      <c r="C34" s="121"/>
      <c r="D34" s="119"/>
      <c r="E34" s="107"/>
      <c r="F34" s="107"/>
      <c r="G34" s="108"/>
      <c r="H34" s="109"/>
      <c r="I34" s="110">
        <v>27</v>
      </c>
      <c r="J34" s="105"/>
      <c r="K34" s="119"/>
      <c r="L34" s="113"/>
      <c r="M34" s="112"/>
      <c r="N34" s="114"/>
      <c r="O34" s="114"/>
      <c r="P34" s="119"/>
      <c r="Q34" s="119"/>
      <c r="R34" s="108"/>
      <c r="S34" s="134"/>
      <c r="Z34" s="116" t="s">
        <v>1004</v>
      </c>
      <c r="AA34" s="116" t="s">
        <v>942</v>
      </c>
      <c r="AB34" s="116" t="s">
        <v>1005</v>
      </c>
      <c r="AC34" s="116" t="s">
        <v>1006</v>
      </c>
    </row>
    <row r="35" spans="2:29" s="73" customFormat="1" ht="13.5">
      <c r="B35" s="104">
        <v>28</v>
      </c>
      <c r="C35" s="121"/>
      <c r="D35" s="119"/>
      <c r="E35" s="107"/>
      <c r="F35" s="107"/>
      <c r="G35" s="108"/>
      <c r="H35" s="109"/>
      <c r="I35" s="110">
        <v>28</v>
      </c>
      <c r="J35" s="105"/>
      <c r="K35" s="119"/>
      <c r="L35" s="113"/>
      <c r="M35" s="112"/>
      <c r="N35" s="114"/>
      <c r="O35" s="114"/>
      <c r="P35" s="119"/>
      <c r="Q35" s="119"/>
      <c r="R35" s="108"/>
      <c r="S35" s="134"/>
      <c r="Z35" s="116" t="s">
        <v>1007</v>
      </c>
      <c r="AA35" s="116" t="s">
        <v>942</v>
      </c>
      <c r="AB35" s="116" t="s">
        <v>1008</v>
      </c>
      <c r="AC35" s="116" t="s">
        <v>1009</v>
      </c>
    </row>
    <row r="36" spans="2:29" s="73" customFormat="1" ht="13.5">
      <c r="B36" s="104">
        <v>29</v>
      </c>
      <c r="C36" s="121"/>
      <c r="D36" s="119"/>
      <c r="E36" s="107"/>
      <c r="F36" s="107"/>
      <c r="G36" s="108"/>
      <c r="H36" s="109"/>
      <c r="I36" s="110">
        <v>29</v>
      </c>
      <c r="J36" s="105"/>
      <c r="K36" s="119"/>
      <c r="L36" s="113"/>
      <c r="M36" s="112"/>
      <c r="N36" s="114"/>
      <c r="O36" s="114"/>
      <c r="P36" s="119"/>
      <c r="Q36" s="119"/>
      <c r="R36" s="108"/>
      <c r="S36" s="134"/>
      <c r="Z36" s="116" t="s">
        <v>1010</v>
      </c>
      <c r="AA36" s="116" t="s">
        <v>942</v>
      </c>
      <c r="AB36" s="116" t="s">
        <v>1011</v>
      </c>
      <c r="AC36" s="116" t="s">
        <v>1012</v>
      </c>
    </row>
    <row r="37" spans="2:29" s="73" customFormat="1" ht="13.5">
      <c r="B37" s="104">
        <v>30</v>
      </c>
      <c r="C37" s="121"/>
      <c r="D37" s="119"/>
      <c r="E37" s="107"/>
      <c r="F37" s="107"/>
      <c r="G37" s="108"/>
      <c r="H37" s="109"/>
      <c r="I37" s="110">
        <v>30</v>
      </c>
      <c r="J37" s="105"/>
      <c r="K37" s="119"/>
      <c r="L37" s="113"/>
      <c r="M37" s="112"/>
      <c r="N37" s="114"/>
      <c r="O37" s="114"/>
      <c r="P37" s="119"/>
      <c r="Q37" s="119"/>
      <c r="R37" s="108"/>
      <c r="S37" s="134"/>
      <c r="Z37" s="116" t="s">
        <v>1013</v>
      </c>
      <c r="AA37" s="116" t="s">
        <v>970</v>
      </c>
      <c r="AB37" s="116" t="s">
        <v>1014</v>
      </c>
      <c r="AC37" s="116" t="s">
        <v>1015</v>
      </c>
    </row>
    <row r="38" spans="2:29" s="73" customFormat="1" ht="13.5">
      <c r="B38" s="104">
        <v>31</v>
      </c>
      <c r="C38" s="121"/>
      <c r="D38" s="119"/>
      <c r="E38" s="107"/>
      <c r="F38" s="107"/>
      <c r="G38" s="108"/>
      <c r="H38" s="109"/>
      <c r="I38" s="110">
        <v>31</v>
      </c>
      <c r="J38" s="105"/>
      <c r="K38" s="119"/>
      <c r="L38" s="113"/>
      <c r="M38" s="112"/>
      <c r="N38" s="114"/>
      <c r="O38" s="114"/>
      <c r="P38" s="119"/>
      <c r="Q38" s="119"/>
      <c r="R38" s="108"/>
      <c r="S38" s="134"/>
      <c r="Z38" s="116" t="s">
        <v>1016</v>
      </c>
      <c r="AA38" s="116" t="s">
        <v>981</v>
      </c>
      <c r="AB38" s="116" t="s">
        <v>1017</v>
      </c>
      <c r="AC38" s="116" t="s">
        <v>1018</v>
      </c>
    </row>
    <row r="39" spans="2:29" s="73" customFormat="1" ht="14.25" thickBot="1">
      <c r="B39" s="129"/>
      <c r="C39" s="130"/>
      <c r="D39" s="131"/>
      <c r="E39" s="131"/>
      <c r="F39" s="131"/>
      <c r="G39" s="131"/>
      <c r="H39" s="132"/>
      <c r="I39" s="135"/>
      <c r="J39" s="130"/>
      <c r="K39" s="131"/>
      <c r="L39" s="130"/>
      <c r="M39" s="131"/>
      <c r="N39" s="131"/>
      <c r="O39" s="131"/>
      <c r="P39" s="131"/>
      <c r="Q39" s="131"/>
      <c r="R39" s="131"/>
      <c r="S39" s="136"/>
      <c r="Z39" s="116" t="s">
        <v>1019</v>
      </c>
      <c r="AA39" s="116" t="s">
        <v>981</v>
      </c>
      <c r="AB39" s="116" t="s">
        <v>1020</v>
      </c>
      <c r="AC39" s="116" t="s">
        <v>1021</v>
      </c>
    </row>
    <row r="40" spans="2:29" ht="20.25">
      <c r="B40" s="100"/>
      <c r="C40" s="100"/>
      <c r="D40" s="100"/>
      <c r="E40" s="100"/>
      <c r="F40" s="100"/>
      <c r="G40" s="100"/>
      <c r="H40" s="100"/>
      <c r="I40" s="100"/>
      <c r="J40" s="100"/>
      <c r="K40" s="100"/>
      <c r="L40" s="100"/>
      <c r="M40" s="100"/>
      <c r="N40" s="133"/>
      <c r="O40" s="133"/>
      <c r="P40" s="100"/>
      <c r="Q40" s="133"/>
      <c r="R40" s="133"/>
      <c r="S40" s="100"/>
      <c r="T40" s="100"/>
      <c r="Z40" s="101" t="s">
        <v>1022</v>
      </c>
      <c r="AA40" s="101" t="s">
        <v>942</v>
      </c>
      <c r="AB40" s="101" t="s">
        <v>1023</v>
      </c>
      <c r="AC40" s="101" t="s">
        <v>1024</v>
      </c>
    </row>
    <row r="41" spans="2:29" ht="20.25">
      <c r="B41" s="51" t="s">
        <v>1025</v>
      </c>
      <c r="C41" s="73"/>
      <c r="D41" s="73"/>
      <c r="E41" s="73"/>
      <c r="F41" s="73"/>
      <c r="G41" s="73"/>
      <c r="H41" s="73"/>
      <c r="I41" s="73"/>
      <c r="J41" s="73"/>
      <c r="K41" s="73"/>
      <c r="L41" s="73"/>
      <c r="M41" s="73"/>
      <c r="N41" s="75"/>
      <c r="O41" s="75"/>
      <c r="P41" s="73"/>
      <c r="Q41" s="75"/>
      <c r="R41" s="75"/>
      <c r="S41" s="73"/>
      <c r="T41" s="100"/>
      <c r="Z41" s="101" t="s">
        <v>1026</v>
      </c>
      <c r="AA41" s="101" t="s">
        <v>977</v>
      </c>
      <c r="AB41" s="101" t="s">
        <v>1027</v>
      </c>
      <c r="AC41" s="101" t="s">
        <v>1028</v>
      </c>
    </row>
    <row r="42" spans="2:29" ht="20.25">
      <c r="B42" s="976" t="s">
        <v>826</v>
      </c>
      <c r="C42" s="976"/>
      <c r="D42" s="976" t="s">
        <v>1029</v>
      </c>
      <c r="E42" s="976"/>
      <c r="F42" s="976"/>
      <c r="G42" s="976"/>
      <c r="H42" s="976"/>
      <c r="I42" s="976"/>
      <c r="J42" s="976"/>
      <c r="K42" s="976"/>
      <c r="L42" s="976"/>
      <c r="M42" s="976"/>
      <c r="N42" s="976"/>
      <c r="O42" s="976"/>
      <c r="P42" s="976"/>
      <c r="Q42" s="976"/>
      <c r="R42" s="976"/>
      <c r="S42" s="976"/>
      <c r="T42" s="100"/>
      <c r="Z42" s="101" t="s">
        <v>1030</v>
      </c>
      <c r="AA42" s="101" t="s">
        <v>977</v>
      </c>
      <c r="AB42" s="101" t="s">
        <v>1031</v>
      </c>
      <c r="AC42" s="101" t="s">
        <v>1032</v>
      </c>
    </row>
    <row r="43" spans="2:29" ht="20.25">
      <c r="B43" s="977" t="s">
        <v>1033</v>
      </c>
      <c r="C43" s="978"/>
      <c r="D43" s="989"/>
      <c r="E43" s="990"/>
      <c r="F43" s="990"/>
      <c r="G43" s="990"/>
      <c r="H43" s="990"/>
      <c r="I43" s="990"/>
      <c r="J43" s="990"/>
      <c r="K43" s="990"/>
      <c r="L43" s="990"/>
      <c r="M43" s="990"/>
      <c r="N43" s="990"/>
      <c r="O43" s="990"/>
      <c r="P43" s="990"/>
      <c r="Q43" s="990"/>
      <c r="R43" s="990"/>
      <c r="S43" s="991"/>
      <c r="T43" s="100"/>
      <c r="Z43" s="101" t="s">
        <v>1034</v>
      </c>
      <c r="AA43" s="101" t="s">
        <v>1035</v>
      </c>
      <c r="AB43" s="101" t="s">
        <v>1036</v>
      </c>
      <c r="AC43" s="101" t="s">
        <v>1037</v>
      </c>
    </row>
    <row r="44" spans="2:29" ht="20.25">
      <c r="B44" s="1008" t="s">
        <v>1038</v>
      </c>
      <c r="C44" s="1009"/>
      <c r="D44" s="1010"/>
      <c r="E44" s="1011"/>
      <c r="F44" s="1011"/>
      <c r="G44" s="1011"/>
      <c r="H44" s="1011"/>
      <c r="I44" s="1011"/>
      <c r="J44" s="1011"/>
      <c r="K44" s="1011"/>
      <c r="L44" s="1011"/>
      <c r="M44" s="1011"/>
      <c r="N44" s="1011"/>
      <c r="O44" s="1011"/>
      <c r="P44" s="1011"/>
      <c r="Q44" s="1011"/>
      <c r="R44" s="1011"/>
      <c r="S44" s="1012"/>
      <c r="T44" s="100"/>
      <c r="Z44" s="101" t="s">
        <v>1039</v>
      </c>
      <c r="AA44" s="101" t="s">
        <v>977</v>
      </c>
      <c r="AB44" s="101" t="s">
        <v>1040</v>
      </c>
      <c r="AC44" s="101" t="s">
        <v>1041</v>
      </c>
    </row>
    <row r="45" spans="2:29" ht="20.25">
      <c r="B45" s="75"/>
      <c r="C45" s="75"/>
      <c r="D45" s="75"/>
      <c r="E45" s="75"/>
      <c r="F45" s="75"/>
      <c r="G45" s="75"/>
      <c r="H45" s="75"/>
      <c r="I45" s="75"/>
      <c r="J45" s="75"/>
      <c r="K45" s="75"/>
      <c r="L45" s="75"/>
      <c r="M45" s="75"/>
      <c r="N45" s="75"/>
      <c r="O45" s="75"/>
      <c r="P45" s="75"/>
      <c r="Q45" s="75"/>
      <c r="R45" s="75"/>
      <c r="S45" s="75"/>
      <c r="T45" s="100"/>
      <c r="Z45" s="101" t="s">
        <v>1042</v>
      </c>
      <c r="AA45" s="101" t="s">
        <v>942</v>
      </c>
      <c r="AB45" s="101" t="s">
        <v>1043</v>
      </c>
      <c r="AC45" s="101" t="s">
        <v>1044</v>
      </c>
    </row>
    <row r="46" spans="2:29" ht="20.25">
      <c r="B46" s="51" t="s">
        <v>1045</v>
      </c>
      <c r="C46" s="73"/>
      <c r="D46" s="73"/>
      <c r="E46" s="73"/>
      <c r="F46" s="73"/>
      <c r="G46" s="73"/>
      <c r="H46" s="73"/>
      <c r="I46" s="73"/>
      <c r="J46" s="73"/>
      <c r="K46" s="73"/>
      <c r="L46" s="73"/>
      <c r="M46" s="73"/>
      <c r="N46" s="75"/>
      <c r="O46" s="75"/>
      <c r="P46" s="73"/>
      <c r="Q46" s="75"/>
      <c r="R46" s="75"/>
      <c r="S46" s="73"/>
      <c r="T46" s="100"/>
      <c r="Z46" s="101" t="s">
        <v>1046</v>
      </c>
      <c r="AA46" s="101" t="s">
        <v>959</v>
      </c>
      <c r="AB46" s="101" t="s">
        <v>1047</v>
      </c>
      <c r="AC46" s="101" t="s">
        <v>1048</v>
      </c>
    </row>
    <row r="47" spans="2:29" ht="20.25">
      <c r="B47" s="1014" t="s">
        <v>1049</v>
      </c>
      <c r="C47" s="1014"/>
      <c r="D47" s="1013"/>
      <c r="E47" s="1013"/>
      <c r="F47" s="1013"/>
      <c r="G47" s="1013"/>
      <c r="H47" s="1013"/>
      <c r="I47" s="1013"/>
      <c r="J47" s="1013"/>
      <c r="K47" s="1013"/>
      <c r="L47" s="1013"/>
      <c r="M47" s="1013"/>
      <c r="N47" s="1013"/>
      <c r="O47" s="1013"/>
      <c r="P47" s="1013"/>
      <c r="Q47" s="1013"/>
      <c r="R47" s="1013"/>
      <c r="S47" s="1013"/>
      <c r="Z47" s="101" t="s">
        <v>1050</v>
      </c>
      <c r="AA47" s="101" t="s">
        <v>977</v>
      </c>
      <c r="AB47" s="101" t="s">
        <v>1051</v>
      </c>
      <c r="AC47" s="101" t="s">
        <v>1052</v>
      </c>
    </row>
    <row r="48" spans="2:29" ht="20.25">
      <c r="B48" s="976" t="s">
        <v>1053</v>
      </c>
      <c r="C48" s="976"/>
      <c r="D48" s="1013"/>
      <c r="E48" s="1013"/>
      <c r="F48" s="1013"/>
      <c r="G48" s="1013"/>
      <c r="H48" s="1013"/>
      <c r="I48" s="1013"/>
      <c r="J48" s="1013"/>
      <c r="K48" s="1013"/>
      <c r="L48" s="1013"/>
      <c r="M48" s="1013"/>
      <c r="N48" s="1013"/>
      <c r="O48" s="1013"/>
      <c r="P48" s="1013"/>
      <c r="Q48" s="1013"/>
      <c r="R48" s="1013"/>
      <c r="S48" s="1013"/>
      <c r="Z48" s="101" t="s">
        <v>1054</v>
      </c>
      <c r="AA48" s="101" t="s">
        <v>932</v>
      </c>
      <c r="AB48" s="101" t="s">
        <v>1055</v>
      </c>
      <c r="AC48" s="101" t="s">
        <v>1056</v>
      </c>
    </row>
    <row r="49" spans="2:29" ht="20.25">
      <c r="B49" s="976" t="s">
        <v>1057</v>
      </c>
      <c r="C49" s="976"/>
      <c r="D49" s="1013"/>
      <c r="E49" s="1013"/>
      <c r="F49" s="1013"/>
      <c r="G49" s="1013"/>
      <c r="H49" s="1013"/>
      <c r="I49" s="1013"/>
      <c r="J49" s="1013"/>
      <c r="K49" s="1013"/>
      <c r="L49" s="1013"/>
      <c r="M49" s="1013"/>
      <c r="N49" s="1013"/>
      <c r="O49" s="1013"/>
      <c r="P49" s="1013"/>
      <c r="Q49" s="1013"/>
      <c r="R49" s="1013"/>
      <c r="S49" s="1013"/>
      <c r="Z49" s="101" t="s">
        <v>1058</v>
      </c>
      <c r="AA49" s="101" t="s">
        <v>977</v>
      </c>
      <c r="AB49" s="101" t="s">
        <v>1059</v>
      </c>
      <c r="AC49" s="101" t="s">
        <v>1060</v>
      </c>
    </row>
    <row r="50" spans="2:29" ht="20.25">
      <c r="B50" s="976" t="s">
        <v>1061</v>
      </c>
      <c r="C50" s="976"/>
      <c r="D50" s="1013"/>
      <c r="E50" s="1013"/>
      <c r="F50" s="1013"/>
      <c r="G50" s="1013"/>
      <c r="H50" s="1013"/>
      <c r="I50" s="1013"/>
      <c r="J50" s="1013"/>
      <c r="K50" s="1013"/>
      <c r="L50" s="1013"/>
      <c r="M50" s="1013"/>
      <c r="N50" s="1013"/>
      <c r="O50" s="1013"/>
      <c r="P50" s="1013"/>
      <c r="Q50" s="1013"/>
      <c r="R50" s="1013"/>
      <c r="S50" s="1013"/>
      <c r="Z50" s="101" t="s">
        <v>1062</v>
      </c>
      <c r="AA50" s="101" t="s">
        <v>981</v>
      </c>
      <c r="AB50" s="101" t="s">
        <v>1063</v>
      </c>
      <c r="AC50" s="101" t="s">
        <v>1064</v>
      </c>
    </row>
    <row r="51" spans="2:29" s="73" customFormat="1" ht="13.5"/>
    <row r="52" spans="2:29" s="73" customFormat="1" ht="13.5"/>
    <row r="53" spans="2:29" s="73" customFormat="1" ht="13.5"/>
    <row r="54" spans="2:29" s="73" customFormat="1" ht="13.5"/>
    <row r="55" spans="2:29" s="73" customFormat="1" ht="13.5"/>
    <row r="56" spans="2:29" s="73" customFormat="1" ht="13.5"/>
    <row r="57" spans="2:29" s="73" customFormat="1" ht="13.5"/>
    <row r="58" spans="2:29" s="73" customFormat="1" ht="13.5"/>
    <row r="59" spans="2:29" s="73" customFormat="1" ht="13.5"/>
    <row r="60" spans="2:29" s="73" customFormat="1" ht="13.5"/>
    <row r="61" spans="2:29" s="73" customFormat="1" ht="13.5"/>
    <row r="62" spans="2:29" s="73" customFormat="1" ht="13.5"/>
    <row r="63" spans="2:29" s="73" customFormat="1" ht="13.5"/>
    <row r="64" spans="2:29" s="73" customFormat="1" ht="13.5"/>
    <row r="65" s="73" customFormat="1" ht="13.5"/>
    <row r="66" s="73" customFormat="1" ht="13.5"/>
    <row r="67" s="73" customFormat="1" ht="13.5"/>
    <row r="68" s="73" customFormat="1" ht="13.5"/>
    <row r="69" s="73" customFormat="1" ht="13.5"/>
    <row r="70" s="73" customFormat="1" ht="13.5"/>
    <row r="71" s="73" customFormat="1" ht="13.5"/>
    <row r="72" s="73" customFormat="1" ht="13.5"/>
    <row r="73" s="73" customFormat="1" ht="13.5"/>
    <row r="74" s="73" customFormat="1" ht="13.5"/>
    <row r="75" s="73" customFormat="1" ht="13.5"/>
    <row r="76" s="73" customFormat="1" ht="13.5"/>
    <row r="77" s="73" customFormat="1" ht="13.5"/>
    <row r="78" s="73" customFormat="1" ht="13.5"/>
    <row r="79" s="73" customFormat="1" ht="13.5"/>
    <row r="80" s="73" customFormat="1" ht="13.5"/>
    <row r="81" s="73" customFormat="1" ht="13.5"/>
    <row r="82" s="73" customFormat="1" ht="13.5"/>
    <row r="83" s="73" customFormat="1" ht="13.5"/>
    <row r="84" s="73" customFormat="1" ht="13.5"/>
    <row r="85" s="73" customFormat="1" ht="13.5"/>
    <row r="86" s="73" customFormat="1" ht="13.5"/>
    <row r="87" s="73" customFormat="1" ht="13.5"/>
    <row r="88" s="73" customFormat="1" ht="13.5"/>
    <row r="89" s="73" customFormat="1" ht="13.5"/>
    <row r="90" s="73" customFormat="1" ht="13.5"/>
    <row r="91" s="73" customFormat="1" ht="13.5"/>
    <row r="92" s="73" customFormat="1" ht="13.5"/>
    <row r="93" s="73" customFormat="1" ht="13.5"/>
    <row r="94" s="73" customFormat="1" ht="13.5"/>
    <row r="95" s="73" customFormat="1" ht="13.5"/>
    <row r="96" s="73" customFormat="1" ht="13.5"/>
  </sheetData>
  <mergeCells count="25">
    <mergeCell ref="B42:C42"/>
    <mergeCell ref="D42:S42"/>
    <mergeCell ref="B43:C43"/>
    <mergeCell ref="B5:H5"/>
    <mergeCell ref="I5:Q5"/>
    <mergeCell ref="R5:R7"/>
    <mergeCell ref="S5:S7"/>
    <mergeCell ref="C6:H6"/>
    <mergeCell ref="J6:Q6"/>
    <mergeCell ref="D43:S43"/>
    <mergeCell ref="B2:I3"/>
    <mergeCell ref="K2:N2"/>
    <mergeCell ref="P2:S2"/>
    <mergeCell ref="K3:N3"/>
    <mergeCell ref="P3:S3"/>
    <mergeCell ref="B44:C44"/>
    <mergeCell ref="D44:S44"/>
    <mergeCell ref="B50:C50"/>
    <mergeCell ref="D50:S50"/>
    <mergeCell ref="B47:C47"/>
    <mergeCell ref="D47:S47"/>
    <mergeCell ref="B48:C48"/>
    <mergeCell ref="D48:S48"/>
    <mergeCell ref="B49:C49"/>
    <mergeCell ref="D49:S49"/>
  </mergeCells>
  <phoneticPr fontId="4" type="noConversion"/>
  <hyperlinks>
    <hyperlink ref="A1" location="List!A1" display="Top" xr:uid="{5FECE9A1-5ADC-42B4-A919-C0BD017AECDD}"/>
  </hyperlinks>
  <pageMargins left="0.7" right="0.7" top="0.75" bottom="0.75" header="0.3" footer="0.3"/>
  <customProperties>
    <customPr name="_pios_id" r:id="rId1"/>
  </customPropertie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8445B-4511-4E5B-B615-DDD5C25235BE}">
  <sheetPr>
    <tabColor theme="9" tint="0.79998168889431442"/>
  </sheetPr>
  <dimension ref="A1:U63"/>
  <sheetViews>
    <sheetView showGridLines="0" topLeftCell="A33" zoomScale="85" zoomScaleNormal="85" workbookViewId="0">
      <selection activeCell="H48" sqref="H48"/>
    </sheetView>
  </sheetViews>
  <sheetFormatPr defaultColWidth="12.625" defaultRowHeight="17.25"/>
  <cols>
    <col min="1" max="1" width="4.625" style="684" bestFit="1" customWidth="1"/>
    <col min="2" max="2" width="6.375" style="684" customWidth="1"/>
    <col min="3" max="3" width="39.125" style="684" customWidth="1"/>
    <col min="4" max="4" width="26" style="684" customWidth="1"/>
    <col min="5" max="5" width="5.125" style="684" bestFit="1" customWidth="1"/>
    <col min="6" max="7" width="7.125" style="684" bestFit="1" customWidth="1"/>
    <col min="8" max="8" width="29.875" style="684" bestFit="1" customWidth="1"/>
    <col min="9" max="9" width="27" style="684" bestFit="1" customWidth="1"/>
    <col min="10" max="10" width="8.875" style="684" bestFit="1" customWidth="1"/>
    <col min="11" max="11" width="18.875" style="684" customWidth="1"/>
    <col min="12" max="12" width="3.5" style="684" bestFit="1" customWidth="1"/>
    <col min="13" max="13" width="19.375" style="684" customWidth="1"/>
    <col min="14" max="14" width="5.875" style="684" bestFit="1" customWidth="1"/>
    <col min="15" max="15" width="22.75" style="684" customWidth="1"/>
    <col min="16" max="16" width="15.625" style="684" customWidth="1"/>
    <col min="17" max="17" width="4.5" style="684" bestFit="1" customWidth="1"/>
    <col min="18" max="18" width="4.125" style="684" bestFit="1" customWidth="1"/>
    <col min="19" max="19" width="5.875" style="684" bestFit="1" customWidth="1"/>
    <col min="20" max="20" width="8.125" style="684" bestFit="1" customWidth="1"/>
    <col min="21" max="21" width="26.125" style="684" customWidth="1"/>
    <col min="22" max="25" width="2.125" style="684" customWidth="1"/>
    <col min="26" max="26" width="35.125" style="684" customWidth="1"/>
    <col min="27" max="16384" width="12.625" style="684"/>
  </cols>
  <sheetData>
    <row r="1" spans="1:21" ht="18" thickBot="1">
      <c r="A1" s="683" t="s">
        <v>814</v>
      </c>
    </row>
    <row r="2" spans="1:21">
      <c r="B2" s="992" t="s">
        <v>3140</v>
      </c>
      <c r="C2" s="993"/>
      <c r="D2" s="993"/>
      <c r="E2" s="993"/>
      <c r="F2" s="993"/>
      <c r="G2" s="993"/>
      <c r="H2" s="993"/>
      <c r="I2" s="993"/>
      <c r="J2" s="994"/>
      <c r="K2" s="685" t="s">
        <v>816</v>
      </c>
      <c r="L2" s="1094" t="s">
        <v>145</v>
      </c>
      <c r="M2" s="1095"/>
      <c r="N2" s="1095"/>
      <c r="O2" s="1096"/>
      <c r="P2" s="685" t="s">
        <v>817</v>
      </c>
      <c r="Q2" s="1097" t="s">
        <v>818</v>
      </c>
      <c r="R2" s="1097"/>
      <c r="S2" s="1097"/>
      <c r="T2" s="1098"/>
      <c r="U2" s="686"/>
    </row>
    <row r="3" spans="1:21" ht="18" thickBot="1">
      <c r="B3" s="995"/>
      <c r="C3" s="996"/>
      <c r="D3" s="996"/>
      <c r="E3" s="996"/>
      <c r="F3" s="996"/>
      <c r="G3" s="996"/>
      <c r="H3" s="996"/>
      <c r="I3" s="996"/>
      <c r="J3" s="997"/>
      <c r="K3" s="687" t="s">
        <v>819</v>
      </c>
      <c r="L3" s="1099" t="s">
        <v>820</v>
      </c>
      <c r="M3" s="1100"/>
      <c r="N3" s="1100"/>
      <c r="O3" s="1101"/>
      <c r="P3" s="687" t="s">
        <v>821</v>
      </c>
      <c r="Q3" s="1102">
        <v>0.1</v>
      </c>
      <c r="R3" s="1102"/>
      <c r="S3" s="1102"/>
      <c r="T3" s="1103"/>
    </row>
    <row r="4" spans="1:21" ht="18" thickBot="1">
      <c r="B4" s="688" t="s">
        <v>822</v>
      </c>
      <c r="O4" s="689"/>
      <c r="P4" s="689"/>
      <c r="R4" s="689"/>
      <c r="S4" s="689"/>
    </row>
    <row r="5" spans="1:21">
      <c r="B5" s="1106" t="s">
        <v>823</v>
      </c>
      <c r="C5" s="1107"/>
      <c r="D5" s="1107"/>
      <c r="E5" s="1107"/>
      <c r="F5" s="1107"/>
      <c r="G5" s="1107"/>
      <c r="H5" s="1107"/>
      <c r="I5" s="1108"/>
      <c r="J5" s="1109" t="s">
        <v>1390</v>
      </c>
      <c r="K5" s="1107"/>
      <c r="L5" s="1107"/>
      <c r="M5" s="1107"/>
      <c r="N5" s="1107"/>
      <c r="O5" s="1107"/>
      <c r="P5" s="1107"/>
      <c r="Q5" s="1107"/>
      <c r="R5" s="1107"/>
      <c r="S5" s="1110" t="s">
        <v>825</v>
      </c>
      <c r="T5" s="1112" t="s">
        <v>826</v>
      </c>
    </row>
    <row r="6" spans="1:21" ht="34.5">
      <c r="B6" s="690" t="s">
        <v>828</v>
      </c>
      <c r="C6" s="1114"/>
      <c r="D6" s="1111"/>
      <c r="E6" s="1111"/>
      <c r="F6" s="1111"/>
      <c r="G6" s="1111"/>
      <c r="H6" s="1111"/>
      <c r="I6" s="1113"/>
      <c r="J6" s="691" t="s">
        <v>829</v>
      </c>
      <c r="K6" s="1115"/>
      <c r="L6" s="1111"/>
      <c r="M6" s="1111"/>
      <c r="N6" s="1111"/>
      <c r="O6" s="1111"/>
      <c r="P6" s="1111"/>
      <c r="Q6" s="1111"/>
      <c r="R6" s="1111"/>
      <c r="S6" s="1111"/>
      <c r="T6" s="1113"/>
    </row>
    <row r="7" spans="1:21" ht="35.25" thickBot="1">
      <c r="B7" s="693" t="s">
        <v>831</v>
      </c>
      <c r="C7" s="288" t="s">
        <v>1973</v>
      </c>
      <c r="D7" s="289" t="s">
        <v>832</v>
      </c>
      <c r="E7" s="694" t="s">
        <v>3141</v>
      </c>
      <c r="F7" s="694" t="s">
        <v>3142</v>
      </c>
      <c r="G7" s="694" t="s">
        <v>835</v>
      </c>
      <c r="H7" s="694" t="s">
        <v>836</v>
      </c>
      <c r="I7" s="695" t="s">
        <v>837</v>
      </c>
      <c r="J7" s="696" t="s">
        <v>831</v>
      </c>
      <c r="K7" s="694" t="s">
        <v>832</v>
      </c>
      <c r="L7" s="694" t="s">
        <v>833</v>
      </c>
      <c r="M7" s="694" t="s">
        <v>834</v>
      </c>
      <c r="N7" s="694" t="s">
        <v>835</v>
      </c>
      <c r="O7" s="694" t="s">
        <v>836</v>
      </c>
      <c r="P7" s="694" t="s">
        <v>837</v>
      </c>
      <c r="Q7" s="697" t="s">
        <v>838</v>
      </c>
      <c r="R7" s="697" t="s">
        <v>839</v>
      </c>
      <c r="S7" s="1111"/>
      <c r="T7" s="1113"/>
    </row>
    <row r="8" spans="1:21">
      <c r="B8" s="698">
        <v>1</v>
      </c>
      <c r="C8" s="772" t="s">
        <v>3143</v>
      </c>
      <c r="D8" s="773" t="s">
        <v>3144</v>
      </c>
      <c r="E8" s="758" t="s">
        <v>1870</v>
      </c>
      <c r="F8" s="772" t="s">
        <v>845</v>
      </c>
      <c r="G8" s="772">
        <v>6</v>
      </c>
      <c r="H8" s="772" t="s">
        <v>3145</v>
      </c>
      <c r="I8" s="283"/>
      <c r="J8" s="698">
        <v>1</v>
      </c>
      <c r="K8" s="699" t="s">
        <v>3068</v>
      </c>
      <c r="L8" s="700" t="s">
        <v>1368</v>
      </c>
      <c r="M8" s="701" t="s">
        <v>1188</v>
      </c>
      <c r="N8" s="700">
        <v>1000</v>
      </c>
      <c r="O8" s="701" t="s">
        <v>3025</v>
      </c>
      <c r="P8" s="701" t="s">
        <v>1368</v>
      </c>
      <c r="Q8" s="702"/>
      <c r="R8" s="702"/>
      <c r="S8" s="703"/>
      <c r="T8" s="704"/>
    </row>
    <row r="9" spans="1:21">
      <c r="B9" s="698">
        <f t="shared" ref="B9:B51" si="0">+B8+1</f>
        <v>2</v>
      </c>
      <c r="C9" s="772" t="s">
        <v>3146</v>
      </c>
      <c r="D9" s="284" t="s">
        <v>1538</v>
      </c>
      <c r="E9" s="205" t="s">
        <v>1870</v>
      </c>
      <c r="F9" s="282" t="s">
        <v>845</v>
      </c>
      <c r="G9" s="282">
        <v>4</v>
      </c>
      <c r="H9" s="282" t="s">
        <v>862</v>
      </c>
      <c r="I9" s="283"/>
      <c r="J9" s="698">
        <v>2</v>
      </c>
      <c r="K9" s="705" t="s">
        <v>2862</v>
      </c>
      <c r="L9" s="706" t="s">
        <v>1368</v>
      </c>
      <c r="M9" s="707" t="s">
        <v>1188</v>
      </c>
      <c r="N9" s="708">
        <v>1000</v>
      </c>
      <c r="O9" s="707" t="s">
        <v>862</v>
      </c>
      <c r="P9" s="707" t="s">
        <v>1368</v>
      </c>
      <c r="Q9" s="702"/>
      <c r="R9" s="702"/>
      <c r="S9" s="703"/>
      <c r="T9" s="704"/>
      <c r="U9" s="686"/>
    </row>
    <row r="10" spans="1:21">
      <c r="B10" s="698">
        <f t="shared" si="0"/>
        <v>3</v>
      </c>
      <c r="C10" s="772" t="s">
        <v>3146</v>
      </c>
      <c r="D10" s="774" t="s">
        <v>2980</v>
      </c>
      <c r="E10" s="758" t="s">
        <v>1870</v>
      </c>
      <c r="F10" s="772" t="s">
        <v>1225</v>
      </c>
      <c r="G10" s="772">
        <v>10</v>
      </c>
      <c r="H10" s="772" t="s">
        <v>2981</v>
      </c>
      <c r="I10" s="283" t="s">
        <v>3147</v>
      </c>
      <c r="J10" s="698">
        <v>3</v>
      </c>
      <c r="K10" s="712" t="s">
        <v>3148</v>
      </c>
      <c r="L10" s="287"/>
      <c r="M10" s="707" t="s">
        <v>1188</v>
      </c>
      <c r="N10" s="708">
        <v>1000</v>
      </c>
      <c r="O10" s="711" t="s">
        <v>3149</v>
      </c>
      <c r="P10" s="707"/>
      <c r="Q10" s="702"/>
      <c r="R10" s="702"/>
      <c r="S10" s="703"/>
      <c r="T10" s="704"/>
      <c r="U10" s="686"/>
    </row>
    <row r="11" spans="1:21">
      <c r="B11" s="698">
        <f t="shared" si="0"/>
        <v>4</v>
      </c>
      <c r="C11" s="772" t="s">
        <v>3146</v>
      </c>
      <c r="D11" s="774" t="s">
        <v>2975</v>
      </c>
      <c r="E11" s="758" t="s">
        <v>1870</v>
      </c>
      <c r="F11" s="772" t="s">
        <v>1225</v>
      </c>
      <c r="G11" s="772">
        <v>40</v>
      </c>
      <c r="H11" s="772" t="s">
        <v>2976</v>
      </c>
      <c r="I11" s="283" t="s">
        <v>2977</v>
      </c>
      <c r="J11" s="698"/>
      <c r="K11" s="878" t="s">
        <v>3150</v>
      </c>
      <c r="L11" s="879" t="s">
        <v>1368</v>
      </c>
      <c r="M11" s="880" t="s">
        <v>1188</v>
      </c>
      <c r="N11" s="881" t="s">
        <v>1368</v>
      </c>
      <c r="O11" s="880" t="s">
        <v>1182</v>
      </c>
      <c r="P11" s="707"/>
      <c r="Q11" s="702"/>
      <c r="R11" s="702"/>
      <c r="S11" s="703"/>
      <c r="T11" s="704"/>
    </row>
    <row r="12" spans="1:21">
      <c r="B12" s="698">
        <f t="shared" si="0"/>
        <v>5</v>
      </c>
      <c r="C12" s="772" t="s">
        <v>3146</v>
      </c>
      <c r="D12" s="774" t="s">
        <v>3151</v>
      </c>
      <c r="E12" s="758" t="s">
        <v>1870</v>
      </c>
      <c r="F12" s="772" t="s">
        <v>1225</v>
      </c>
      <c r="G12" s="772">
        <v>2</v>
      </c>
      <c r="H12" s="772" t="s">
        <v>3152</v>
      </c>
      <c r="I12" s="283" t="s">
        <v>3153</v>
      </c>
      <c r="J12" s="698"/>
      <c r="K12" s="878" t="s">
        <v>3154</v>
      </c>
      <c r="L12" s="879" t="s">
        <v>1368</v>
      </c>
      <c r="M12" s="880" t="s">
        <v>1188</v>
      </c>
      <c r="N12" s="881" t="s">
        <v>1368</v>
      </c>
      <c r="O12" s="880" t="s">
        <v>3155</v>
      </c>
      <c r="P12" s="707"/>
      <c r="Q12" s="702"/>
      <c r="R12" s="702"/>
      <c r="S12" s="703"/>
      <c r="T12" s="704"/>
    </row>
    <row r="13" spans="1:21">
      <c r="B13" s="698">
        <f t="shared" si="0"/>
        <v>6</v>
      </c>
      <c r="C13" s="772" t="s">
        <v>3143</v>
      </c>
      <c r="D13" s="283" t="s">
        <v>2131</v>
      </c>
      <c r="E13" s="282"/>
      <c r="F13" s="282" t="s">
        <v>3156</v>
      </c>
      <c r="G13" s="282">
        <v>5</v>
      </c>
      <c r="H13" s="282" t="s">
        <v>1404</v>
      </c>
      <c r="I13" s="283"/>
      <c r="J13" s="698">
        <v>3</v>
      </c>
      <c r="K13" s="705" t="s">
        <v>3157</v>
      </c>
      <c r="L13" s="706" t="s">
        <v>1368</v>
      </c>
      <c r="M13" s="707" t="s">
        <v>1188</v>
      </c>
      <c r="N13" s="708">
        <v>1000</v>
      </c>
      <c r="O13" s="707" t="s">
        <v>1404</v>
      </c>
      <c r="P13" s="707" t="s">
        <v>1368</v>
      </c>
      <c r="Q13" s="702"/>
      <c r="R13" s="702"/>
      <c r="S13" s="703"/>
      <c r="T13" s="704"/>
    </row>
    <row r="14" spans="1:21">
      <c r="B14" s="698">
        <f t="shared" si="0"/>
        <v>7</v>
      </c>
      <c r="C14" s="463" t="s">
        <v>3146</v>
      </c>
      <c r="D14" s="464" t="s">
        <v>2129</v>
      </c>
      <c r="E14" s="463"/>
      <c r="F14" s="463" t="s">
        <v>845</v>
      </c>
      <c r="G14" s="463"/>
      <c r="H14" s="463" t="s">
        <v>1101</v>
      </c>
      <c r="I14" s="285"/>
      <c r="J14" s="698">
        <v>4</v>
      </c>
      <c r="K14" s="882" t="s">
        <v>1101</v>
      </c>
      <c r="L14" s="883" t="s">
        <v>1368</v>
      </c>
      <c r="M14" s="884" t="s">
        <v>1188</v>
      </c>
      <c r="N14" s="885">
        <v>1000</v>
      </c>
      <c r="O14" s="886" t="s">
        <v>1101</v>
      </c>
      <c r="P14" s="710" t="s">
        <v>1368</v>
      </c>
      <c r="Q14" s="286"/>
      <c r="R14" s="286"/>
      <c r="S14" s="711"/>
      <c r="T14" s="704"/>
    </row>
    <row r="15" spans="1:21" ht="34.5">
      <c r="B15" s="698">
        <f t="shared" si="0"/>
        <v>8</v>
      </c>
      <c r="C15" s="279" t="s">
        <v>3146</v>
      </c>
      <c r="D15" s="283" t="s">
        <v>3158</v>
      </c>
      <c r="E15" s="282"/>
      <c r="F15" s="282" t="s">
        <v>3159</v>
      </c>
      <c r="G15" s="282" t="s">
        <v>3160</v>
      </c>
      <c r="H15" s="282" t="s">
        <v>3161</v>
      </c>
      <c r="I15" s="283" t="s">
        <v>3162</v>
      </c>
      <c r="J15" s="698">
        <v>5</v>
      </c>
      <c r="K15" s="709" t="s">
        <v>3163</v>
      </c>
      <c r="L15" s="706" t="s">
        <v>1368</v>
      </c>
      <c r="M15" s="707" t="s">
        <v>1188</v>
      </c>
      <c r="N15" s="708">
        <v>1000</v>
      </c>
      <c r="O15" s="710" t="s">
        <v>3161</v>
      </c>
      <c r="P15" s="710" t="s">
        <v>3162</v>
      </c>
      <c r="Q15" s="286"/>
      <c r="R15" s="286"/>
      <c r="S15" s="711"/>
      <c r="T15" s="704"/>
    </row>
    <row r="16" spans="1:21">
      <c r="B16" s="698">
        <f t="shared" si="0"/>
        <v>9</v>
      </c>
      <c r="C16" s="783" t="s">
        <v>3146</v>
      </c>
      <c r="D16" s="446" t="s">
        <v>3164</v>
      </c>
      <c r="E16" s="784"/>
      <c r="F16" s="784" t="s">
        <v>3159</v>
      </c>
      <c r="G16" s="784" t="s">
        <v>3160</v>
      </c>
      <c r="H16" s="785" t="s">
        <v>3165</v>
      </c>
      <c r="I16" s="285" t="s">
        <v>3166</v>
      </c>
      <c r="J16" s="698">
        <v>6</v>
      </c>
      <c r="K16" s="709" t="s">
        <v>3167</v>
      </c>
      <c r="L16" s="706" t="s">
        <v>1368</v>
      </c>
      <c r="M16" s="707" t="s">
        <v>1188</v>
      </c>
      <c r="N16" s="708">
        <v>1000</v>
      </c>
      <c r="O16" s="710" t="s">
        <v>3168</v>
      </c>
      <c r="P16" s="710" t="s">
        <v>1368</v>
      </c>
      <c r="Q16" s="286"/>
      <c r="R16" s="702"/>
      <c r="S16" s="703"/>
      <c r="T16" s="704"/>
    </row>
    <row r="17" spans="2:20" ht="34.5">
      <c r="B17" s="787">
        <f t="shared" si="0"/>
        <v>10</v>
      </c>
      <c r="C17" s="753" t="s">
        <v>3146</v>
      </c>
      <c r="D17" s="788"/>
      <c r="E17" s="470"/>
      <c r="F17" s="470" t="s">
        <v>845</v>
      </c>
      <c r="G17" s="470"/>
      <c r="H17" s="470" t="s">
        <v>3169</v>
      </c>
      <c r="I17" s="466" t="s">
        <v>3170</v>
      </c>
      <c r="J17" s="698">
        <v>7</v>
      </c>
      <c r="K17" s="882" t="s">
        <v>3171</v>
      </c>
      <c r="L17" s="883" t="s">
        <v>1368</v>
      </c>
      <c r="M17" s="884" t="s">
        <v>1188</v>
      </c>
      <c r="N17" s="885">
        <v>1000</v>
      </c>
      <c r="O17" s="886" t="s">
        <v>3169</v>
      </c>
      <c r="P17" s="886" t="s">
        <v>3170</v>
      </c>
      <c r="Q17" s="286"/>
      <c r="R17" s="702"/>
      <c r="S17" s="703"/>
      <c r="T17" s="704"/>
    </row>
    <row r="18" spans="2:20">
      <c r="B18" s="787">
        <f t="shared" si="0"/>
        <v>11</v>
      </c>
      <c r="C18" s="753" t="s">
        <v>3172</v>
      </c>
      <c r="D18" s="788" t="s">
        <v>3173</v>
      </c>
      <c r="E18" s="470"/>
      <c r="F18" s="470" t="s">
        <v>845</v>
      </c>
      <c r="G18" s="470"/>
      <c r="H18" s="470" t="s">
        <v>2995</v>
      </c>
      <c r="I18" s="466" t="s">
        <v>3174</v>
      </c>
      <c r="J18" s="698">
        <v>8</v>
      </c>
      <c r="K18" s="882" t="s">
        <v>2997</v>
      </c>
      <c r="L18" s="883" t="s">
        <v>1368</v>
      </c>
      <c r="M18" s="884" t="s">
        <v>1188</v>
      </c>
      <c r="N18" s="885">
        <v>1000</v>
      </c>
      <c r="O18" s="886" t="s">
        <v>2995</v>
      </c>
      <c r="P18" s="886" t="s">
        <v>3174</v>
      </c>
      <c r="Q18" s="286"/>
      <c r="R18" s="702"/>
      <c r="S18" s="703"/>
      <c r="T18" s="704"/>
    </row>
    <row r="19" spans="2:20">
      <c r="B19" s="787">
        <f t="shared" si="0"/>
        <v>12</v>
      </c>
      <c r="C19" s="753"/>
      <c r="D19" s="775" t="s">
        <v>3148</v>
      </c>
      <c r="E19" s="789"/>
      <c r="F19" s="789"/>
      <c r="G19" s="470"/>
      <c r="H19" s="470"/>
      <c r="I19" s="466"/>
      <c r="J19" s="698">
        <v>9</v>
      </c>
      <c r="K19" s="712"/>
      <c r="L19" s="287"/>
      <c r="M19" s="707"/>
      <c r="N19" s="708"/>
      <c r="O19" s="711"/>
      <c r="P19" s="711"/>
      <c r="Q19" s="286"/>
      <c r="R19" s="702"/>
      <c r="S19" s="703"/>
      <c r="T19" s="704"/>
    </row>
    <row r="20" spans="2:20">
      <c r="B20" s="787">
        <f t="shared" si="0"/>
        <v>13</v>
      </c>
      <c r="C20" s="753"/>
      <c r="D20" s="776" t="s">
        <v>3175</v>
      </c>
      <c r="E20" s="789"/>
      <c r="F20" s="789"/>
      <c r="G20" s="470"/>
      <c r="H20" s="470"/>
      <c r="I20" s="466"/>
      <c r="J20" s="698">
        <v>10</v>
      </c>
      <c r="K20" s="713"/>
      <c r="L20" s="714"/>
      <c r="M20" s="707"/>
      <c r="N20" s="708"/>
      <c r="O20" s="711"/>
      <c r="P20" s="711"/>
      <c r="Q20" s="702"/>
      <c r="R20" s="702"/>
      <c r="S20" s="703"/>
      <c r="T20" s="704"/>
    </row>
    <row r="21" spans="2:20">
      <c r="B21" s="787">
        <f t="shared" si="0"/>
        <v>14</v>
      </c>
      <c r="C21" s="753"/>
      <c r="D21" s="776"/>
      <c r="E21" s="789"/>
      <c r="F21" s="789"/>
      <c r="G21" s="470"/>
      <c r="H21" s="470"/>
      <c r="I21" s="466"/>
      <c r="J21" s="698"/>
      <c r="K21" s="713"/>
      <c r="L21" s="714"/>
      <c r="M21" s="707"/>
      <c r="N21" s="708"/>
      <c r="O21" s="711"/>
      <c r="P21" s="711"/>
      <c r="Q21" s="702"/>
      <c r="R21" s="702"/>
      <c r="S21" s="703"/>
      <c r="T21" s="704"/>
    </row>
    <row r="22" spans="2:20">
      <c r="B22" s="787">
        <f t="shared" si="0"/>
        <v>15</v>
      </c>
      <c r="C22" s="753"/>
      <c r="D22" s="776"/>
      <c r="E22" s="789"/>
      <c r="F22" s="789"/>
      <c r="G22" s="470"/>
      <c r="H22" s="470"/>
      <c r="I22" s="466"/>
      <c r="J22" s="698"/>
      <c r="K22" s="713"/>
      <c r="L22" s="714"/>
      <c r="M22" s="707"/>
      <c r="N22" s="708"/>
      <c r="O22" s="711"/>
      <c r="P22" s="711"/>
      <c r="Q22" s="702"/>
      <c r="R22" s="702"/>
      <c r="S22" s="703"/>
      <c r="T22" s="704"/>
    </row>
    <row r="23" spans="2:20">
      <c r="B23" s="787">
        <f t="shared" si="0"/>
        <v>16</v>
      </c>
      <c r="C23" s="753"/>
      <c r="D23" s="776"/>
      <c r="E23" s="789"/>
      <c r="F23" s="789"/>
      <c r="G23" s="470"/>
      <c r="H23" s="470"/>
      <c r="I23" s="466"/>
      <c r="J23" s="698"/>
      <c r="K23" s="713"/>
      <c r="L23" s="714"/>
      <c r="M23" s="707"/>
      <c r="N23" s="708"/>
      <c r="O23" s="711"/>
      <c r="P23" s="711"/>
      <c r="Q23" s="702"/>
      <c r="R23" s="702"/>
      <c r="S23" s="703"/>
      <c r="T23" s="704"/>
    </row>
    <row r="24" spans="2:20">
      <c r="B24" s="787">
        <f t="shared" si="0"/>
        <v>17</v>
      </c>
      <c r="C24" s="753"/>
      <c r="D24" s="776"/>
      <c r="E24" s="789"/>
      <c r="F24" s="789"/>
      <c r="G24" s="470"/>
      <c r="H24" s="470"/>
      <c r="I24" s="466"/>
      <c r="J24" s="698"/>
      <c r="K24" s="713"/>
      <c r="L24" s="714"/>
      <c r="M24" s="707"/>
      <c r="N24" s="708"/>
      <c r="O24" s="711"/>
      <c r="P24" s="711"/>
      <c r="Q24" s="702"/>
      <c r="R24" s="702"/>
      <c r="S24" s="703"/>
      <c r="T24" s="704"/>
    </row>
    <row r="25" spans="2:20">
      <c r="B25" s="787">
        <f t="shared" si="0"/>
        <v>18</v>
      </c>
      <c r="C25" s="790" t="s">
        <v>3176</v>
      </c>
      <c r="D25" s="791" t="s">
        <v>3177</v>
      </c>
      <c r="E25" s="792"/>
      <c r="F25" s="792"/>
      <c r="G25" s="793"/>
      <c r="H25" s="793" t="s">
        <v>3178</v>
      </c>
      <c r="I25" s="781"/>
      <c r="J25" s="698">
        <f>+J20+1</f>
        <v>11</v>
      </c>
      <c r="K25" s="712"/>
      <c r="L25" s="286"/>
      <c r="M25" s="715"/>
      <c r="N25" s="702"/>
      <c r="O25" s="711"/>
      <c r="P25" s="711"/>
      <c r="Q25" s="286"/>
      <c r="R25" s="286"/>
      <c r="S25" s="711"/>
      <c r="T25" s="704"/>
    </row>
    <row r="26" spans="2:20">
      <c r="B26" s="787">
        <f t="shared" si="0"/>
        <v>19</v>
      </c>
      <c r="C26" s="790"/>
      <c r="D26" s="791" t="s">
        <v>3179</v>
      </c>
      <c r="E26" s="793"/>
      <c r="F26" s="793"/>
      <c r="G26" s="793"/>
      <c r="H26" s="793" t="s">
        <v>3180</v>
      </c>
      <c r="I26" s="782"/>
      <c r="J26" s="698">
        <f>+J25+1</f>
        <v>12</v>
      </c>
      <c r="K26" s="712"/>
      <c r="L26" s="286"/>
      <c r="M26" s="715"/>
      <c r="N26" s="702"/>
      <c r="O26" s="711"/>
      <c r="P26" s="711"/>
      <c r="Q26" s="286"/>
      <c r="R26" s="286"/>
      <c r="S26" s="711"/>
      <c r="T26" s="704"/>
    </row>
    <row r="27" spans="2:20">
      <c r="B27" s="787">
        <f t="shared" si="0"/>
        <v>20</v>
      </c>
      <c r="C27" s="790"/>
      <c r="D27" s="791" t="s">
        <v>3181</v>
      </c>
      <c r="E27" s="793"/>
      <c r="F27" s="793"/>
      <c r="G27" s="793"/>
      <c r="H27" s="793" t="s">
        <v>821</v>
      </c>
      <c r="I27" s="782"/>
      <c r="J27" s="698">
        <f>+J26+1</f>
        <v>13</v>
      </c>
      <c r="K27" s="712"/>
      <c r="L27" s="286"/>
      <c r="M27" s="715"/>
      <c r="N27" s="702"/>
      <c r="O27" s="711"/>
      <c r="P27" s="711"/>
      <c r="Q27" s="286"/>
      <c r="R27" s="286"/>
      <c r="S27" s="711"/>
      <c r="T27" s="704"/>
    </row>
    <row r="28" spans="2:20">
      <c r="B28" s="698">
        <f t="shared" si="0"/>
        <v>21</v>
      </c>
      <c r="C28" s="777"/>
      <c r="D28" s="746" t="s">
        <v>3182</v>
      </c>
      <c r="E28" s="786"/>
      <c r="F28" s="786"/>
      <c r="G28" s="786"/>
      <c r="H28" s="786" t="s">
        <v>3183</v>
      </c>
      <c r="I28" s="751"/>
      <c r="J28" s="698">
        <f>+J27+1</f>
        <v>14</v>
      </c>
      <c r="K28" s="712"/>
      <c r="L28" s="286"/>
      <c r="M28" s="715"/>
      <c r="N28" s="702"/>
      <c r="O28" s="711"/>
      <c r="P28" s="711"/>
      <c r="Q28" s="286"/>
      <c r="R28" s="286"/>
      <c r="S28" s="711"/>
      <c r="T28" s="704"/>
    </row>
    <row r="29" spans="2:20">
      <c r="B29" s="698">
        <f t="shared" si="0"/>
        <v>22</v>
      </c>
      <c r="C29" s="777"/>
      <c r="D29" s="746" t="s">
        <v>3184</v>
      </c>
      <c r="E29" s="747"/>
      <c r="F29" s="747"/>
      <c r="G29" s="747"/>
      <c r="H29" s="747" t="s">
        <v>2697</v>
      </c>
      <c r="I29" s="751"/>
      <c r="J29" s="698">
        <f>+J27+1</f>
        <v>14</v>
      </c>
      <c r="K29" s="712"/>
      <c r="L29" s="286"/>
      <c r="M29" s="715"/>
      <c r="N29" s="702"/>
      <c r="O29" s="711"/>
      <c r="P29" s="711"/>
      <c r="Q29" s="286"/>
      <c r="R29" s="286"/>
      <c r="S29" s="711"/>
      <c r="T29" s="704"/>
    </row>
    <row r="30" spans="2:20">
      <c r="B30" s="698">
        <f t="shared" si="0"/>
        <v>23</v>
      </c>
      <c r="C30" s="777"/>
      <c r="D30" s="746"/>
      <c r="E30" s="747"/>
      <c r="F30" s="747"/>
      <c r="G30" s="747"/>
      <c r="H30" s="747" t="s">
        <v>3185</v>
      </c>
      <c r="I30" s="751"/>
      <c r="J30" s="698">
        <f>+J29+1</f>
        <v>15</v>
      </c>
      <c r="K30" s="712"/>
      <c r="L30" s="286"/>
      <c r="M30" s="715"/>
      <c r="N30" s="702"/>
      <c r="O30" s="711"/>
      <c r="P30" s="711"/>
      <c r="Q30" s="286"/>
      <c r="R30" s="286"/>
      <c r="S30" s="711"/>
      <c r="T30" s="704"/>
    </row>
    <row r="31" spans="2:20">
      <c r="B31" s="698">
        <f t="shared" si="0"/>
        <v>24</v>
      </c>
      <c r="C31" s="777"/>
      <c r="D31" s="746" t="s">
        <v>3186</v>
      </c>
      <c r="E31" s="747"/>
      <c r="F31" s="747"/>
      <c r="G31" s="747"/>
      <c r="H31" s="747" t="s">
        <v>3187</v>
      </c>
      <c r="I31" s="751"/>
      <c r="J31" s="698">
        <f>+J34+1</f>
        <v>15</v>
      </c>
      <c r="K31" s="712"/>
      <c r="L31" s="286"/>
      <c r="M31" s="715"/>
      <c r="N31" s="702"/>
      <c r="O31" s="711"/>
      <c r="P31" s="711"/>
      <c r="Q31" s="286"/>
      <c r="R31" s="286"/>
      <c r="S31" s="711"/>
      <c r="T31" s="704"/>
    </row>
    <row r="32" spans="2:20">
      <c r="B32" s="698">
        <f t="shared" si="0"/>
        <v>25</v>
      </c>
      <c r="C32" s="777"/>
      <c r="D32" s="746"/>
      <c r="E32" s="747"/>
      <c r="F32" s="747"/>
      <c r="G32" s="747"/>
      <c r="H32" s="747" t="s">
        <v>3188</v>
      </c>
      <c r="I32" s="751"/>
      <c r="J32" s="698">
        <f>+J31+1</f>
        <v>16</v>
      </c>
      <c r="K32" s="712"/>
      <c r="L32" s="286"/>
      <c r="M32" s="715"/>
      <c r="N32" s="702"/>
      <c r="O32" s="711"/>
      <c r="P32" s="711"/>
      <c r="Q32" s="286"/>
      <c r="R32" s="286"/>
      <c r="S32" s="711"/>
      <c r="T32" s="704"/>
    </row>
    <row r="33" spans="2:20">
      <c r="B33" s="698">
        <f t="shared" si="0"/>
        <v>26</v>
      </c>
      <c r="C33" s="777"/>
      <c r="D33" s="746" t="s">
        <v>3189</v>
      </c>
      <c r="E33" s="747"/>
      <c r="F33" s="747"/>
      <c r="G33" s="747"/>
      <c r="H33" s="747" t="s">
        <v>3190</v>
      </c>
      <c r="I33" s="751"/>
      <c r="J33" s="698">
        <f>+J26+1</f>
        <v>13</v>
      </c>
      <c r="K33" s="712"/>
      <c r="L33" s="286"/>
      <c r="M33" s="715"/>
      <c r="N33" s="702"/>
      <c r="O33" s="711"/>
      <c r="P33" s="711"/>
      <c r="Q33" s="286"/>
      <c r="R33" s="286"/>
      <c r="S33" s="711"/>
      <c r="T33" s="704"/>
    </row>
    <row r="34" spans="2:20">
      <c r="B34" s="698">
        <f t="shared" si="0"/>
        <v>27</v>
      </c>
      <c r="C34" s="777"/>
      <c r="D34" s="746"/>
      <c r="E34" s="747"/>
      <c r="F34" s="747"/>
      <c r="G34" s="747"/>
      <c r="H34" s="747" t="s">
        <v>3191</v>
      </c>
      <c r="I34" s="751"/>
      <c r="J34" s="698">
        <f>+J33+1</f>
        <v>14</v>
      </c>
      <c r="K34" s="712"/>
      <c r="L34" s="286"/>
      <c r="M34" s="715"/>
      <c r="N34" s="702"/>
      <c r="O34" s="711"/>
      <c r="P34" s="711"/>
      <c r="Q34" s="286"/>
      <c r="R34" s="286"/>
      <c r="S34" s="711"/>
      <c r="T34" s="704"/>
    </row>
    <row r="35" spans="2:20">
      <c r="B35" s="698">
        <f t="shared" si="0"/>
        <v>28</v>
      </c>
      <c r="C35" s="777"/>
      <c r="D35" s="746" t="s">
        <v>3192</v>
      </c>
      <c r="E35" s="747"/>
      <c r="F35" s="747" t="s">
        <v>845</v>
      </c>
      <c r="G35" s="747"/>
      <c r="H35" s="747" t="s">
        <v>1404</v>
      </c>
      <c r="I35" s="751"/>
      <c r="J35" s="698">
        <f>+J32+1</f>
        <v>17</v>
      </c>
      <c r="K35" s="712"/>
      <c r="L35" s="286"/>
      <c r="M35" s="715"/>
      <c r="N35" s="702"/>
      <c r="O35" s="711"/>
      <c r="P35" s="711"/>
      <c r="Q35" s="286"/>
      <c r="R35" s="286"/>
      <c r="S35" s="711"/>
      <c r="T35" s="704"/>
    </row>
    <row r="36" spans="2:20">
      <c r="B36" s="698">
        <f t="shared" si="0"/>
        <v>29</v>
      </c>
      <c r="C36" s="777"/>
      <c r="D36" s="748" t="s">
        <v>3193</v>
      </c>
      <c r="E36" s="747"/>
      <c r="F36" s="747" t="s">
        <v>845</v>
      </c>
      <c r="G36" s="747"/>
      <c r="H36" s="747" t="s">
        <v>1101</v>
      </c>
      <c r="I36" s="751"/>
      <c r="J36" s="698">
        <f t="shared" ref="J36:J51" si="1">+J35+1</f>
        <v>18</v>
      </c>
      <c r="K36" s="692"/>
      <c r="L36" s="286"/>
      <c r="M36" s="715"/>
      <c r="N36" s="702"/>
      <c r="O36" s="703"/>
      <c r="P36" s="703"/>
      <c r="Q36" s="286"/>
      <c r="R36" s="286"/>
      <c r="S36" s="711"/>
      <c r="T36" s="704"/>
    </row>
    <row r="37" spans="2:20">
      <c r="B37" s="698">
        <f t="shared" si="0"/>
        <v>30</v>
      </c>
      <c r="C37" s="779"/>
      <c r="D37" s="746" t="s">
        <v>2998</v>
      </c>
      <c r="E37" s="747"/>
      <c r="F37" s="747"/>
      <c r="G37" s="747"/>
      <c r="H37" s="747" t="s">
        <v>2999</v>
      </c>
      <c r="I37" s="751"/>
      <c r="J37" s="698">
        <f t="shared" si="1"/>
        <v>19</v>
      </c>
      <c r="K37" s="692"/>
      <c r="L37" s="286"/>
      <c r="M37" s="715"/>
      <c r="N37" s="702"/>
      <c r="O37" s="703"/>
      <c r="P37" s="703"/>
      <c r="Q37" s="286"/>
      <c r="R37" s="286"/>
      <c r="S37" s="711"/>
      <c r="T37" s="704"/>
    </row>
    <row r="38" spans="2:20">
      <c r="B38" s="698">
        <f t="shared" si="0"/>
        <v>31</v>
      </c>
      <c r="C38" s="777"/>
      <c r="D38" s="746" t="s">
        <v>3000</v>
      </c>
      <c r="E38" s="748"/>
      <c r="F38" s="748"/>
      <c r="G38" s="747"/>
      <c r="H38" s="747" t="s">
        <v>3001</v>
      </c>
      <c r="I38" s="778"/>
      <c r="J38" s="698">
        <f t="shared" si="1"/>
        <v>20</v>
      </c>
      <c r="K38" s="692"/>
      <c r="L38" s="286"/>
      <c r="M38" s="715"/>
      <c r="N38" s="702"/>
      <c r="O38" s="703"/>
      <c r="P38" s="703"/>
      <c r="Q38" s="286"/>
      <c r="R38" s="286"/>
      <c r="S38" s="711"/>
      <c r="T38" s="704"/>
    </row>
    <row r="39" spans="2:20">
      <c r="B39" s="698">
        <f t="shared" si="0"/>
        <v>32</v>
      </c>
      <c r="C39" s="777"/>
      <c r="D39" s="746" t="s">
        <v>3002</v>
      </c>
      <c r="E39" s="748"/>
      <c r="F39" s="748"/>
      <c r="G39" s="747"/>
      <c r="H39" s="747" t="s">
        <v>3003</v>
      </c>
      <c r="I39" s="751"/>
      <c r="J39" s="698">
        <f t="shared" si="1"/>
        <v>21</v>
      </c>
      <c r="K39" s="692"/>
      <c r="L39" s="286"/>
      <c r="M39" s="715"/>
      <c r="N39" s="702"/>
      <c r="O39" s="703"/>
      <c r="P39" s="703"/>
      <c r="Q39" s="286"/>
      <c r="R39" s="286"/>
      <c r="S39" s="711"/>
      <c r="T39" s="704"/>
    </row>
    <row r="40" spans="2:20">
      <c r="B40" s="698">
        <f t="shared" si="0"/>
        <v>33</v>
      </c>
      <c r="C40" s="777"/>
      <c r="D40" s="746" t="s">
        <v>3004</v>
      </c>
      <c r="E40" s="747"/>
      <c r="F40" s="747"/>
      <c r="G40" s="747"/>
      <c r="H40" s="747" t="s">
        <v>3005</v>
      </c>
      <c r="I40" s="751"/>
      <c r="J40" s="698">
        <f t="shared" si="1"/>
        <v>22</v>
      </c>
      <c r="K40" s="692"/>
      <c r="L40" s="286"/>
      <c r="M40" s="715"/>
      <c r="N40" s="702"/>
      <c r="O40" s="703"/>
      <c r="P40" s="703"/>
      <c r="Q40" s="286"/>
      <c r="R40" s="286"/>
      <c r="S40" s="711"/>
      <c r="T40" s="704"/>
    </row>
    <row r="41" spans="2:20">
      <c r="B41" s="698">
        <f t="shared" si="0"/>
        <v>34</v>
      </c>
      <c r="C41" s="777"/>
      <c r="D41" s="748" t="s">
        <v>3006</v>
      </c>
      <c r="E41" s="747"/>
      <c r="F41" s="747"/>
      <c r="G41" s="747"/>
      <c r="H41" s="747" t="s">
        <v>3007</v>
      </c>
      <c r="I41" s="751"/>
      <c r="J41" s="698">
        <f t="shared" si="1"/>
        <v>23</v>
      </c>
      <c r="K41" s="692"/>
      <c r="L41" s="286"/>
      <c r="M41" s="715"/>
      <c r="N41" s="702"/>
      <c r="O41" s="703"/>
      <c r="P41" s="703"/>
      <c r="Q41" s="286"/>
      <c r="R41" s="286"/>
      <c r="S41" s="711"/>
      <c r="T41" s="704"/>
    </row>
    <row r="42" spans="2:20">
      <c r="B42" s="698">
        <f t="shared" si="0"/>
        <v>35</v>
      </c>
      <c r="C42" s="777"/>
      <c r="D42" s="748"/>
      <c r="E42" s="747"/>
      <c r="F42" s="747"/>
      <c r="G42" s="747"/>
      <c r="H42" s="747" t="s">
        <v>3008</v>
      </c>
      <c r="I42" s="751"/>
      <c r="J42" s="698">
        <f t="shared" si="1"/>
        <v>24</v>
      </c>
      <c r="K42" s="692"/>
      <c r="L42" s="286"/>
      <c r="M42" s="715"/>
      <c r="N42" s="702"/>
      <c r="O42" s="703"/>
      <c r="P42" s="703"/>
      <c r="Q42" s="286"/>
      <c r="R42" s="286"/>
      <c r="S42" s="711"/>
      <c r="T42" s="704"/>
    </row>
    <row r="43" spans="2:20">
      <c r="B43" s="698">
        <f t="shared" si="0"/>
        <v>36</v>
      </c>
      <c r="C43" s="777"/>
      <c r="D43" s="748" t="s">
        <v>3009</v>
      </c>
      <c r="E43" s="747"/>
      <c r="F43" s="747"/>
      <c r="G43" s="747"/>
      <c r="H43" s="747" t="s">
        <v>3010</v>
      </c>
      <c r="I43" s="751"/>
      <c r="J43" s="698">
        <f t="shared" si="1"/>
        <v>25</v>
      </c>
      <c r="K43" s="692"/>
      <c r="L43" s="286"/>
      <c r="M43" s="715"/>
      <c r="N43" s="702"/>
      <c r="O43" s="703"/>
      <c r="P43" s="703"/>
      <c r="Q43" s="286"/>
      <c r="R43" s="286"/>
      <c r="S43" s="711"/>
      <c r="T43" s="704"/>
    </row>
    <row r="44" spans="2:20">
      <c r="B44" s="698">
        <f t="shared" si="0"/>
        <v>37</v>
      </c>
      <c r="C44" s="777"/>
      <c r="D44" s="748"/>
      <c r="E44" s="747"/>
      <c r="F44" s="747"/>
      <c r="G44" s="747"/>
      <c r="H44" s="747" t="s">
        <v>3011</v>
      </c>
      <c r="I44" s="751"/>
      <c r="J44" s="698">
        <f t="shared" si="1"/>
        <v>26</v>
      </c>
      <c r="K44" s="692"/>
      <c r="L44" s="286"/>
      <c r="M44" s="715"/>
      <c r="N44" s="702"/>
      <c r="O44" s="703"/>
      <c r="P44" s="703"/>
      <c r="Q44" s="286"/>
      <c r="R44" s="286"/>
      <c r="S44" s="711"/>
      <c r="T44" s="704"/>
    </row>
    <row r="45" spans="2:20">
      <c r="B45" s="698">
        <f t="shared" si="0"/>
        <v>38</v>
      </c>
      <c r="C45" s="777"/>
      <c r="D45" s="748" t="s">
        <v>3012</v>
      </c>
      <c r="E45" s="747"/>
      <c r="F45" s="747"/>
      <c r="G45" s="747"/>
      <c r="H45" s="747" t="s">
        <v>3013</v>
      </c>
      <c r="I45" s="751"/>
      <c r="J45" s="698">
        <f t="shared" si="1"/>
        <v>27</v>
      </c>
      <c r="K45" s="692"/>
      <c r="L45" s="286"/>
      <c r="M45" s="715"/>
      <c r="N45" s="702"/>
      <c r="O45" s="703"/>
      <c r="P45" s="703"/>
      <c r="Q45" s="286"/>
      <c r="R45" s="286"/>
      <c r="S45" s="711"/>
      <c r="T45" s="704"/>
    </row>
    <row r="46" spans="2:20">
      <c r="B46" s="698">
        <f t="shared" si="0"/>
        <v>39</v>
      </c>
      <c r="C46" s="751"/>
      <c r="D46" s="748"/>
      <c r="E46" s="747"/>
      <c r="F46" s="747"/>
      <c r="G46" s="747"/>
      <c r="H46" s="747" t="s">
        <v>3014</v>
      </c>
      <c r="I46" s="780"/>
      <c r="J46" s="698">
        <f t="shared" si="1"/>
        <v>28</v>
      </c>
      <c r="K46" s="692"/>
      <c r="L46" s="286"/>
      <c r="M46" s="715"/>
      <c r="N46" s="702"/>
      <c r="O46" s="703"/>
      <c r="P46" s="703"/>
      <c r="Q46" s="286"/>
      <c r="R46" s="286"/>
      <c r="S46" s="711"/>
      <c r="T46" s="704"/>
    </row>
    <row r="47" spans="2:20">
      <c r="B47" s="698">
        <f t="shared" si="0"/>
        <v>40</v>
      </c>
      <c r="C47" s="751"/>
      <c r="D47" s="748" t="s">
        <v>3015</v>
      </c>
      <c r="E47" s="749"/>
      <c r="F47" s="749"/>
      <c r="G47" s="749"/>
      <c r="H47" s="750" t="s">
        <v>3016</v>
      </c>
      <c r="I47" s="780"/>
      <c r="J47" s="698">
        <f t="shared" si="1"/>
        <v>29</v>
      </c>
      <c r="K47" s="692"/>
      <c r="L47" s="286"/>
      <c r="M47" s="715"/>
      <c r="N47" s="702"/>
      <c r="O47" s="703"/>
      <c r="P47" s="703"/>
      <c r="Q47" s="286"/>
      <c r="R47" s="286"/>
      <c r="S47" s="711"/>
      <c r="T47" s="704"/>
    </row>
    <row r="48" spans="2:20">
      <c r="B48" s="698">
        <f t="shared" si="0"/>
        <v>41</v>
      </c>
      <c r="C48" s="751"/>
      <c r="D48" s="751"/>
      <c r="E48" s="749"/>
      <c r="F48" s="749"/>
      <c r="G48" s="749"/>
      <c r="H48" s="750" t="s">
        <v>3017</v>
      </c>
      <c r="I48" s="780"/>
      <c r="J48" s="698">
        <f t="shared" si="1"/>
        <v>30</v>
      </c>
      <c r="K48" s="692"/>
      <c r="L48" s="286"/>
      <c r="M48" s="715"/>
      <c r="N48" s="702"/>
      <c r="O48" s="703"/>
      <c r="P48" s="703"/>
      <c r="Q48" s="286"/>
      <c r="R48" s="286"/>
      <c r="S48" s="711"/>
      <c r="T48" s="704"/>
    </row>
    <row r="49" spans="2:21">
      <c r="B49" s="698">
        <f t="shared" si="0"/>
        <v>42</v>
      </c>
      <c r="C49" s="751"/>
      <c r="D49" s="751" t="s">
        <v>3018</v>
      </c>
      <c r="E49" s="749"/>
      <c r="F49" s="749"/>
      <c r="G49" s="749"/>
      <c r="H49" s="750" t="s">
        <v>2981</v>
      </c>
      <c r="I49" s="780"/>
      <c r="J49" s="698">
        <f t="shared" si="1"/>
        <v>31</v>
      </c>
      <c r="K49" s="692"/>
      <c r="L49" s="286"/>
      <c r="M49" s="715"/>
      <c r="N49" s="702"/>
      <c r="O49" s="703"/>
      <c r="P49" s="703"/>
      <c r="Q49" s="286"/>
      <c r="R49" s="286"/>
      <c r="S49" s="711"/>
      <c r="T49" s="704"/>
    </row>
    <row r="50" spans="2:21">
      <c r="B50" s="698">
        <f t="shared" si="0"/>
        <v>43</v>
      </c>
      <c r="C50" s="751"/>
      <c r="D50" s="749"/>
      <c r="E50" s="749"/>
      <c r="F50" s="749"/>
      <c r="G50" s="749"/>
      <c r="H50" s="750" t="s">
        <v>3019</v>
      </c>
      <c r="I50" s="780"/>
      <c r="J50" s="698">
        <f t="shared" si="1"/>
        <v>32</v>
      </c>
      <c r="K50" s="692"/>
      <c r="L50" s="286"/>
      <c r="M50" s="715"/>
      <c r="N50" s="702"/>
      <c r="O50" s="703"/>
      <c r="P50" s="703"/>
      <c r="Q50" s="286"/>
      <c r="R50" s="286"/>
      <c r="S50" s="711"/>
      <c r="T50" s="704"/>
    </row>
    <row r="51" spans="2:21">
      <c r="B51" s="698">
        <f t="shared" si="0"/>
        <v>44</v>
      </c>
      <c r="C51" s="716"/>
      <c r="D51" s="286"/>
      <c r="E51" s="717"/>
      <c r="F51" s="717"/>
      <c r="G51" s="717"/>
      <c r="H51" s="711"/>
      <c r="I51" s="718"/>
      <c r="J51" s="698">
        <f t="shared" si="1"/>
        <v>33</v>
      </c>
      <c r="K51" s="692"/>
      <c r="L51" s="286"/>
      <c r="M51" s="715"/>
      <c r="N51" s="702"/>
      <c r="O51" s="703"/>
      <c r="P51" s="703"/>
      <c r="Q51" s="286"/>
      <c r="R51" s="286"/>
      <c r="S51" s="711"/>
      <c r="T51" s="704"/>
    </row>
    <row r="52" spans="2:21" ht="18" thickBot="1">
      <c r="B52" s="719"/>
      <c r="C52" s="720"/>
      <c r="D52" s="721"/>
      <c r="E52" s="721"/>
      <c r="F52" s="721"/>
      <c r="G52" s="721"/>
      <c r="H52" s="721"/>
      <c r="I52" s="722"/>
      <c r="J52" s="723"/>
      <c r="K52" s="720"/>
      <c r="L52" s="721"/>
      <c r="M52" s="720"/>
      <c r="N52" s="721"/>
      <c r="O52" s="721"/>
      <c r="P52" s="721"/>
      <c r="Q52" s="721"/>
      <c r="R52" s="721"/>
      <c r="S52" s="721"/>
      <c r="T52" s="724"/>
    </row>
    <row r="53" spans="2:21">
      <c r="B53" s="725"/>
      <c r="C53" s="725"/>
      <c r="D53" s="725"/>
      <c r="E53" s="725"/>
      <c r="F53" s="725"/>
      <c r="G53" s="725"/>
      <c r="H53" s="725"/>
      <c r="I53" s="725"/>
      <c r="J53" s="725"/>
      <c r="K53" s="725"/>
      <c r="L53" s="725"/>
      <c r="M53" s="725"/>
      <c r="N53" s="725"/>
      <c r="O53" s="726"/>
      <c r="P53" s="726"/>
      <c r="Q53" s="725"/>
      <c r="R53" s="726"/>
      <c r="S53" s="726"/>
      <c r="T53" s="725"/>
      <c r="U53" s="725"/>
    </row>
    <row r="54" spans="2:21">
      <c r="B54" s="688" t="s">
        <v>1025</v>
      </c>
      <c r="O54" s="689"/>
      <c r="P54" s="689"/>
      <c r="R54" s="689"/>
      <c r="S54" s="689"/>
      <c r="U54" s="725"/>
    </row>
    <row r="55" spans="2:21">
      <c r="B55" s="1091" t="s">
        <v>826</v>
      </c>
      <c r="C55" s="1091"/>
      <c r="D55" s="1091" t="s">
        <v>1029</v>
      </c>
      <c r="E55" s="1091"/>
      <c r="F55" s="1091"/>
      <c r="G55" s="1091"/>
      <c r="H55" s="1091"/>
      <c r="I55" s="1091"/>
      <c r="J55" s="1091"/>
      <c r="K55" s="1091"/>
      <c r="L55" s="1091"/>
      <c r="M55" s="1091"/>
      <c r="N55" s="1091"/>
      <c r="O55" s="1091"/>
      <c r="P55" s="1091"/>
      <c r="Q55" s="1091"/>
      <c r="R55" s="1091"/>
      <c r="S55" s="1091"/>
      <c r="T55" s="1091"/>
      <c r="U55" s="725"/>
    </row>
    <row r="56" spans="2:21">
      <c r="B56" s="1104" t="s">
        <v>1033</v>
      </c>
      <c r="C56" s="1105"/>
      <c r="D56" s="1116"/>
      <c r="E56" s="1117"/>
      <c r="F56" s="1117"/>
      <c r="G56" s="1117"/>
      <c r="H56" s="1117"/>
      <c r="I56" s="1117"/>
      <c r="J56" s="1117"/>
      <c r="K56" s="1117"/>
      <c r="L56" s="1117"/>
      <c r="M56" s="1117"/>
      <c r="N56" s="1117"/>
      <c r="O56" s="1117"/>
      <c r="P56" s="1117"/>
      <c r="Q56" s="1117"/>
      <c r="R56" s="1117"/>
      <c r="S56" s="1117"/>
      <c r="T56" s="1118"/>
      <c r="U56" s="725"/>
    </row>
    <row r="57" spans="2:21">
      <c r="B57" s="1086" t="s">
        <v>1038</v>
      </c>
      <c r="C57" s="1087"/>
      <c r="D57" s="1088"/>
      <c r="E57" s="1089"/>
      <c r="F57" s="1089"/>
      <c r="G57" s="1089"/>
      <c r="H57" s="1089"/>
      <c r="I57" s="1089"/>
      <c r="J57" s="1089"/>
      <c r="K57" s="1089"/>
      <c r="L57" s="1089"/>
      <c r="M57" s="1089"/>
      <c r="N57" s="1089"/>
      <c r="O57" s="1089"/>
      <c r="P57" s="1089"/>
      <c r="Q57" s="1089"/>
      <c r="R57" s="1089"/>
      <c r="S57" s="1089"/>
      <c r="T57" s="1090"/>
      <c r="U57" s="725"/>
    </row>
    <row r="58" spans="2:21">
      <c r="B58" s="689"/>
      <c r="C58" s="689"/>
      <c r="D58" s="689"/>
      <c r="E58" s="689"/>
      <c r="F58" s="689"/>
      <c r="G58" s="689"/>
      <c r="H58" s="689"/>
      <c r="I58" s="689"/>
      <c r="J58" s="689"/>
      <c r="K58" s="689"/>
      <c r="L58" s="689"/>
      <c r="M58" s="689"/>
      <c r="N58" s="689"/>
      <c r="O58" s="689"/>
      <c r="P58" s="689"/>
      <c r="Q58" s="689"/>
      <c r="R58" s="689"/>
      <c r="S58" s="689"/>
      <c r="T58" s="689"/>
      <c r="U58" s="725"/>
    </row>
    <row r="59" spans="2:21">
      <c r="B59" s="688" t="s">
        <v>1045</v>
      </c>
      <c r="O59" s="689"/>
      <c r="P59" s="689"/>
      <c r="R59" s="689"/>
      <c r="S59" s="689"/>
      <c r="U59" s="725"/>
    </row>
    <row r="60" spans="2:21">
      <c r="B60" s="1093" t="s">
        <v>1049</v>
      </c>
      <c r="C60" s="1093"/>
      <c r="D60" s="1092"/>
      <c r="E60" s="1092"/>
      <c r="F60" s="1092"/>
      <c r="G60" s="1092"/>
      <c r="H60" s="1092"/>
      <c r="I60" s="1092"/>
      <c r="J60" s="1092"/>
      <c r="K60" s="1092"/>
      <c r="L60" s="1092"/>
      <c r="M60" s="1092"/>
      <c r="N60" s="1092"/>
      <c r="O60" s="1092"/>
      <c r="P60" s="1092"/>
      <c r="Q60" s="1092"/>
      <c r="R60" s="1092"/>
      <c r="S60" s="1092"/>
      <c r="T60" s="1092"/>
    </row>
    <row r="61" spans="2:21">
      <c r="B61" s="1091" t="s">
        <v>1053</v>
      </c>
      <c r="C61" s="1091"/>
      <c r="D61" s="1092"/>
      <c r="E61" s="1092"/>
      <c r="F61" s="1092"/>
      <c r="G61" s="1092"/>
      <c r="H61" s="1092"/>
      <c r="I61" s="1092"/>
      <c r="J61" s="1092"/>
      <c r="K61" s="1092"/>
      <c r="L61" s="1092"/>
      <c r="M61" s="1092"/>
      <c r="N61" s="1092"/>
      <c r="O61" s="1092"/>
      <c r="P61" s="1092"/>
      <c r="Q61" s="1092"/>
      <c r="R61" s="1092"/>
      <c r="S61" s="1092"/>
      <c r="T61" s="1092"/>
    </row>
    <row r="62" spans="2:21">
      <c r="B62" s="1091" t="s">
        <v>1057</v>
      </c>
      <c r="C62" s="1091"/>
      <c r="D62" s="1092"/>
      <c r="E62" s="1092"/>
      <c r="F62" s="1092"/>
      <c r="G62" s="1092"/>
      <c r="H62" s="1092"/>
      <c r="I62" s="1092"/>
      <c r="J62" s="1092"/>
      <c r="K62" s="1092"/>
      <c r="L62" s="1092"/>
      <c r="M62" s="1092"/>
      <c r="N62" s="1092"/>
      <c r="O62" s="1092"/>
      <c r="P62" s="1092"/>
      <c r="Q62" s="1092"/>
      <c r="R62" s="1092"/>
      <c r="S62" s="1092"/>
      <c r="T62" s="1092"/>
    </row>
    <row r="63" spans="2:21">
      <c r="B63" s="1091" t="s">
        <v>1061</v>
      </c>
      <c r="C63" s="1091"/>
      <c r="D63" s="1092"/>
      <c r="E63" s="1092"/>
      <c r="F63" s="1092"/>
      <c r="G63" s="1092"/>
      <c r="H63" s="1092"/>
      <c r="I63" s="1092"/>
      <c r="J63" s="1092"/>
      <c r="K63" s="1092"/>
      <c r="L63" s="1092"/>
      <c r="M63" s="1092"/>
      <c r="N63" s="1092"/>
      <c r="O63" s="1092"/>
      <c r="P63" s="1092"/>
      <c r="Q63" s="1092"/>
      <c r="R63" s="1092"/>
      <c r="S63" s="1092"/>
      <c r="T63" s="1092"/>
    </row>
  </sheetData>
  <mergeCells count="25">
    <mergeCell ref="B55:C55"/>
    <mergeCell ref="D55:T55"/>
    <mergeCell ref="B56:C56"/>
    <mergeCell ref="B5:I5"/>
    <mergeCell ref="J5:R5"/>
    <mergeCell ref="S5:S7"/>
    <mergeCell ref="T5:T7"/>
    <mergeCell ref="C6:I6"/>
    <mergeCell ref="K6:R6"/>
    <mergeCell ref="D56:T56"/>
    <mergeCell ref="B2:J3"/>
    <mergeCell ref="L2:O2"/>
    <mergeCell ref="Q2:T2"/>
    <mergeCell ref="L3:O3"/>
    <mergeCell ref="Q3:T3"/>
    <mergeCell ref="B57:C57"/>
    <mergeCell ref="D57:T57"/>
    <mergeCell ref="B63:C63"/>
    <mergeCell ref="D63:T63"/>
    <mergeCell ref="B60:C60"/>
    <mergeCell ref="D60:T60"/>
    <mergeCell ref="B61:C61"/>
    <mergeCell ref="D61:T61"/>
    <mergeCell ref="B62:C62"/>
    <mergeCell ref="D62:T62"/>
  </mergeCells>
  <phoneticPr fontId="4" type="noConversion"/>
  <hyperlinks>
    <hyperlink ref="A1" location="List!A1" display="Top" xr:uid="{8CC5A2F7-654F-4944-920B-1ACE5386CA6D}"/>
  </hyperlinks>
  <pageMargins left="0.7" right="0.7" top="0.75" bottom="0.75" header="0.3" footer="0.3"/>
  <customProperties>
    <customPr name="_pios_id" r:id="rId1"/>
  </customPropertie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0FD57-68C9-43CF-A46C-E830967649F5}">
  <sheetPr>
    <tabColor theme="9" tint="0.79998168889431442"/>
  </sheetPr>
  <dimension ref="A1:U36"/>
  <sheetViews>
    <sheetView showGridLines="0" zoomScale="85" zoomScaleNormal="85" workbookViewId="0">
      <selection activeCell="I15" sqref="I15"/>
    </sheetView>
  </sheetViews>
  <sheetFormatPr defaultColWidth="12.625" defaultRowHeight="17.25"/>
  <cols>
    <col min="1" max="1" width="4.625" style="684" bestFit="1" customWidth="1"/>
    <col min="2" max="2" width="6.375" style="684" customWidth="1"/>
    <col min="3" max="3" width="39.125" style="684" customWidth="1"/>
    <col min="4" max="4" width="26" style="684" customWidth="1"/>
    <col min="5" max="5" width="5.125" style="684" bestFit="1" customWidth="1"/>
    <col min="6" max="7" width="7.125" style="684" bestFit="1" customWidth="1"/>
    <col min="8" max="8" width="29.875" style="684" bestFit="1" customWidth="1"/>
    <col min="9" max="9" width="27" style="684" bestFit="1" customWidth="1"/>
    <col min="10" max="10" width="8.875" style="684" bestFit="1" customWidth="1"/>
    <col min="11" max="11" width="18.875" style="684" customWidth="1"/>
    <col min="12" max="12" width="3.5" style="684" bestFit="1" customWidth="1"/>
    <col min="13" max="13" width="19.375" style="684" customWidth="1"/>
    <col min="14" max="14" width="5.875" style="684" bestFit="1" customWidth="1"/>
    <col min="15" max="15" width="22.75" style="684" customWidth="1"/>
    <col min="16" max="16" width="15.625" style="684" customWidth="1"/>
    <col min="17" max="17" width="4.5" style="684" bestFit="1" customWidth="1"/>
    <col min="18" max="18" width="4.125" style="684" bestFit="1" customWidth="1"/>
    <col min="19" max="19" width="5.875" style="684" bestFit="1" customWidth="1"/>
    <col min="20" max="20" width="8.125" style="684" bestFit="1" customWidth="1"/>
    <col min="21" max="21" width="26.125" style="684" customWidth="1"/>
    <col min="22" max="25" width="2.125" style="684" customWidth="1"/>
    <col min="26" max="26" width="35.125" style="684" customWidth="1"/>
    <col min="27" max="16384" width="12.625" style="684"/>
  </cols>
  <sheetData>
    <row r="1" spans="1:21" ht="18" thickBot="1">
      <c r="A1" s="887" t="s">
        <v>814</v>
      </c>
    </row>
    <row r="2" spans="1:21" ht="19.149999999999999" customHeight="1">
      <c r="B2" s="992" t="s">
        <v>3194</v>
      </c>
      <c r="C2" s="993"/>
      <c r="D2" s="993"/>
      <c r="E2" s="993"/>
      <c r="F2" s="993"/>
      <c r="G2" s="993"/>
      <c r="H2" s="993"/>
      <c r="I2" s="993"/>
      <c r="J2" s="994"/>
      <c r="K2" s="685" t="s">
        <v>816</v>
      </c>
      <c r="L2" s="1094" t="s">
        <v>145</v>
      </c>
      <c r="M2" s="1095"/>
      <c r="N2" s="1095"/>
      <c r="O2" s="1096"/>
      <c r="P2" s="685" t="s">
        <v>817</v>
      </c>
      <c r="Q2" s="1097" t="s">
        <v>818</v>
      </c>
      <c r="R2" s="1097"/>
      <c r="S2" s="1097"/>
      <c r="T2" s="1098"/>
      <c r="U2" s="686"/>
    </row>
    <row r="3" spans="1:21" ht="19.899999999999999" customHeight="1" thickBot="1">
      <c r="B3" s="995"/>
      <c r="C3" s="996"/>
      <c r="D3" s="996"/>
      <c r="E3" s="996"/>
      <c r="F3" s="996"/>
      <c r="G3" s="996"/>
      <c r="H3" s="996"/>
      <c r="I3" s="996"/>
      <c r="J3" s="997"/>
      <c r="K3" s="687" t="s">
        <v>819</v>
      </c>
      <c r="L3" s="1099" t="s">
        <v>820</v>
      </c>
      <c r="M3" s="1100"/>
      <c r="N3" s="1100"/>
      <c r="O3" s="1101"/>
      <c r="P3" s="687" t="s">
        <v>821</v>
      </c>
      <c r="Q3" s="1102">
        <v>0.1</v>
      </c>
      <c r="R3" s="1102"/>
      <c r="S3" s="1102"/>
      <c r="T3" s="1103"/>
    </row>
    <row r="4" spans="1:21" ht="18" thickBot="1">
      <c r="B4" s="688" t="s">
        <v>822</v>
      </c>
      <c r="O4" s="689"/>
      <c r="P4" s="689"/>
      <c r="R4" s="689"/>
      <c r="S4" s="689"/>
    </row>
    <row r="5" spans="1:21" ht="19.149999999999999" customHeight="1">
      <c r="B5" s="1106" t="s">
        <v>823</v>
      </c>
      <c r="C5" s="1107"/>
      <c r="D5" s="1107"/>
      <c r="E5" s="1107"/>
      <c r="F5" s="1107"/>
      <c r="G5" s="1107"/>
      <c r="H5" s="1107"/>
      <c r="I5" s="1108"/>
      <c r="J5" s="1109" t="s">
        <v>1390</v>
      </c>
      <c r="K5" s="1107"/>
      <c r="L5" s="1107"/>
      <c r="M5" s="1107"/>
      <c r="N5" s="1107"/>
      <c r="O5" s="1107"/>
      <c r="P5" s="1107"/>
      <c r="Q5" s="1107"/>
      <c r="R5" s="1107"/>
      <c r="S5" s="1110" t="s">
        <v>825</v>
      </c>
      <c r="T5" s="1112" t="s">
        <v>826</v>
      </c>
    </row>
    <row r="6" spans="1:21" ht="38.450000000000003" customHeight="1">
      <c r="B6" s="690" t="s">
        <v>828</v>
      </c>
      <c r="C6" s="1114"/>
      <c r="D6" s="1111"/>
      <c r="E6" s="1111"/>
      <c r="F6" s="1111"/>
      <c r="G6" s="1111"/>
      <c r="H6" s="1111"/>
      <c r="I6" s="1113"/>
      <c r="J6" s="691" t="s">
        <v>829</v>
      </c>
      <c r="K6" s="1115"/>
      <c r="L6" s="1111"/>
      <c r="M6" s="1111"/>
      <c r="N6" s="1111"/>
      <c r="O6" s="1111"/>
      <c r="P6" s="1111"/>
      <c r="Q6" s="1111"/>
      <c r="R6" s="1111"/>
      <c r="S6" s="1111"/>
      <c r="T6" s="1113"/>
    </row>
    <row r="7" spans="1:21" ht="39" customHeight="1" thickBot="1">
      <c r="B7" s="693" t="s">
        <v>831</v>
      </c>
      <c r="C7" s="288" t="s">
        <v>1973</v>
      </c>
      <c r="D7" s="289" t="s">
        <v>832</v>
      </c>
      <c r="E7" s="694" t="s">
        <v>3141</v>
      </c>
      <c r="F7" s="694" t="s">
        <v>3142</v>
      </c>
      <c r="G7" s="694" t="s">
        <v>835</v>
      </c>
      <c r="H7" s="694" t="s">
        <v>836</v>
      </c>
      <c r="I7" s="695" t="s">
        <v>837</v>
      </c>
      <c r="J7" s="696" t="s">
        <v>831</v>
      </c>
      <c r="K7" s="694" t="s">
        <v>832</v>
      </c>
      <c r="L7" s="694" t="s">
        <v>833</v>
      </c>
      <c r="M7" s="694" t="s">
        <v>834</v>
      </c>
      <c r="N7" s="694" t="s">
        <v>835</v>
      </c>
      <c r="O7" s="694" t="s">
        <v>836</v>
      </c>
      <c r="P7" s="694" t="s">
        <v>837</v>
      </c>
      <c r="Q7" s="697" t="s">
        <v>838</v>
      </c>
      <c r="R7" s="697" t="s">
        <v>839</v>
      </c>
      <c r="S7" s="1111"/>
      <c r="T7" s="1113"/>
    </row>
    <row r="8" spans="1:21">
      <c r="B8" s="698">
        <v>1</v>
      </c>
      <c r="C8" s="772"/>
      <c r="D8" s="773" t="s">
        <v>3144</v>
      </c>
      <c r="E8" s="758" t="s">
        <v>1870</v>
      </c>
      <c r="F8" s="772" t="s">
        <v>845</v>
      </c>
      <c r="G8" s="772">
        <v>6</v>
      </c>
      <c r="H8" s="772" t="s">
        <v>3145</v>
      </c>
      <c r="I8" s="283"/>
      <c r="J8" s="698">
        <v>1</v>
      </c>
      <c r="K8" s="699" t="s">
        <v>3068</v>
      </c>
      <c r="L8" s="700" t="s">
        <v>1368</v>
      </c>
      <c r="M8" s="701" t="s">
        <v>1188</v>
      </c>
      <c r="N8" s="700">
        <v>1000</v>
      </c>
      <c r="O8" s="701" t="s">
        <v>3025</v>
      </c>
      <c r="P8" s="701" t="s">
        <v>1368</v>
      </c>
      <c r="Q8" s="702"/>
      <c r="R8" s="702"/>
      <c r="S8" s="703"/>
      <c r="T8" s="704"/>
    </row>
    <row r="9" spans="1:21">
      <c r="B9" s="698">
        <f t="shared" ref="B9:B25" si="0">+B8+1</f>
        <v>2</v>
      </c>
      <c r="C9" s="772"/>
      <c r="D9" s="284" t="s">
        <v>1538</v>
      </c>
      <c r="E9" s="205" t="s">
        <v>1870</v>
      </c>
      <c r="F9" s="282" t="s">
        <v>845</v>
      </c>
      <c r="G9" s="282">
        <v>4</v>
      </c>
      <c r="H9" s="282" t="s">
        <v>862</v>
      </c>
      <c r="I9" s="283"/>
      <c r="J9" s="698">
        <v>2</v>
      </c>
      <c r="K9" s="705" t="s">
        <v>2862</v>
      </c>
      <c r="L9" s="706" t="s">
        <v>1368</v>
      </c>
      <c r="M9" s="707" t="s">
        <v>1188</v>
      </c>
      <c r="N9" s="708">
        <v>1000</v>
      </c>
      <c r="O9" s="707" t="s">
        <v>862</v>
      </c>
      <c r="P9" s="707" t="s">
        <v>1368</v>
      </c>
      <c r="Q9" s="702"/>
      <c r="R9" s="702"/>
      <c r="S9" s="703"/>
      <c r="T9" s="704"/>
      <c r="U9" s="686"/>
    </row>
    <row r="10" spans="1:21">
      <c r="B10" s="698">
        <f t="shared" si="0"/>
        <v>3</v>
      </c>
      <c r="C10" s="772"/>
      <c r="D10" s="774" t="s">
        <v>3195</v>
      </c>
      <c r="E10" s="758" t="s">
        <v>2810</v>
      </c>
      <c r="F10" s="772" t="s">
        <v>845</v>
      </c>
      <c r="G10" s="772">
        <v>40</v>
      </c>
      <c r="H10" s="772" t="s">
        <v>1069</v>
      </c>
      <c r="I10" s="283"/>
      <c r="J10" s="698"/>
      <c r="K10" s="878"/>
      <c r="L10" s="879"/>
      <c r="M10" s="880"/>
      <c r="N10" s="881"/>
      <c r="O10" s="880"/>
      <c r="P10" s="707"/>
      <c r="Q10" s="702"/>
      <c r="R10" s="702"/>
      <c r="S10" s="703"/>
      <c r="T10" s="704"/>
    </row>
    <row r="11" spans="1:21">
      <c r="B11" s="698">
        <f t="shared" si="0"/>
        <v>4</v>
      </c>
      <c r="C11" s="772"/>
      <c r="D11" s="774" t="s">
        <v>3151</v>
      </c>
      <c r="E11" s="758" t="s">
        <v>1870</v>
      </c>
      <c r="F11" s="772" t="s">
        <v>1225</v>
      </c>
      <c r="G11" s="772">
        <v>2</v>
      </c>
      <c r="H11" s="772" t="s">
        <v>3152</v>
      </c>
      <c r="I11" s="283" t="s">
        <v>3153</v>
      </c>
      <c r="J11" s="698"/>
      <c r="K11" s="878" t="s">
        <v>3154</v>
      </c>
      <c r="L11" s="879" t="s">
        <v>1368</v>
      </c>
      <c r="M11" s="880" t="s">
        <v>1188</v>
      </c>
      <c r="N11" s="881" t="s">
        <v>1368</v>
      </c>
      <c r="O11" s="880" t="s">
        <v>3155</v>
      </c>
      <c r="P11" s="707"/>
      <c r="Q11" s="702"/>
      <c r="R11" s="702"/>
      <c r="S11" s="703"/>
      <c r="T11" s="704"/>
    </row>
    <row r="12" spans="1:21">
      <c r="B12" s="698">
        <f t="shared" si="0"/>
        <v>5</v>
      </c>
      <c r="C12" s="772"/>
      <c r="D12" s="283" t="s">
        <v>2131</v>
      </c>
      <c r="E12" s="282"/>
      <c r="F12" s="282" t="s">
        <v>3156</v>
      </c>
      <c r="G12" s="282">
        <v>5</v>
      </c>
      <c r="H12" s="282" t="s">
        <v>1404</v>
      </c>
      <c r="I12" s="283"/>
      <c r="J12" s="698">
        <v>3</v>
      </c>
      <c r="K12" s="705" t="s">
        <v>3157</v>
      </c>
      <c r="L12" s="706" t="s">
        <v>1368</v>
      </c>
      <c r="M12" s="707" t="s">
        <v>1188</v>
      </c>
      <c r="N12" s="708">
        <v>1000</v>
      </c>
      <c r="O12" s="707" t="s">
        <v>1404</v>
      </c>
      <c r="P12" s="707" t="s">
        <v>1368</v>
      </c>
      <c r="Q12" s="702"/>
      <c r="R12" s="702"/>
      <c r="S12" s="703"/>
      <c r="T12" s="704"/>
    </row>
    <row r="13" spans="1:21">
      <c r="B13" s="698">
        <f t="shared" si="0"/>
        <v>6</v>
      </c>
      <c r="C13" s="463"/>
      <c r="D13" s="464" t="s">
        <v>2129</v>
      </c>
      <c r="E13" s="463"/>
      <c r="F13" s="463" t="s">
        <v>845</v>
      </c>
      <c r="G13" s="463"/>
      <c r="H13" s="463" t="s">
        <v>1101</v>
      </c>
      <c r="I13" s="285"/>
      <c r="J13" s="698">
        <v>4</v>
      </c>
      <c r="K13" s="882" t="s">
        <v>1101</v>
      </c>
      <c r="L13" s="883" t="s">
        <v>1368</v>
      </c>
      <c r="M13" s="884" t="s">
        <v>1188</v>
      </c>
      <c r="N13" s="885">
        <v>1000</v>
      </c>
      <c r="O13" s="886" t="s">
        <v>1101</v>
      </c>
      <c r="P13" s="710" t="s">
        <v>1368</v>
      </c>
      <c r="Q13" s="286"/>
      <c r="R13" s="286"/>
      <c r="S13" s="711"/>
      <c r="T13" s="704"/>
    </row>
    <row r="14" spans="1:21" ht="34.5">
      <c r="B14" s="698">
        <f t="shared" si="0"/>
        <v>7</v>
      </c>
      <c r="C14" s="279"/>
      <c r="D14" s="283" t="s">
        <v>3158</v>
      </c>
      <c r="E14" s="282"/>
      <c r="F14" s="282" t="s">
        <v>3159</v>
      </c>
      <c r="G14" s="282" t="s">
        <v>3160</v>
      </c>
      <c r="H14" s="282"/>
      <c r="I14" s="283"/>
      <c r="J14" s="698">
        <v>5</v>
      </c>
      <c r="K14" s="709" t="s">
        <v>3163</v>
      </c>
      <c r="L14" s="706" t="s">
        <v>1368</v>
      </c>
      <c r="M14" s="707" t="s">
        <v>1188</v>
      </c>
      <c r="N14" s="708">
        <v>1000</v>
      </c>
      <c r="O14" s="710" t="s">
        <v>3161</v>
      </c>
      <c r="P14" s="710" t="s">
        <v>3162</v>
      </c>
      <c r="Q14" s="286"/>
      <c r="R14" s="286"/>
      <c r="S14" s="711"/>
      <c r="T14" s="704"/>
    </row>
    <row r="15" spans="1:21">
      <c r="B15" s="698">
        <f t="shared" si="0"/>
        <v>8</v>
      </c>
      <c r="C15" s="783"/>
      <c r="D15" s="446" t="s">
        <v>3164</v>
      </c>
      <c r="E15" s="784"/>
      <c r="F15" s="784" t="s">
        <v>3159</v>
      </c>
      <c r="G15" s="784" t="s">
        <v>3160</v>
      </c>
      <c r="H15" s="785" t="s">
        <v>3165</v>
      </c>
      <c r="I15" s="285" t="s">
        <v>3166</v>
      </c>
      <c r="J15" s="698">
        <v>6</v>
      </c>
      <c r="K15" s="709" t="s">
        <v>3167</v>
      </c>
      <c r="L15" s="706" t="s">
        <v>1368</v>
      </c>
      <c r="M15" s="707" t="s">
        <v>1188</v>
      </c>
      <c r="N15" s="708">
        <v>1000</v>
      </c>
      <c r="O15" s="710" t="s">
        <v>3168</v>
      </c>
      <c r="P15" s="710" t="s">
        <v>1368</v>
      </c>
      <c r="Q15" s="286"/>
      <c r="R15" s="702"/>
      <c r="S15" s="703"/>
      <c r="T15" s="704"/>
    </row>
    <row r="16" spans="1:21" ht="34.5">
      <c r="B16" s="698">
        <f t="shared" si="0"/>
        <v>9</v>
      </c>
      <c r="C16" s="753"/>
      <c r="D16" s="788"/>
      <c r="E16" s="470"/>
      <c r="F16" s="470" t="s">
        <v>845</v>
      </c>
      <c r="G16" s="470"/>
      <c r="H16" s="888" t="s">
        <v>3170</v>
      </c>
      <c r="I16" s="889" t="s">
        <v>3196</v>
      </c>
      <c r="J16" s="698">
        <v>7</v>
      </c>
      <c r="K16" s="882" t="s">
        <v>3171</v>
      </c>
      <c r="L16" s="883" t="s">
        <v>1368</v>
      </c>
      <c r="M16" s="884" t="s">
        <v>1188</v>
      </c>
      <c r="N16" s="885">
        <v>1000</v>
      </c>
      <c r="O16" s="886" t="s">
        <v>3169</v>
      </c>
      <c r="P16" s="886" t="s">
        <v>3170</v>
      </c>
      <c r="Q16" s="286"/>
      <c r="R16" s="702"/>
      <c r="S16" s="703"/>
      <c r="T16" s="704"/>
    </row>
    <row r="17" spans="2:21">
      <c r="B17" s="698">
        <f t="shared" si="0"/>
        <v>10</v>
      </c>
      <c r="C17" s="753"/>
      <c r="D17" s="890"/>
      <c r="E17" s="888"/>
      <c r="F17" s="888"/>
      <c r="G17" s="888"/>
      <c r="H17" s="888" t="s">
        <v>3197</v>
      </c>
      <c r="I17" s="889"/>
      <c r="J17" s="698">
        <v>8</v>
      </c>
      <c r="K17" s="882" t="s">
        <v>2997</v>
      </c>
      <c r="L17" s="883" t="s">
        <v>1368</v>
      </c>
      <c r="M17" s="884" t="s">
        <v>1188</v>
      </c>
      <c r="N17" s="885">
        <v>1000</v>
      </c>
      <c r="O17" s="886" t="s">
        <v>2995</v>
      </c>
      <c r="P17" s="886" t="s">
        <v>3174</v>
      </c>
      <c r="Q17" s="286"/>
      <c r="R17" s="702"/>
      <c r="S17" s="703"/>
      <c r="T17" s="704"/>
    </row>
    <row r="18" spans="2:21">
      <c r="B18" s="698">
        <f t="shared" si="0"/>
        <v>11</v>
      </c>
      <c r="C18" s="753"/>
      <c r="D18" s="891"/>
      <c r="E18" s="892"/>
      <c r="F18" s="892"/>
      <c r="G18" s="888"/>
      <c r="H18" s="888"/>
      <c r="I18" s="889"/>
      <c r="J18" s="698">
        <v>9</v>
      </c>
      <c r="K18" s="712"/>
      <c r="L18" s="287"/>
      <c r="M18" s="707"/>
      <c r="N18" s="708"/>
      <c r="O18" s="711"/>
      <c r="P18" s="711"/>
      <c r="Q18" s="286"/>
      <c r="R18" s="702"/>
      <c r="S18" s="703"/>
      <c r="T18" s="704"/>
    </row>
    <row r="19" spans="2:21">
      <c r="B19" s="698">
        <f t="shared" si="0"/>
        <v>12</v>
      </c>
      <c r="C19" s="753"/>
      <c r="D19" s="893"/>
      <c r="E19" s="892"/>
      <c r="F19" s="892"/>
      <c r="G19" s="888"/>
      <c r="H19" s="888"/>
      <c r="I19" s="889"/>
      <c r="J19" s="698">
        <v>10</v>
      </c>
      <c r="K19" s="713"/>
      <c r="L19" s="714"/>
      <c r="M19" s="707"/>
      <c r="N19" s="708"/>
      <c r="O19" s="711"/>
      <c r="P19" s="711"/>
      <c r="Q19" s="702"/>
      <c r="R19" s="702"/>
      <c r="S19" s="703"/>
      <c r="T19" s="704"/>
    </row>
    <row r="20" spans="2:21">
      <c r="B20" s="698">
        <f t="shared" si="0"/>
        <v>13</v>
      </c>
      <c r="C20" s="753"/>
      <c r="D20" s="776"/>
      <c r="E20" s="789"/>
      <c r="F20" s="789"/>
      <c r="G20" s="470"/>
      <c r="H20" s="470"/>
      <c r="I20" s="466"/>
      <c r="J20" s="698"/>
      <c r="K20" s="713"/>
      <c r="L20" s="714"/>
      <c r="M20" s="707"/>
      <c r="N20" s="708"/>
      <c r="O20" s="711"/>
      <c r="P20" s="711"/>
      <c r="Q20" s="702"/>
      <c r="R20" s="702"/>
      <c r="S20" s="703"/>
      <c r="T20" s="704"/>
    </row>
    <row r="21" spans="2:21">
      <c r="B21" s="698">
        <f t="shared" si="0"/>
        <v>14</v>
      </c>
      <c r="C21" s="753"/>
      <c r="D21" s="776"/>
      <c r="E21" s="789"/>
      <c r="F21" s="789"/>
      <c r="G21" s="470"/>
      <c r="H21" s="470"/>
      <c r="I21" s="466"/>
      <c r="J21" s="698"/>
      <c r="K21" s="713"/>
      <c r="L21" s="714"/>
      <c r="M21" s="707"/>
      <c r="N21" s="708"/>
      <c r="O21" s="711"/>
      <c r="P21" s="711"/>
      <c r="Q21" s="702"/>
      <c r="R21" s="702"/>
      <c r="S21" s="703"/>
      <c r="T21" s="704"/>
    </row>
    <row r="22" spans="2:21">
      <c r="B22" s="698">
        <f t="shared" si="0"/>
        <v>15</v>
      </c>
      <c r="C22" s="753"/>
      <c r="D22" s="776"/>
      <c r="E22" s="789"/>
      <c r="F22" s="789"/>
      <c r="G22" s="470"/>
      <c r="H22" s="470"/>
      <c r="I22" s="466"/>
      <c r="J22" s="698"/>
      <c r="K22" s="713"/>
      <c r="L22" s="714"/>
      <c r="M22" s="707"/>
      <c r="N22" s="708"/>
      <c r="O22" s="711"/>
      <c r="P22" s="711"/>
      <c r="Q22" s="702"/>
      <c r="R22" s="702"/>
      <c r="S22" s="703"/>
      <c r="T22" s="704"/>
    </row>
    <row r="23" spans="2:21">
      <c r="B23" s="698">
        <f t="shared" si="0"/>
        <v>16</v>
      </c>
      <c r="C23" s="753"/>
      <c r="D23" s="776"/>
      <c r="E23" s="789"/>
      <c r="F23" s="789"/>
      <c r="G23" s="470"/>
      <c r="H23" s="470"/>
      <c r="I23" s="466"/>
      <c r="J23" s="698"/>
      <c r="K23" s="713"/>
      <c r="L23" s="714"/>
      <c r="M23" s="707"/>
      <c r="N23" s="708"/>
      <c r="O23" s="711"/>
      <c r="P23" s="711"/>
      <c r="Q23" s="702"/>
      <c r="R23" s="702"/>
      <c r="S23" s="703"/>
      <c r="T23" s="704"/>
    </row>
    <row r="24" spans="2:21">
      <c r="B24" s="698">
        <f t="shared" si="0"/>
        <v>17</v>
      </c>
      <c r="C24" s="716"/>
      <c r="D24" s="286"/>
      <c r="E24" s="717"/>
      <c r="F24" s="717"/>
      <c r="G24" s="717"/>
      <c r="H24" s="711"/>
      <c r="I24" s="718"/>
      <c r="J24" s="698" t="e">
        <f>+#REF!+1</f>
        <v>#REF!</v>
      </c>
      <c r="K24" s="692"/>
      <c r="L24" s="286"/>
      <c r="M24" s="715"/>
      <c r="N24" s="702"/>
      <c r="O24" s="703"/>
      <c r="P24" s="703"/>
      <c r="Q24" s="286"/>
      <c r="R24" s="286"/>
      <c r="S24" s="711"/>
      <c r="T24" s="704"/>
    </row>
    <row r="25" spans="2:21" ht="18" thickBot="1">
      <c r="B25" s="698">
        <f t="shared" si="0"/>
        <v>18</v>
      </c>
      <c r="C25" s="720"/>
      <c r="D25" s="721"/>
      <c r="E25" s="721"/>
      <c r="F25" s="721"/>
      <c r="G25" s="721"/>
      <c r="H25" s="721"/>
      <c r="I25" s="722"/>
      <c r="J25" s="723"/>
      <c r="K25" s="720"/>
      <c r="L25" s="721"/>
      <c r="M25" s="720"/>
      <c r="N25" s="721"/>
      <c r="O25" s="721"/>
      <c r="P25" s="721"/>
      <c r="Q25" s="721"/>
      <c r="R25" s="721"/>
      <c r="S25" s="721"/>
      <c r="T25" s="724"/>
    </row>
    <row r="26" spans="2:21">
      <c r="B26" s="725"/>
      <c r="C26" s="725"/>
      <c r="D26" s="725"/>
      <c r="E26" s="725"/>
      <c r="F26" s="725"/>
      <c r="G26" s="725"/>
      <c r="H26" s="725"/>
      <c r="I26" s="725"/>
      <c r="J26" s="725"/>
      <c r="K26" s="725"/>
      <c r="L26" s="725"/>
      <c r="M26" s="725"/>
      <c r="N26" s="725"/>
      <c r="O26" s="726"/>
      <c r="P26" s="726"/>
      <c r="Q26" s="725"/>
      <c r="R26" s="726"/>
      <c r="S26" s="726"/>
      <c r="T26" s="725"/>
      <c r="U26" s="725"/>
    </row>
    <row r="27" spans="2:21">
      <c r="B27" s="688" t="s">
        <v>1025</v>
      </c>
      <c r="O27" s="689"/>
      <c r="P27" s="689"/>
      <c r="R27" s="689"/>
      <c r="S27" s="689"/>
      <c r="U27" s="725"/>
    </row>
    <row r="28" spans="2:21" ht="19.149999999999999" customHeight="1">
      <c r="B28" s="1091" t="s">
        <v>826</v>
      </c>
      <c r="C28" s="1091"/>
      <c r="D28" s="1091" t="s">
        <v>1029</v>
      </c>
      <c r="E28" s="1091"/>
      <c r="F28" s="1091"/>
      <c r="G28" s="1091"/>
      <c r="H28" s="1091"/>
      <c r="I28" s="1091"/>
      <c r="J28" s="1091"/>
      <c r="K28" s="1091"/>
      <c r="L28" s="1091"/>
      <c r="M28" s="1091"/>
      <c r="N28" s="1091"/>
      <c r="O28" s="1091"/>
      <c r="P28" s="1091"/>
      <c r="Q28" s="1091"/>
      <c r="R28" s="1091"/>
      <c r="S28" s="1091"/>
      <c r="T28" s="1091"/>
      <c r="U28" s="725"/>
    </row>
    <row r="29" spans="2:21" ht="19.149999999999999" customHeight="1">
      <c r="B29" s="1104" t="s">
        <v>1033</v>
      </c>
      <c r="C29" s="1105"/>
      <c r="D29" s="1116"/>
      <c r="E29" s="1117"/>
      <c r="F29" s="1117"/>
      <c r="G29" s="1117"/>
      <c r="H29" s="1117"/>
      <c r="I29" s="1117"/>
      <c r="J29" s="1117"/>
      <c r="K29" s="1117"/>
      <c r="L29" s="1117"/>
      <c r="M29" s="1117"/>
      <c r="N29" s="1117"/>
      <c r="O29" s="1117"/>
      <c r="P29" s="1117"/>
      <c r="Q29" s="1117"/>
      <c r="R29" s="1117"/>
      <c r="S29" s="1117"/>
      <c r="T29" s="1118"/>
      <c r="U29" s="725"/>
    </row>
    <row r="30" spans="2:21" ht="19.149999999999999" customHeight="1">
      <c r="B30" s="1086" t="s">
        <v>1038</v>
      </c>
      <c r="C30" s="1087"/>
      <c r="D30" s="1088"/>
      <c r="E30" s="1089"/>
      <c r="F30" s="1089"/>
      <c r="G30" s="1089"/>
      <c r="H30" s="1089"/>
      <c r="I30" s="1089"/>
      <c r="J30" s="1089"/>
      <c r="K30" s="1089"/>
      <c r="L30" s="1089"/>
      <c r="M30" s="1089"/>
      <c r="N30" s="1089"/>
      <c r="O30" s="1089"/>
      <c r="P30" s="1089"/>
      <c r="Q30" s="1089"/>
      <c r="R30" s="1089"/>
      <c r="S30" s="1089"/>
      <c r="T30" s="1090"/>
      <c r="U30" s="725"/>
    </row>
    <row r="31" spans="2:21">
      <c r="B31" s="689"/>
      <c r="C31" s="689"/>
      <c r="D31" s="689"/>
      <c r="E31" s="689"/>
      <c r="F31" s="689"/>
      <c r="G31" s="689"/>
      <c r="H31" s="689"/>
      <c r="I31" s="689"/>
      <c r="J31" s="689"/>
      <c r="K31" s="689"/>
      <c r="L31" s="689"/>
      <c r="M31" s="689"/>
      <c r="N31" s="689"/>
      <c r="O31" s="689"/>
      <c r="P31" s="689"/>
      <c r="Q31" s="689"/>
      <c r="R31" s="689"/>
      <c r="S31" s="689"/>
      <c r="T31" s="689"/>
      <c r="U31" s="725"/>
    </row>
    <row r="32" spans="2:21">
      <c r="B32" s="688" t="s">
        <v>1045</v>
      </c>
      <c r="O32" s="689"/>
      <c r="P32" s="689"/>
      <c r="R32" s="689"/>
      <c r="S32" s="689"/>
      <c r="U32" s="725"/>
    </row>
    <row r="33" spans="2:20" ht="19.149999999999999" customHeight="1">
      <c r="B33" s="1093" t="s">
        <v>1049</v>
      </c>
      <c r="C33" s="1093"/>
      <c r="D33" s="1092"/>
      <c r="E33" s="1092"/>
      <c r="F33" s="1092"/>
      <c r="G33" s="1092"/>
      <c r="H33" s="1092"/>
      <c r="I33" s="1092"/>
      <c r="J33" s="1092"/>
      <c r="K33" s="1092"/>
      <c r="L33" s="1092"/>
      <c r="M33" s="1092"/>
      <c r="N33" s="1092"/>
      <c r="O33" s="1092"/>
      <c r="P33" s="1092"/>
      <c r="Q33" s="1092"/>
      <c r="R33" s="1092"/>
      <c r="S33" s="1092"/>
      <c r="T33" s="1092"/>
    </row>
    <row r="34" spans="2:20" ht="19.149999999999999" customHeight="1">
      <c r="B34" s="1091" t="s">
        <v>1053</v>
      </c>
      <c r="C34" s="1091"/>
      <c r="D34" s="1092"/>
      <c r="E34" s="1092"/>
      <c r="F34" s="1092"/>
      <c r="G34" s="1092"/>
      <c r="H34" s="1092"/>
      <c r="I34" s="1092"/>
      <c r="J34" s="1092"/>
      <c r="K34" s="1092"/>
      <c r="L34" s="1092"/>
      <c r="M34" s="1092"/>
      <c r="N34" s="1092"/>
      <c r="O34" s="1092"/>
      <c r="P34" s="1092"/>
      <c r="Q34" s="1092"/>
      <c r="R34" s="1092"/>
      <c r="S34" s="1092"/>
      <c r="T34" s="1092"/>
    </row>
    <row r="35" spans="2:20" ht="19.149999999999999" customHeight="1">
      <c r="B35" s="1091" t="s">
        <v>1057</v>
      </c>
      <c r="C35" s="1091"/>
      <c r="D35" s="1092"/>
      <c r="E35" s="1092"/>
      <c r="F35" s="1092"/>
      <c r="G35" s="1092"/>
      <c r="H35" s="1092"/>
      <c r="I35" s="1092"/>
      <c r="J35" s="1092"/>
      <c r="K35" s="1092"/>
      <c r="L35" s="1092"/>
      <c r="M35" s="1092"/>
      <c r="N35" s="1092"/>
      <c r="O35" s="1092"/>
      <c r="P35" s="1092"/>
      <c r="Q35" s="1092"/>
      <c r="R35" s="1092"/>
      <c r="S35" s="1092"/>
      <c r="T35" s="1092"/>
    </row>
    <row r="36" spans="2:20" ht="19.149999999999999" customHeight="1">
      <c r="B36" s="1091" t="s">
        <v>1061</v>
      </c>
      <c r="C36" s="1091"/>
      <c r="D36" s="1092"/>
      <c r="E36" s="1092"/>
      <c r="F36" s="1092"/>
      <c r="G36" s="1092"/>
      <c r="H36" s="1092"/>
      <c r="I36" s="1092"/>
      <c r="J36" s="1092"/>
      <c r="K36" s="1092"/>
      <c r="L36" s="1092"/>
      <c r="M36" s="1092"/>
      <c r="N36" s="1092"/>
      <c r="O36" s="1092"/>
      <c r="P36" s="1092"/>
      <c r="Q36" s="1092"/>
      <c r="R36" s="1092"/>
      <c r="S36" s="1092"/>
      <c r="T36" s="1092"/>
    </row>
  </sheetData>
  <mergeCells count="25">
    <mergeCell ref="B30:C30"/>
    <mergeCell ref="D30:T30"/>
    <mergeCell ref="B36:C36"/>
    <mergeCell ref="D36:T36"/>
    <mergeCell ref="B33:C33"/>
    <mergeCell ref="D33:T33"/>
    <mergeCell ref="B34:C34"/>
    <mergeCell ref="D34:T34"/>
    <mergeCell ref="B35:C35"/>
    <mergeCell ref="D35:T35"/>
    <mergeCell ref="B2:J3"/>
    <mergeCell ref="L2:O2"/>
    <mergeCell ref="Q2:T2"/>
    <mergeCell ref="L3:O3"/>
    <mergeCell ref="Q3:T3"/>
    <mergeCell ref="B28:C28"/>
    <mergeCell ref="D28:T28"/>
    <mergeCell ref="B29:C29"/>
    <mergeCell ref="B5:I5"/>
    <mergeCell ref="J5:R5"/>
    <mergeCell ref="S5:S7"/>
    <mergeCell ref="T5:T7"/>
    <mergeCell ref="C6:I6"/>
    <mergeCell ref="K6:R6"/>
    <mergeCell ref="D29:T29"/>
  </mergeCells>
  <phoneticPr fontId="4" type="noConversion"/>
  <hyperlinks>
    <hyperlink ref="A1" location="List!A1" display="Top" xr:uid="{4312CC52-4293-406C-BB7C-B8ADF65C8854}"/>
  </hyperlinks>
  <pageMargins left="0.7" right="0.7" top="0.75" bottom="0.75" header="0.3" footer="0.3"/>
  <customProperties>
    <customPr name="_pios_id" r:id="rId1"/>
  </customPropertie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9FC89-D63E-450E-8EE1-4D22BC6FEFFE}">
  <sheetPr>
    <pageSetUpPr fitToPage="1"/>
  </sheetPr>
  <dimension ref="B1:U56"/>
  <sheetViews>
    <sheetView showGridLines="0" zoomScale="85" zoomScaleNormal="85" workbookViewId="0">
      <pane xSplit="9" ySplit="9" topLeftCell="M10" activePane="bottomRight" state="frozen"/>
      <selection pane="topRight" activeCell="H29" sqref="H29"/>
      <selection pane="bottomLeft" activeCell="H29" sqref="H29"/>
      <selection pane="bottomRight" activeCell="S19" sqref="S19"/>
    </sheetView>
  </sheetViews>
  <sheetFormatPr defaultColWidth="13" defaultRowHeight="15" customHeight="1"/>
  <cols>
    <col min="1" max="1" width="2.125" style="290" customWidth="1"/>
    <col min="2" max="2" width="4" style="290" customWidth="1"/>
    <col min="3" max="3" width="24.625" style="290" customWidth="1"/>
    <col min="4" max="4" width="26.125" style="290" customWidth="1"/>
    <col min="5" max="5" width="4" style="290" customWidth="1"/>
    <col min="6" max="6" width="9.625" style="290" customWidth="1"/>
    <col min="7" max="7" width="6.625" style="290" customWidth="1"/>
    <col min="8" max="8" width="28.875" style="290" customWidth="1"/>
    <col min="9" max="9" width="23.5" style="290" customWidth="1"/>
    <col min="10" max="10" width="4" style="290" customWidth="1"/>
    <col min="11" max="11" width="18.125" style="290" customWidth="1"/>
    <col min="12" max="12" width="16.625" style="290" customWidth="1"/>
    <col min="13" max="13" width="4.625" style="290" customWidth="1"/>
    <col min="14" max="14" width="11.375" style="290" customWidth="1"/>
    <col min="15" max="15" width="5.625" style="290" customWidth="1"/>
    <col min="16" max="17" width="24.875" style="290" customWidth="1"/>
    <col min="18" max="18" width="4.5" style="290" customWidth="1"/>
    <col min="19" max="19" width="4" style="290" customWidth="1"/>
    <col min="20" max="20" width="11.625" style="290" customWidth="1"/>
    <col min="21" max="21" width="7.625" style="290" customWidth="1"/>
    <col min="22" max="22" width="18.375" style="290" customWidth="1"/>
    <col min="23" max="26" width="2.125" style="290" customWidth="1"/>
    <col min="27" max="16384" width="13" style="290"/>
  </cols>
  <sheetData>
    <row r="1" spans="2:21" ht="32.1" customHeight="1">
      <c r="B1" s="67" t="s">
        <v>814</v>
      </c>
      <c r="C1" s="665"/>
    </row>
    <row r="2" spans="2:21" ht="18.75" customHeight="1">
      <c r="B2" s="1119" t="s">
        <v>3198</v>
      </c>
      <c r="C2" s="1120"/>
      <c r="D2" s="1120"/>
      <c r="E2" s="1120"/>
      <c r="F2" s="1120"/>
      <c r="G2" s="1120"/>
      <c r="H2" s="1120"/>
      <c r="I2" s="1120"/>
      <c r="J2" s="1120"/>
      <c r="K2" s="1120"/>
      <c r="L2" s="1120"/>
      <c r="M2" s="1120"/>
      <c r="N2" s="1120"/>
      <c r="O2" s="1120"/>
      <c r="P2" s="1126">
        <v>45931</v>
      </c>
      <c r="Q2" s="1127"/>
      <c r="R2" s="1127"/>
      <c r="S2" s="1127"/>
      <c r="T2" s="1127"/>
      <c r="U2" s="1128"/>
    </row>
    <row r="3" spans="2:21" ht="18.75" customHeight="1">
      <c r="B3" s="1121"/>
      <c r="C3" s="1122"/>
      <c r="D3" s="1122"/>
      <c r="E3" s="1122"/>
      <c r="F3" s="1122"/>
      <c r="G3" s="1122"/>
      <c r="H3" s="1122"/>
      <c r="I3" s="1122"/>
      <c r="J3" s="1122"/>
      <c r="K3" s="1122"/>
      <c r="L3" s="1122"/>
      <c r="M3" s="1122"/>
      <c r="N3" s="1122"/>
      <c r="O3" s="1123"/>
      <c r="P3" s="1129"/>
      <c r="Q3" s="1130"/>
      <c r="R3" s="1130"/>
      <c r="S3" s="1130"/>
      <c r="T3" s="1130"/>
      <c r="U3" s="1131"/>
    </row>
    <row r="4" spans="2:21" ht="18.75" customHeight="1" thickBot="1">
      <c r="B4" s="1124"/>
      <c r="C4" s="1125"/>
      <c r="D4" s="1125"/>
      <c r="E4" s="1125"/>
      <c r="F4" s="1125"/>
      <c r="G4" s="1125"/>
      <c r="H4" s="1125"/>
      <c r="I4" s="1125"/>
      <c r="J4" s="1125"/>
      <c r="K4" s="1125"/>
      <c r="L4" s="1125"/>
      <c r="M4" s="1125"/>
      <c r="N4" s="1125"/>
      <c r="O4" s="1125"/>
      <c r="P4" s="1132"/>
      <c r="Q4" s="1125"/>
      <c r="R4" s="1125"/>
      <c r="S4" s="1125"/>
      <c r="T4" s="1125"/>
      <c r="U4" s="1133"/>
    </row>
    <row r="5" spans="2:21" ht="18.75" customHeight="1">
      <c r="B5" s="291"/>
      <c r="C5" s="292"/>
      <c r="D5" s="291"/>
      <c r="E5" s="291"/>
      <c r="F5" s="291"/>
      <c r="G5" s="291"/>
      <c r="H5" s="291"/>
      <c r="I5" s="291"/>
      <c r="J5" s="291"/>
      <c r="K5" s="291"/>
      <c r="L5" s="291"/>
      <c r="M5" s="291"/>
      <c r="N5" s="291"/>
      <c r="O5" s="291"/>
      <c r="P5" s="292"/>
      <c r="Q5" s="292"/>
      <c r="R5" s="291"/>
      <c r="S5" s="292"/>
      <c r="T5" s="292"/>
      <c r="U5" s="291"/>
    </row>
    <row r="6" spans="2:21" ht="18.75" customHeight="1" thickBot="1">
      <c r="B6" s="293" t="s">
        <v>1967</v>
      </c>
      <c r="C6" s="294"/>
      <c r="D6" s="293"/>
      <c r="E6" s="293"/>
      <c r="F6" s="293"/>
      <c r="G6" s="293"/>
      <c r="H6" s="293"/>
      <c r="I6" s="293"/>
      <c r="J6" s="293"/>
      <c r="K6" s="293"/>
      <c r="L6" s="293"/>
      <c r="M6" s="293"/>
      <c r="N6" s="293"/>
      <c r="O6" s="293"/>
      <c r="P6" s="294"/>
      <c r="Q6" s="294"/>
      <c r="R6" s="293"/>
      <c r="S6" s="294"/>
      <c r="T6" s="294"/>
      <c r="U6" s="293"/>
    </row>
    <row r="7" spans="2:21" ht="25.5" customHeight="1" thickBot="1">
      <c r="B7" s="1134" t="s">
        <v>3199</v>
      </c>
      <c r="C7" s="1120"/>
      <c r="D7" s="1120"/>
      <c r="E7" s="1120"/>
      <c r="F7" s="1120"/>
      <c r="G7" s="1120"/>
      <c r="H7" s="1120"/>
      <c r="I7" s="1120"/>
      <c r="J7" s="1135" t="s">
        <v>3200</v>
      </c>
      <c r="K7" s="1120"/>
      <c r="L7" s="1120"/>
      <c r="M7" s="1120"/>
      <c r="N7" s="1120"/>
      <c r="O7" s="1120"/>
      <c r="P7" s="1120"/>
      <c r="Q7" s="1120"/>
      <c r="R7" s="1120"/>
      <c r="S7" s="1120"/>
      <c r="T7" s="1136" t="s">
        <v>825</v>
      </c>
      <c r="U7" s="1139" t="s">
        <v>826</v>
      </c>
    </row>
    <row r="8" spans="2:21" ht="50.25" customHeight="1" thickBot="1">
      <c r="B8" s="1141" t="s">
        <v>828</v>
      </c>
      <c r="C8" s="1142"/>
      <c r="D8" s="1143" t="s">
        <v>3201</v>
      </c>
      <c r="E8" s="1144"/>
      <c r="F8" s="1144"/>
      <c r="G8" s="1144"/>
      <c r="H8" s="1144"/>
      <c r="I8" s="1145"/>
      <c r="J8" s="1146" t="s">
        <v>1971</v>
      </c>
      <c r="K8" s="1142"/>
      <c r="L8" s="1143"/>
      <c r="M8" s="1144"/>
      <c r="N8" s="1144"/>
      <c r="O8" s="1144"/>
      <c r="P8" s="1144"/>
      <c r="Q8" s="1144"/>
      <c r="R8" s="1144"/>
      <c r="S8" s="1144"/>
      <c r="T8" s="1137"/>
      <c r="U8" s="1140"/>
    </row>
    <row r="9" spans="2:21" ht="30.75" customHeight="1" thickBot="1">
      <c r="B9" s="295" t="s">
        <v>831</v>
      </c>
      <c r="C9" s="296" t="s">
        <v>1973</v>
      </c>
      <c r="D9" s="297" t="s">
        <v>832</v>
      </c>
      <c r="E9" s="297" t="s">
        <v>833</v>
      </c>
      <c r="F9" s="297" t="s">
        <v>834</v>
      </c>
      <c r="G9" s="297" t="s">
        <v>835</v>
      </c>
      <c r="H9" s="297" t="s">
        <v>836</v>
      </c>
      <c r="I9" s="297" t="s">
        <v>836</v>
      </c>
      <c r="J9" s="298" t="s">
        <v>831</v>
      </c>
      <c r="K9" s="296" t="s">
        <v>1973</v>
      </c>
      <c r="L9" s="297" t="s">
        <v>832</v>
      </c>
      <c r="M9" s="297" t="s">
        <v>833</v>
      </c>
      <c r="N9" s="297" t="s">
        <v>834</v>
      </c>
      <c r="O9" s="297" t="s">
        <v>835</v>
      </c>
      <c r="P9" s="297" t="s">
        <v>836</v>
      </c>
      <c r="Q9" s="297"/>
      <c r="R9" s="299" t="s">
        <v>838</v>
      </c>
      <c r="S9" s="300" t="s">
        <v>839</v>
      </c>
      <c r="T9" s="1138"/>
      <c r="U9" s="1140"/>
    </row>
    <row r="10" spans="2:21" ht="24.75" customHeight="1">
      <c r="B10" s="301">
        <v>1</v>
      </c>
      <c r="C10" s="302" t="s">
        <v>3202</v>
      </c>
      <c r="D10" s="204" t="s">
        <v>1273</v>
      </c>
      <c r="E10" s="205"/>
      <c r="F10" s="206" t="s">
        <v>845</v>
      </c>
      <c r="G10" s="206">
        <v>4</v>
      </c>
      <c r="H10" s="211" t="s">
        <v>1274</v>
      </c>
      <c r="I10" s="207"/>
      <c r="J10" s="303">
        <v>1</v>
      </c>
      <c r="K10" s="302"/>
      <c r="L10" s="520" t="s">
        <v>2092</v>
      </c>
      <c r="M10" s="521" t="s">
        <v>1368</v>
      </c>
      <c r="N10" s="522" t="s">
        <v>2579</v>
      </c>
      <c r="O10" s="521">
        <v>1000</v>
      </c>
      <c r="P10" s="492" t="s">
        <v>1274</v>
      </c>
      <c r="Q10" s="307"/>
      <c r="R10" s="308"/>
      <c r="S10" s="309"/>
      <c r="T10" s="310"/>
      <c r="U10" s="311"/>
    </row>
    <row r="11" spans="2:21" ht="24.75" customHeight="1">
      <c r="B11" s="312">
        <v>2</v>
      </c>
      <c r="C11" s="302" t="s">
        <v>3202</v>
      </c>
      <c r="D11" s="313" t="s">
        <v>1600</v>
      </c>
      <c r="E11" s="205"/>
      <c r="F11" s="206" t="s">
        <v>845</v>
      </c>
      <c r="G11" s="206">
        <v>4</v>
      </c>
      <c r="H11" s="211" t="s">
        <v>3203</v>
      </c>
      <c r="I11" s="207"/>
      <c r="J11" s="303"/>
      <c r="K11" s="302"/>
      <c r="L11" s="523" t="s">
        <v>2095</v>
      </c>
      <c r="M11" s="524" t="s">
        <v>1368</v>
      </c>
      <c r="N11" s="525" t="s">
        <v>2579</v>
      </c>
      <c r="O11" s="524">
        <v>1000</v>
      </c>
      <c r="P11" s="492" t="s">
        <v>3203</v>
      </c>
      <c r="Q11" s="307"/>
      <c r="R11" s="308"/>
      <c r="S11" s="309"/>
      <c r="T11" s="310"/>
      <c r="U11" s="311"/>
    </row>
    <row r="12" spans="2:21" ht="24.75" customHeight="1">
      <c r="B12" s="314">
        <v>3</v>
      </c>
      <c r="C12" s="302" t="s">
        <v>3202</v>
      </c>
      <c r="D12" s="207" t="s">
        <v>3204</v>
      </c>
      <c r="E12" s="205"/>
      <c r="F12" s="206" t="s">
        <v>845</v>
      </c>
      <c r="G12" s="206">
        <v>16</v>
      </c>
      <c r="H12" s="213" t="s">
        <v>3205</v>
      </c>
      <c r="I12" s="207"/>
      <c r="J12" s="315">
        <v>3</v>
      </c>
      <c r="K12" s="302"/>
      <c r="L12" s="496" t="s">
        <v>3206</v>
      </c>
      <c r="M12" s="506" t="s">
        <v>1368</v>
      </c>
      <c r="N12" s="525" t="s">
        <v>2579</v>
      </c>
      <c r="O12" s="524">
        <v>1000</v>
      </c>
      <c r="P12" s="500" t="s">
        <v>3207</v>
      </c>
      <c r="Q12" s="207"/>
      <c r="R12" s="308"/>
      <c r="S12" s="309"/>
      <c r="T12" s="310"/>
      <c r="U12" s="311"/>
    </row>
    <row r="13" spans="2:21" ht="24.75" customHeight="1">
      <c r="B13" s="314">
        <v>4</v>
      </c>
      <c r="C13" s="302" t="s">
        <v>3202</v>
      </c>
      <c r="D13" s="215" t="s">
        <v>861</v>
      </c>
      <c r="E13" s="205"/>
      <c r="F13" s="206" t="s">
        <v>845</v>
      </c>
      <c r="G13" s="208">
        <v>4</v>
      </c>
      <c r="H13" s="317" t="s">
        <v>862</v>
      </c>
      <c r="I13" s="207"/>
      <c r="J13" s="315">
        <v>4</v>
      </c>
      <c r="K13" s="302"/>
      <c r="L13" s="496" t="s">
        <v>2862</v>
      </c>
      <c r="M13" s="506" t="s">
        <v>1368</v>
      </c>
      <c r="N13" s="525" t="s">
        <v>2579</v>
      </c>
      <c r="O13" s="524">
        <v>1000</v>
      </c>
      <c r="P13" s="500" t="s">
        <v>862</v>
      </c>
      <c r="Q13" s="207"/>
      <c r="R13" s="318"/>
      <c r="S13" s="319"/>
      <c r="T13" s="320"/>
      <c r="U13" s="311"/>
    </row>
    <row r="14" spans="2:21" ht="24.75" customHeight="1">
      <c r="B14" s="314">
        <v>5</v>
      </c>
      <c r="C14" s="302" t="s">
        <v>3202</v>
      </c>
      <c r="D14" s="207" t="s">
        <v>1666</v>
      </c>
      <c r="E14" s="205"/>
      <c r="F14" s="206" t="s">
        <v>845</v>
      </c>
      <c r="G14" s="206">
        <v>2</v>
      </c>
      <c r="H14" s="213" t="s">
        <v>3208</v>
      </c>
      <c r="I14" s="209"/>
      <c r="J14" s="315">
        <v>5</v>
      </c>
      <c r="K14" s="302"/>
      <c r="L14" s="496" t="s">
        <v>2863</v>
      </c>
      <c r="M14" s="506" t="s">
        <v>1368</v>
      </c>
      <c r="N14" s="525" t="s">
        <v>2579</v>
      </c>
      <c r="O14" s="524">
        <v>1000</v>
      </c>
      <c r="P14" s="500" t="s">
        <v>3209</v>
      </c>
      <c r="Q14" s="207"/>
      <c r="R14" s="318"/>
      <c r="S14" s="319"/>
      <c r="T14" s="320"/>
      <c r="U14" s="311"/>
    </row>
    <row r="15" spans="2:21" ht="24.75" customHeight="1">
      <c r="B15" s="314">
        <v>6</v>
      </c>
      <c r="C15" s="335" t="s">
        <v>3202</v>
      </c>
      <c r="D15" s="215" t="s">
        <v>3210</v>
      </c>
      <c r="E15" s="205"/>
      <c r="F15" s="206" t="s">
        <v>845</v>
      </c>
      <c r="G15" s="208">
        <v>4</v>
      </c>
      <c r="H15" s="317" t="s">
        <v>3211</v>
      </c>
      <c r="I15" s="207"/>
      <c r="J15" s="315">
        <v>6</v>
      </c>
      <c r="K15" s="302"/>
      <c r="L15" s="496" t="s">
        <v>3212</v>
      </c>
      <c r="M15" s="506" t="s">
        <v>1368</v>
      </c>
      <c r="N15" s="525" t="s">
        <v>2579</v>
      </c>
      <c r="O15" s="524">
        <v>1000</v>
      </c>
      <c r="P15" s="500" t="s">
        <v>3213</v>
      </c>
      <c r="Q15" s="207"/>
      <c r="R15" s="318"/>
      <c r="S15" s="309"/>
      <c r="T15" s="310"/>
      <c r="U15" s="311"/>
    </row>
    <row r="16" spans="2:21" ht="24.75" customHeight="1">
      <c r="B16" s="314">
        <v>7</v>
      </c>
      <c r="C16" s="335" t="s">
        <v>3202</v>
      </c>
      <c r="D16" s="209" t="s">
        <v>1674</v>
      </c>
      <c r="E16" s="205"/>
      <c r="F16" s="206" t="s">
        <v>845</v>
      </c>
      <c r="G16" s="206">
        <v>10</v>
      </c>
      <c r="H16" s="317" t="s">
        <v>3214</v>
      </c>
      <c r="I16" s="209"/>
      <c r="J16" s="315">
        <v>7</v>
      </c>
      <c r="K16" s="302"/>
      <c r="L16" s="496" t="s">
        <v>3215</v>
      </c>
      <c r="M16" s="506" t="s">
        <v>1368</v>
      </c>
      <c r="N16" s="525" t="s">
        <v>2579</v>
      </c>
      <c r="O16" s="524">
        <v>1000</v>
      </c>
      <c r="P16" s="500" t="s">
        <v>3216</v>
      </c>
      <c r="Q16" s="207"/>
      <c r="R16" s="318"/>
      <c r="S16" s="309"/>
      <c r="T16" s="310"/>
      <c r="U16" s="311"/>
    </row>
    <row r="17" spans="2:21" ht="24.75" customHeight="1">
      <c r="B17" s="314">
        <v>8</v>
      </c>
      <c r="C17" s="321"/>
      <c r="D17" s="209"/>
      <c r="E17" s="205"/>
      <c r="F17" s="206" t="s">
        <v>845</v>
      </c>
      <c r="G17" s="206"/>
      <c r="H17" s="209"/>
      <c r="I17" s="209"/>
      <c r="J17" s="315">
        <v>8</v>
      </c>
      <c r="K17" s="302"/>
      <c r="L17" s="204"/>
      <c r="M17" s="205"/>
      <c r="N17" s="316"/>
      <c r="O17" s="208"/>
      <c r="P17" s="207"/>
      <c r="Q17" s="207"/>
      <c r="R17" s="318"/>
      <c r="S17" s="309"/>
      <c r="T17" s="310"/>
      <c r="U17" s="311"/>
    </row>
    <row r="18" spans="2:21" ht="24.75" customHeight="1">
      <c r="B18" s="314">
        <v>9</v>
      </c>
      <c r="C18" s="321"/>
      <c r="D18" s="209"/>
      <c r="E18" s="205"/>
      <c r="F18" s="206" t="s">
        <v>845</v>
      </c>
      <c r="G18" s="208"/>
      <c r="H18" s="209"/>
      <c r="I18" s="209"/>
      <c r="J18" s="315">
        <v>9</v>
      </c>
      <c r="K18" s="302"/>
      <c r="L18" s="204"/>
      <c r="M18" s="205"/>
      <c r="N18" s="316"/>
      <c r="O18" s="208"/>
      <c r="P18" s="207"/>
      <c r="Q18" s="207"/>
      <c r="R18" s="318"/>
      <c r="S18" s="309"/>
      <c r="T18" s="310"/>
      <c r="U18" s="311"/>
    </row>
    <row r="19" spans="2:21" ht="24.75" customHeight="1">
      <c r="B19" s="314">
        <v>10</v>
      </c>
      <c r="C19" s="321"/>
      <c r="D19" s="209"/>
      <c r="E19" s="205"/>
      <c r="F19" s="206" t="s">
        <v>845</v>
      </c>
      <c r="G19" s="206"/>
      <c r="H19" s="209"/>
      <c r="I19" s="209"/>
      <c r="J19" s="315">
        <v>10</v>
      </c>
      <c r="K19" s="302"/>
      <c r="L19" s="304"/>
      <c r="M19" s="322"/>
      <c r="N19" s="306"/>
      <c r="O19" s="305"/>
      <c r="P19" s="207"/>
      <c r="Q19" s="207"/>
      <c r="R19" s="308"/>
      <c r="S19" s="309"/>
      <c r="T19" s="310"/>
      <c r="U19" s="311"/>
    </row>
    <row r="20" spans="2:21" ht="24.75" customHeight="1">
      <c r="B20" s="314">
        <v>11</v>
      </c>
      <c r="C20" s="321"/>
      <c r="D20" s="207"/>
      <c r="E20" s="205"/>
      <c r="F20" s="206" t="s">
        <v>845</v>
      </c>
      <c r="G20" s="206"/>
      <c r="H20" s="207"/>
      <c r="I20" s="207"/>
      <c r="J20" s="315">
        <v>11</v>
      </c>
      <c r="K20" s="302"/>
      <c r="L20" s="204"/>
      <c r="M20" s="208"/>
      <c r="N20" s="316"/>
      <c r="O20" s="208"/>
      <c r="P20" s="207"/>
      <c r="Q20" s="207"/>
      <c r="R20" s="308"/>
      <c r="S20" s="309"/>
      <c r="T20" s="310"/>
      <c r="U20" s="311"/>
    </row>
    <row r="21" spans="2:21" ht="24.75" customHeight="1">
      <c r="B21" s="314">
        <v>12</v>
      </c>
      <c r="C21" s="321"/>
      <c r="D21" s="209"/>
      <c r="E21" s="205"/>
      <c r="F21" s="206" t="s">
        <v>845</v>
      </c>
      <c r="G21" s="208"/>
      <c r="H21" s="209"/>
      <c r="I21" s="209"/>
      <c r="J21" s="315">
        <v>12</v>
      </c>
      <c r="K21" s="302"/>
      <c r="L21" s="304"/>
      <c r="M21" s="322"/>
      <c r="N21" s="306"/>
      <c r="O21" s="305"/>
      <c r="P21" s="307"/>
      <c r="Q21" s="307"/>
      <c r="R21" s="308"/>
      <c r="S21" s="309"/>
      <c r="T21" s="310"/>
      <c r="U21" s="311"/>
    </row>
    <row r="22" spans="2:21" ht="24.75" customHeight="1">
      <c r="B22" s="314">
        <v>13</v>
      </c>
      <c r="C22" s="321"/>
      <c r="D22" s="209"/>
      <c r="E22" s="205"/>
      <c r="F22" s="206" t="s">
        <v>845</v>
      </c>
      <c r="G22" s="206"/>
      <c r="H22" s="209"/>
      <c r="I22" s="209"/>
      <c r="J22" s="315">
        <v>13</v>
      </c>
      <c r="K22" s="302"/>
      <c r="L22" s="204"/>
      <c r="M22" s="205"/>
      <c r="N22" s="316"/>
      <c r="O22" s="208"/>
      <c r="P22" s="209"/>
      <c r="Q22" s="209"/>
      <c r="R22" s="308"/>
      <c r="S22" s="309"/>
      <c r="T22" s="310"/>
      <c r="U22" s="311"/>
    </row>
    <row r="23" spans="2:21" ht="24.75" customHeight="1">
      <c r="B23" s="314">
        <v>14</v>
      </c>
      <c r="C23" s="321"/>
      <c r="D23" s="209"/>
      <c r="E23" s="205"/>
      <c r="F23" s="206" t="s">
        <v>845</v>
      </c>
      <c r="G23" s="206"/>
      <c r="H23" s="210"/>
      <c r="I23" s="209"/>
      <c r="J23" s="315">
        <v>14</v>
      </c>
      <c r="K23" s="302"/>
      <c r="L23" s="204"/>
      <c r="M23" s="205"/>
      <c r="N23" s="316"/>
      <c r="O23" s="208"/>
      <c r="P23" s="209"/>
      <c r="Q23" s="209"/>
      <c r="R23" s="308"/>
      <c r="S23" s="309"/>
      <c r="T23" s="310"/>
      <c r="U23" s="311"/>
    </row>
    <row r="24" spans="2:21" ht="24.75" customHeight="1">
      <c r="B24" s="314">
        <v>15</v>
      </c>
      <c r="C24" s="321"/>
      <c r="D24" s="209"/>
      <c r="E24" s="205"/>
      <c r="F24" s="206" t="s">
        <v>845</v>
      </c>
      <c r="G24" s="208"/>
      <c r="H24" s="204"/>
      <c r="I24" s="209"/>
      <c r="J24" s="315">
        <v>15</v>
      </c>
      <c r="K24" s="302"/>
      <c r="L24" s="204"/>
      <c r="M24" s="205"/>
      <c r="N24" s="316"/>
      <c r="O24" s="208"/>
      <c r="P24" s="209"/>
      <c r="Q24" s="209"/>
      <c r="R24" s="308"/>
      <c r="S24" s="309"/>
      <c r="T24" s="310"/>
      <c r="U24" s="311"/>
    </row>
    <row r="25" spans="2:21" ht="24.75" customHeight="1">
      <c r="B25" s="314">
        <v>16</v>
      </c>
      <c r="C25" s="321"/>
      <c r="D25" s="207"/>
      <c r="E25" s="205"/>
      <c r="F25" s="206" t="s">
        <v>845</v>
      </c>
      <c r="G25" s="206"/>
      <c r="H25" s="204"/>
      <c r="I25" s="207"/>
      <c r="J25" s="315">
        <v>16</v>
      </c>
      <c r="K25" s="302"/>
      <c r="L25" s="204"/>
      <c r="M25" s="205"/>
      <c r="N25" s="316"/>
      <c r="O25" s="208"/>
      <c r="P25" s="207"/>
      <c r="Q25" s="207"/>
      <c r="R25" s="308"/>
      <c r="S25" s="309"/>
      <c r="T25" s="310"/>
      <c r="U25" s="311"/>
    </row>
    <row r="26" spans="2:21" ht="24.75" customHeight="1">
      <c r="B26" s="314">
        <v>17</v>
      </c>
      <c r="C26" s="321"/>
      <c r="D26" s="207"/>
      <c r="E26" s="205"/>
      <c r="F26" s="206" t="s">
        <v>845</v>
      </c>
      <c r="G26" s="206"/>
      <c r="H26" s="204"/>
      <c r="I26" s="207"/>
      <c r="J26" s="315">
        <v>17</v>
      </c>
      <c r="K26" s="302"/>
      <c r="L26" s="204"/>
      <c r="M26" s="208"/>
      <c r="N26" s="316"/>
      <c r="O26" s="208"/>
      <c r="P26" s="207"/>
      <c r="Q26" s="207"/>
      <c r="R26" s="308"/>
      <c r="S26" s="309"/>
      <c r="T26" s="310"/>
      <c r="U26" s="311"/>
    </row>
    <row r="27" spans="2:21" ht="24.75" customHeight="1">
      <c r="B27" s="314">
        <v>18</v>
      </c>
      <c r="C27" s="321"/>
      <c r="D27" s="209"/>
      <c r="E27" s="205"/>
      <c r="F27" s="206" t="s">
        <v>845</v>
      </c>
      <c r="G27" s="208"/>
      <c r="H27" s="204"/>
      <c r="I27" s="209"/>
      <c r="J27" s="315">
        <v>18</v>
      </c>
      <c r="K27" s="302"/>
      <c r="L27" s="204"/>
      <c r="M27" s="205"/>
      <c r="N27" s="316"/>
      <c r="O27" s="208"/>
      <c r="P27" s="209"/>
      <c r="Q27" s="209"/>
      <c r="R27" s="308"/>
      <c r="S27" s="309"/>
      <c r="T27" s="310"/>
      <c r="U27" s="311"/>
    </row>
    <row r="28" spans="2:21" ht="24.75" customHeight="1">
      <c r="B28" s="314">
        <v>19</v>
      </c>
      <c r="C28" s="321"/>
      <c r="D28" s="209"/>
      <c r="E28" s="208"/>
      <c r="F28" s="206"/>
      <c r="G28" s="318"/>
      <c r="H28" s="209"/>
      <c r="I28" s="209"/>
      <c r="J28" s="315">
        <v>19</v>
      </c>
      <c r="K28" s="302"/>
      <c r="L28" s="204"/>
      <c r="M28" s="205"/>
      <c r="N28" s="316"/>
      <c r="O28" s="208"/>
      <c r="P28" s="209"/>
      <c r="Q28" s="209"/>
      <c r="R28" s="308"/>
      <c r="S28" s="309"/>
      <c r="T28" s="310"/>
      <c r="U28" s="311"/>
    </row>
    <row r="29" spans="2:21" ht="24.75" customHeight="1">
      <c r="B29" s="314">
        <v>20</v>
      </c>
      <c r="C29" s="321"/>
      <c r="D29" s="209"/>
      <c r="E29" s="205"/>
      <c r="F29" s="206"/>
      <c r="G29" s="206"/>
      <c r="H29" s="209"/>
      <c r="I29" s="209"/>
      <c r="J29" s="315">
        <v>20</v>
      </c>
      <c r="K29" s="302"/>
      <c r="L29" s="204"/>
      <c r="M29" s="205"/>
      <c r="N29" s="316"/>
      <c r="O29" s="208"/>
      <c r="P29" s="209"/>
      <c r="Q29" s="209"/>
      <c r="R29" s="308"/>
      <c r="S29" s="309"/>
      <c r="T29" s="310"/>
      <c r="U29" s="311"/>
    </row>
    <row r="30" spans="2:21" ht="24.75" customHeight="1">
      <c r="B30" s="314">
        <v>21</v>
      </c>
      <c r="C30" s="321"/>
      <c r="D30" s="209"/>
      <c r="E30" s="205"/>
      <c r="F30" s="206"/>
      <c r="G30" s="206"/>
      <c r="H30" s="209"/>
      <c r="I30" s="209"/>
      <c r="J30" s="315">
        <v>21</v>
      </c>
      <c r="K30" s="302"/>
      <c r="L30" s="204"/>
      <c r="M30" s="205"/>
      <c r="N30" s="316"/>
      <c r="O30" s="208"/>
      <c r="P30" s="209"/>
      <c r="Q30" s="209"/>
      <c r="R30" s="308"/>
      <c r="S30" s="309"/>
      <c r="T30" s="310"/>
      <c r="U30" s="311"/>
    </row>
    <row r="31" spans="2:21" ht="24.75" customHeight="1">
      <c r="B31" s="314">
        <v>22</v>
      </c>
      <c r="C31" s="321"/>
      <c r="D31" s="209"/>
      <c r="E31" s="205"/>
      <c r="F31" s="206"/>
      <c r="G31" s="208"/>
      <c r="H31" s="209"/>
      <c r="I31" s="209"/>
      <c r="J31" s="315">
        <v>22</v>
      </c>
      <c r="K31" s="302"/>
      <c r="L31" s="204"/>
      <c r="M31" s="205"/>
      <c r="N31" s="316"/>
      <c r="O31" s="208"/>
      <c r="P31" s="209"/>
      <c r="Q31" s="209"/>
      <c r="R31" s="308"/>
      <c r="S31" s="309"/>
      <c r="T31" s="310"/>
      <c r="U31" s="311"/>
    </row>
    <row r="32" spans="2:21" ht="24.75" customHeight="1">
      <c r="B32" s="314">
        <v>23</v>
      </c>
      <c r="C32" s="302"/>
      <c r="D32" s="204"/>
      <c r="E32" s="205"/>
      <c r="F32" s="206"/>
      <c r="G32" s="206"/>
      <c r="H32" s="207"/>
      <c r="I32" s="207"/>
      <c r="J32" s="315">
        <v>23</v>
      </c>
      <c r="K32" s="302"/>
      <c r="L32" s="323"/>
      <c r="M32" s="205"/>
      <c r="N32" s="316"/>
      <c r="O32" s="208"/>
      <c r="P32" s="207"/>
      <c r="Q32" s="207"/>
      <c r="R32" s="308"/>
      <c r="S32" s="309"/>
      <c r="T32" s="310"/>
      <c r="U32" s="311"/>
    </row>
    <row r="33" spans="2:21" ht="24.75" customHeight="1">
      <c r="B33" s="314">
        <v>24</v>
      </c>
      <c r="C33" s="302"/>
      <c r="D33" s="204"/>
      <c r="E33" s="205"/>
      <c r="F33" s="206"/>
      <c r="G33" s="206"/>
      <c r="H33" s="207"/>
      <c r="I33" s="207"/>
      <c r="J33" s="315">
        <v>24</v>
      </c>
      <c r="K33" s="302"/>
      <c r="L33" s="323"/>
      <c r="M33" s="208"/>
      <c r="N33" s="316"/>
      <c r="O33" s="208"/>
      <c r="P33" s="207"/>
      <c r="Q33" s="207"/>
      <c r="R33" s="308"/>
      <c r="S33" s="309"/>
      <c r="T33" s="310"/>
      <c r="U33" s="311"/>
    </row>
    <row r="34" spans="2:21" ht="24.75" customHeight="1">
      <c r="B34" s="314">
        <v>25</v>
      </c>
      <c r="C34" s="302"/>
      <c r="D34" s="204"/>
      <c r="E34" s="205"/>
      <c r="F34" s="208"/>
      <c r="G34" s="208"/>
      <c r="H34" s="209"/>
      <c r="I34" s="209"/>
      <c r="J34" s="315">
        <v>25</v>
      </c>
      <c r="K34" s="302"/>
      <c r="L34" s="204"/>
      <c r="M34" s="205"/>
      <c r="N34" s="316"/>
      <c r="O34" s="208"/>
      <c r="P34" s="209"/>
      <c r="Q34" s="209"/>
      <c r="R34" s="308"/>
      <c r="S34" s="309"/>
      <c r="T34" s="310"/>
      <c r="U34" s="311"/>
    </row>
    <row r="35" spans="2:21" ht="24.75" customHeight="1">
      <c r="B35" s="314">
        <v>26</v>
      </c>
      <c r="C35" s="302"/>
      <c r="D35" s="209"/>
      <c r="E35" s="208"/>
      <c r="F35" s="318"/>
      <c r="G35" s="318"/>
      <c r="H35" s="209"/>
      <c r="I35" s="209"/>
      <c r="J35" s="315">
        <v>26</v>
      </c>
      <c r="K35" s="302"/>
      <c r="L35" s="204"/>
      <c r="M35" s="205"/>
      <c r="N35" s="316"/>
      <c r="O35" s="208"/>
      <c r="P35" s="209"/>
      <c r="Q35" s="209"/>
      <c r="R35" s="308"/>
      <c r="S35" s="309"/>
      <c r="T35" s="310"/>
      <c r="U35" s="311"/>
    </row>
    <row r="36" spans="2:21" ht="24.75" customHeight="1">
      <c r="B36" s="314">
        <v>27</v>
      </c>
      <c r="C36" s="302"/>
      <c r="D36" s="212"/>
      <c r="E36" s="205"/>
      <c r="F36" s="206"/>
      <c r="G36" s="206"/>
      <c r="H36" s="209"/>
      <c r="I36" s="209"/>
      <c r="J36" s="315">
        <v>27</v>
      </c>
      <c r="K36" s="302"/>
      <c r="L36" s="204"/>
      <c r="M36" s="208"/>
      <c r="N36" s="316"/>
      <c r="O36" s="208"/>
      <c r="P36" s="209"/>
      <c r="Q36" s="209"/>
      <c r="R36" s="308"/>
      <c r="S36" s="309"/>
      <c r="T36" s="310"/>
      <c r="U36" s="311"/>
    </row>
    <row r="37" spans="2:21" ht="24.75" customHeight="1">
      <c r="B37" s="314">
        <v>28</v>
      </c>
      <c r="C37" s="302"/>
      <c r="D37" s="212"/>
      <c r="E37" s="205"/>
      <c r="F37" s="206"/>
      <c r="G37" s="206"/>
      <c r="H37" s="209"/>
      <c r="I37" s="209"/>
      <c r="J37" s="315">
        <v>28</v>
      </c>
      <c r="K37" s="302"/>
      <c r="L37" s="204"/>
      <c r="M37" s="208"/>
      <c r="N37" s="316"/>
      <c r="O37" s="208"/>
      <c r="P37" s="209"/>
      <c r="Q37" s="209"/>
      <c r="R37" s="308"/>
      <c r="S37" s="309"/>
      <c r="T37" s="310"/>
      <c r="U37" s="311"/>
    </row>
    <row r="38" spans="2:21" ht="24.75" customHeight="1">
      <c r="B38" s="314">
        <v>29</v>
      </c>
      <c r="C38" s="302"/>
      <c r="D38" s="214"/>
      <c r="E38" s="208"/>
      <c r="F38" s="208"/>
      <c r="G38" s="208"/>
      <c r="H38" s="324"/>
      <c r="I38" s="324"/>
      <c r="J38" s="315">
        <v>29</v>
      </c>
      <c r="K38" s="302"/>
      <c r="L38" s="214"/>
      <c r="M38" s="208"/>
      <c r="N38" s="316"/>
      <c r="O38" s="208"/>
      <c r="P38" s="214"/>
      <c r="Q38" s="325"/>
      <c r="R38" s="308"/>
      <c r="S38" s="309"/>
      <c r="T38" s="310"/>
      <c r="U38" s="311"/>
    </row>
    <row r="39" spans="2:21" ht="24.75" customHeight="1">
      <c r="B39" s="314">
        <v>30</v>
      </c>
      <c r="C39" s="302"/>
      <c r="D39" s="210"/>
      <c r="E39" s="205"/>
      <c r="F39" s="206"/>
      <c r="G39" s="206"/>
      <c r="H39" s="320"/>
      <c r="I39" s="320"/>
      <c r="J39" s="315">
        <v>30</v>
      </c>
      <c r="K39" s="302"/>
      <c r="L39" s="204"/>
      <c r="M39" s="205"/>
      <c r="N39" s="316"/>
      <c r="O39" s="208"/>
      <c r="P39" s="207"/>
      <c r="Q39" s="207"/>
      <c r="R39" s="308"/>
      <c r="S39" s="309"/>
      <c r="T39" s="310"/>
      <c r="U39" s="311"/>
    </row>
    <row r="40" spans="2:21" ht="24.75" customHeight="1">
      <c r="B40" s="314">
        <v>31</v>
      </c>
      <c r="C40" s="302"/>
      <c r="D40" s="209"/>
      <c r="E40" s="208"/>
      <c r="F40" s="318"/>
      <c r="G40" s="318"/>
      <c r="H40" s="209"/>
      <c r="I40" s="209"/>
      <c r="J40" s="315">
        <v>31</v>
      </c>
      <c r="K40" s="302"/>
      <c r="L40" s="204"/>
      <c r="M40" s="205"/>
      <c r="N40" s="316"/>
      <c r="O40" s="208"/>
      <c r="P40" s="207"/>
      <c r="Q40" s="207"/>
      <c r="R40" s="308"/>
      <c r="S40" s="309"/>
      <c r="T40" s="310"/>
      <c r="U40" s="311"/>
    </row>
    <row r="41" spans="2:21" ht="24.75" customHeight="1">
      <c r="B41" s="314">
        <v>32</v>
      </c>
      <c r="C41" s="302"/>
      <c r="D41" s="204"/>
      <c r="E41" s="205"/>
      <c r="F41" s="206"/>
      <c r="G41" s="206"/>
      <c r="H41" s="320"/>
      <c r="I41" s="320"/>
      <c r="J41" s="315">
        <v>32</v>
      </c>
      <c r="K41" s="302"/>
      <c r="L41" s="204"/>
      <c r="M41" s="205"/>
      <c r="N41" s="316"/>
      <c r="O41" s="208"/>
      <c r="P41" s="320"/>
      <c r="Q41" s="326"/>
      <c r="R41" s="308"/>
      <c r="S41" s="309"/>
      <c r="T41" s="310"/>
      <c r="U41" s="311"/>
    </row>
    <row r="42" spans="2:21" ht="24.75" customHeight="1">
      <c r="B42" s="314">
        <v>33</v>
      </c>
      <c r="C42" s="302"/>
      <c r="D42" s="204"/>
      <c r="E42" s="205"/>
      <c r="F42" s="206"/>
      <c r="G42" s="206"/>
      <c r="H42" s="320"/>
      <c r="I42" s="320"/>
      <c r="J42" s="315">
        <v>33</v>
      </c>
      <c r="K42" s="302"/>
      <c r="L42" s="204"/>
      <c r="M42" s="205"/>
      <c r="N42" s="316"/>
      <c r="O42" s="208"/>
      <c r="P42" s="209"/>
      <c r="Q42" s="209"/>
      <c r="R42" s="308"/>
      <c r="S42" s="309"/>
      <c r="T42" s="310"/>
      <c r="U42" s="311"/>
    </row>
    <row r="43" spans="2:21" ht="24.75" customHeight="1">
      <c r="B43" s="314">
        <v>34</v>
      </c>
      <c r="C43" s="302"/>
      <c r="D43" s="212"/>
      <c r="E43" s="205"/>
      <c r="F43" s="206"/>
      <c r="G43" s="206"/>
      <c r="H43" s="207"/>
      <c r="I43" s="207"/>
      <c r="J43" s="315">
        <v>34</v>
      </c>
      <c r="K43" s="302"/>
      <c r="L43" s="204"/>
      <c r="M43" s="208"/>
      <c r="N43" s="316"/>
      <c r="O43" s="208"/>
      <c r="P43" s="207"/>
      <c r="Q43" s="207"/>
      <c r="R43" s="318"/>
      <c r="S43" s="319"/>
      <c r="T43" s="320"/>
      <c r="U43" s="311"/>
    </row>
    <row r="44" spans="2:21" ht="24.75" customHeight="1">
      <c r="B44" s="314">
        <v>35</v>
      </c>
      <c r="C44" s="302"/>
      <c r="D44" s="212"/>
      <c r="E44" s="205"/>
      <c r="F44" s="206"/>
      <c r="G44" s="206"/>
      <c r="H44" s="327"/>
      <c r="I44" s="209"/>
      <c r="J44" s="315">
        <v>35</v>
      </c>
      <c r="K44" s="302"/>
      <c r="L44" s="204"/>
      <c r="M44" s="208"/>
      <c r="N44" s="316"/>
      <c r="O44" s="208"/>
      <c r="P44" s="207"/>
      <c r="Q44" s="207"/>
      <c r="R44" s="318"/>
      <c r="S44" s="319"/>
      <c r="T44" s="320"/>
      <c r="U44" s="311"/>
    </row>
    <row r="45" spans="2:21" ht="24.75" customHeight="1" thickBot="1">
      <c r="B45" s="328">
        <v>36</v>
      </c>
      <c r="C45" s="329"/>
      <c r="D45" s="330"/>
      <c r="E45" s="329"/>
      <c r="F45" s="329"/>
      <c r="G45" s="329"/>
      <c r="H45" s="329"/>
      <c r="I45" s="330"/>
      <c r="J45" s="331">
        <v>36</v>
      </c>
      <c r="K45" s="332"/>
      <c r="L45" s="330"/>
      <c r="M45" s="329"/>
      <c r="N45" s="316"/>
      <c r="O45" s="208"/>
      <c r="P45" s="330"/>
      <c r="Q45" s="330"/>
      <c r="R45" s="329"/>
      <c r="S45" s="333"/>
      <c r="T45" s="333"/>
      <c r="U45" s="334"/>
    </row>
    <row r="46" spans="2:21" ht="18.75" customHeight="1">
      <c r="B46" s="291"/>
      <c r="C46" s="292"/>
      <c r="D46" s="291"/>
      <c r="E46" s="291"/>
      <c r="F46" s="291"/>
      <c r="G46" s="291"/>
      <c r="H46" s="291"/>
      <c r="I46" s="291"/>
      <c r="J46" s="291"/>
      <c r="K46" s="291"/>
      <c r="L46" s="291"/>
      <c r="M46" s="291"/>
      <c r="N46" s="291"/>
      <c r="O46" s="291"/>
      <c r="P46" s="292"/>
      <c r="Q46" s="292"/>
      <c r="R46" s="291"/>
      <c r="S46" s="292"/>
      <c r="T46" s="292"/>
      <c r="U46" s="291"/>
    </row>
    <row r="47" spans="2:21" ht="18.75" customHeight="1" thickBot="1">
      <c r="B47" s="293" t="s">
        <v>1988</v>
      </c>
      <c r="C47" s="294"/>
      <c r="D47" s="293"/>
      <c r="E47" s="293"/>
      <c r="F47" s="293"/>
      <c r="G47" s="293"/>
      <c r="H47" s="293"/>
      <c r="I47" s="293"/>
      <c r="J47" s="293"/>
      <c r="K47" s="293"/>
      <c r="L47" s="293"/>
      <c r="M47" s="293"/>
      <c r="N47" s="293"/>
      <c r="O47" s="293"/>
      <c r="P47" s="294"/>
      <c r="Q47" s="294"/>
      <c r="R47" s="293"/>
      <c r="S47" s="294"/>
      <c r="T47" s="294"/>
      <c r="U47" s="293"/>
    </row>
    <row r="48" spans="2:21" ht="18.75" customHeight="1">
      <c r="B48" s="1147" t="s">
        <v>826</v>
      </c>
      <c r="C48" s="1148"/>
      <c r="D48" s="1149" t="s">
        <v>1029</v>
      </c>
      <c r="E48" s="1150"/>
      <c r="F48" s="1150"/>
      <c r="G48" s="1150"/>
      <c r="H48" s="1150"/>
      <c r="I48" s="1150"/>
      <c r="J48" s="1150"/>
      <c r="K48" s="1150"/>
      <c r="L48" s="1150"/>
      <c r="M48" s="1150"/>
      <c r="N48" s="1150"/>
      <c r="O48" s="1150"/>
      <c r="P48" s="1150"/>
      <c r="Q48" s="1150"/>
      <c r="R48" s="1150"/>
      <c r="S48" s="1150"/>
      <c r="T48" s="1150"/>
      <c r="U48" s="1151"/>
    </row>
    <row r="49" spans="2:21" ht="22.5" customHeight="1">
      <c r="B49" s="1152" t="s">
        <v>1033</v>
      </c>
      <c r="C49" s="1153"/>
      <c r="D49" s="1154"/>
      <c r="E49" s="1142"/>
      <c r="F49" s="1142"/>
      <c r="G49" s="1142"/>
      <c r="H49" s="1142"/>
      <c r="I49" s="1142"/>
      <c r="J49" s="1142"/>
      <c r="K49" s="1142"/>
      <c r="L49" s="1142"/>
      <c r="M49" s="1142"/>
      <c r="N49" s="1142"/>
      <c r="O49" s="1142"/>
      <c r="P49" s="1142"/>
      <c r="Q49" s="1142"/>
      <c r="R49" s="1142"/>
      <c r="S49" s="1142"/>
      <c r="T49" s="1142"/>
      <c r="U49" s="1155"/>
    </row>
    <row r="50" spans="2:21" ht="24.75" customHeight="1" thickBot="1">
      <c r="B50" s="1166" t="s">
        <v>1038</v>
      </c>
      <c r="C50" s="1162"/>
      <c r="D50" s="1167"/>
      <c r="E50" s="1164"/>
      <c r="F50" s="1164"/>
      <c r="G50" s="1164"/>
      <c r="H50" s="1164"/>
      <c r="I50" s="1164"/>
      <c r="J50" s="1164"/>
      <c r="K50" s="1164"/>
      <c r="L50" s="1164"/>
      <c r="M50" s="1164"/>
      <c r="N50" s="1164"/>
      <c r="O50" s="1164"/>
      <c r="P50" s="1164"/>
      <c r="Q50" s="1164"/>
      <c r="R50" s="1164"/>
      <c r="S50" s="1164"/>
      <c r="T50" s="1164"/>
      <c r="U50" s="1165"/>
    </row>
    <row r="51" spans="2:21" ht="18.75" customHeight="1">
      <c r="B51" s="294"/>
      <c r="C51" s="294"/>
      <c r="D51" s="294"/>
      <c r="E51" s="294"/>
      <c r="F51" s="294"/>
      <c r="G51" s="294"/>
      <c r="H51" s="294"/>
      <c r="I51" s="294"/>
      <c r="J51" s="294"/>
      <c r="K51" s="294"/>
      <c r="L51" s="294"/>
      <c r="M51" s="294"/>
      <c r="N51" s="294"/>
      <c r="O51" s="294"/>
      <c r="P51" s="294"/>
      <c r="Q51" s="294"/>
      <c r="R51" s="294"/>
      <c r="S51" s="294"/>
      <c r="T51" s="294"/>
      <c r="U51" s="294"/>
    </row>
    <row r="52" spans="2:21" ht="18.75" customHeight="1" thickBot="1">
      <c r="B52" s="293" t="s">
        <v>1989</v>
      </c>
      <c r="C52" s="294"/>
      <c r="D52" s="293"/>
      <c r="E52" s="293"/>
      <c r="F52" s="293"/>
      <c r="G52" s="293"/>
      <c r="H52" s="293"/>
      <c r="I52" s="293"/>
      <c r="J52" s="293"/>
      <c r="K52" s="293"/>
      <c r="L52" s="293"/>
      <c r="M52" s="293"/>
      <c r="N52" s="293"/>
      <c r="O52" s="293"/>
      <c r="P52" s="294"/>
      <c r="Q52" s="294"/>
      <c r="R52" s="293"/>
      <c r="S52" s="294"/>
      <c r="T52" s="294"/>
      <c r="U52" s="293"/>
    </row>
    <row r="53" spans="2:21" ht="54" customHeight="1">
      <c r="B53" s="1168" t="s">
        <v>1049</v>
      </c>
      <c r="C53" s="1148"/>
      <c r="D53" s="1169"/>
      <c r="E53" s="1150"/>
      <c r="F53" s="1150"/>
      <c r="G53" s="1150"/>
      <c r="H53" s="1150"/>
      <c r="I53" s="1150"/>
      <c r="J53" s="1150"/>
      <c r="K53" s="1150"/>
      <c r="L53" s="1150"/>
      <c r="M53" s="1150"/>
      <c r="N53" s="1150"/>
      <c r="O53" s="1150"/>
      <c r="P53" s="1150"/>
      <c r="Q53" s="1150"/>
      <c r="R53" s="1150"/>
      <c r="S53" s="1150"/>
      <c r="T53" s="1150"/>
      <c r="U53" s="1151"/>
    </row>
    <row r="54" spans="2:21" ht="33" customHeight="1">
      <c r="B54" s="1170" t="s">
        <v>1053</v>
      </c>
      <c r="C54" s="1153"/>
      <c r="D54" s="1154"/>
      <c r="E54" s="1142"/>
      <c r="F54" s="1142"/>
      <c r="G54" s="1142"/>
      <c r="H54" s="1142"/>
      <c r="I54" s="1142"/>
      <c r="J54" s="1142"/>
      <c r="K54" s="1142"/>
      <c r="L54" s="1142"/>
      <c r="M54" s="1142"/>
      <c r="N54" s="1142"/>
      <c r="O54" s="1142"/>
      <c r="P54" s="1142"/>
      <c r="Q54" s="1142"/>
      <c r="R54" s="1142"/>
      <c r="S54" s="1142"/>
      <c r="T54" s="1142"/>
      <c r="U54" s="1155"/>
    </row>
    <row r="55" spans="2:21" ht="71.25" customHeight="1">
      <c r="B55" s="1156" t="s">
        <v>1057</v>
      </c>
      <c r="C55" s="1157"/>
      <c r="D55" s="1158" t="s">
        <v>3217</v>
      </c>
      <c r="E55" s="1159"/>
      <c r="F55" s="1159"/>
      <c r="G55" s="1159"/>
      <c r="H55" s="1159"/>
      <c r="I55" s="1159"/>
      <c r="J55" s="1159"/>
      <c r="K55" s="1159"/>
      <c r="L55" s="1159"/>
      <c r="M55" s="1159"/>
      <c r="N55" s="1159"/>
      <c r="O55" s="1159"/>
      <c r="P55" s="1159"/>
      <c r="Q55" s="1159"/>
      <c r="R55" s="1159"/>
      <c r="S55" s="1159"/>
      <c r="T55" s="1159"/>
      <c r="U55" s="1160"/>
    </row>
    <row r="56" spans="2:21" ht="38.25" customHeight="1" thickBot="1">
      <c r="B56" s="1161" t="s">
        <v>1061</v>
      </c>
      <c r="C56" s="1162"/>
      <c r="D56" s="1163"/>
      <c r="E56" s="1164"/>
      <c r="F56" s="1164"/>
      <c r="G56" s="1164"/>
      <c r="H56" s="1164"/>
      <c r="I56" s="1164"/>
      <c r="J56" s="1164"/>
      <c r="K56" s="1164"/>
      <c r="L56" s="1164"/>
      <c r="M56" s="1164"/>
      <c r="N56" s="1164"/>
      <c r="O56" s="1164"/>
      <c r="P56" s="1164"/>
      <c r="Q56" s="1164"/>
      <c r="R56" s="1164"/>
      <c r="S56" s="1164"/>
      <c r="T56" s="1164"/>
      <c r="U56" s="1165"/>
    </row>
  </sheetData>
  <mergeCells count="25">
    <mergeCell ref="B56:C56"/>
    <mergeCell ref="D56:U56"/>
    <mergeCell ref="B50:C50"/>
    <mergeCell ref="D50:U50"/>
    <mergeCell ref="B53:C53"/>
    <mergeCell ref="D53:U53"/>
    <mergeCell ref="B54:C54"/>
    <mergeCell ref="D54:U54"/>
    <mergeCell ref="B48:C48"/>
    <mergeCell ref="D48:U48"/>
    <mergeCell ref="B49:C49"/>
    <mergeCell ref="D49:U49"/>
    <mergeCell ref="B55:C55"/>
    <mergeCell ref="D55:U55"/>
    <mergeCell ref="B2:O4"/>
    <mergeCell ref="P2:U2"/>
    <mergeCell ref="P3:U4"/>
    <mergeCell ref="B7:I7"/>
    <mergeCell ref="J7:S7"/>
    <mergeCell ref="T7:T9"/>
    <mergeCell ref="U7:U9"/>
    <mergeCell ref="B8:C8"/>
    <mergeCell ref="D8:I8"/>
    <mergeCell ref="J8:K8"/>
    <mergeCell ref="L8:S8"/>
  </mergeCells>
  <phoneticPr fontId="4" type="noConversion"/>
  <hyperlinks>
    <hyperlink ref="B1" location="List!A1" display="Top" xr:uid="{FD3FE200-AB1C-4D7D-AE95-CAB9BAD4CA43}"/>
  </hyperlinks>
  <pageMargins left="0.3" right="0.37" top="0.75" bottom="0.75" header="0" footer="0"/>
  <pageSetup paperSize="9" orientation="portrait" r:id="rId1"/>
  <customProperties>
    <customPr name="_pios_id" r:id="rId2"/>
  </customPropertie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7F767-C02D-4E73-A031-1D90B674203D}">
  <sheetPr>
    <pageSetUpPr fitToPage="1"/>
  </sheetPr>
  <dimension ref="A1:X57"/>
  <sheetViews>
    <sheetView showGridLines="0" zoomScale="85" zoomScaleNormal="85" workbookViewId="0">
      <pane xSplit="9" ySplit="9" topLeftCell="J10" activePane="bottomRight" state="frozen"/>
      <selection pane="topRight" activeCell="Z22" sqref="Z22"/>
      <selection pane="bottomLeft" activeCell="Z22" sqref="Z22"/>
      <selection pane="bottomRight"/>
    </sheetView>
  </sheetViews>
  <sheetFormatPr defaultColWidth="13" defaultRowHeight="17.25"/>
  <cols>
    <col min="1" max="1" width="2.25" style="414" customWidth="1"/>
    <col min="2" max="2" width="4" style="414" customWidth="1"/>
    <col min="3" max="3" width="24.75" style="414" customWidth="1"/>
    <col min="4" max="4" width="26.25" style="414" customWidth="1"/>
    <col min="5" max="5" width="4" style="414" customWidth="1"/>
    <col min="6" max="6" width="9.625" style="414" customWidth="1"/>
    <col min="7" max="7" width="6.625" style="414" customWidth="1"/>
    <col min="8" max="8" width="28.875" style="414" customWidth="1"/>
    <col min="9" max="9" width="23.5" style="414" customWidth="1"/>
    <col min="10" max="10" width="4" style="414" customWidth="1"/>
    <col min="11" max="11" width="18.25" style="414" customWidth="1"/>
    <col min="12" max="12" width="16.625" style="414" customWidth="1"/>
    <col min="13" max="13" width="4.75" style="414" customWidth="1"/>
    <col min="14" max="14" width="11.375" style="414" customWidth="1"/>
    <col min="15" max="15" width="5.75" style="414" customWidth="1"/>
    <col min="16" max="17" width="24.875" style="414" customWidth="1"/>
    <col min="18" max="18" width="4.5" style="414" customWidth="1"/>
    <col min="19" max="19" width="4" style="414" customWidth="1"/>
    <col min="20" max="20" width="11.75" style="414" customWidth="1"/>
    <col min="21" max="21" width="7.75" style="414" customWidth="1"/>
    <col min="22" max="22" width="18.375" style="414" customWidth="1"/>
    <col min="23" max="23" width="25.125" style="414" bestFit="1" customWidth="1"/>
    <col min="24" max="24" width="18.375" style="414" bestFit="1" customWidth="1"/>
    <col min="25" max="26" width="2.25" style="414" customWidth="1"/>
    <col min="27" max="16384" width="13" style="414"/>
  </cols>
  <sheetData>
    <row r="1" spans="1:24" ht="18" thickBot="1">
      <c r="A1" s="67" t="s">
        <v>814</v>
      </c>
      <c r="B1" s="1171"/>
      <c r="C1" s="1171"/>
    </row>
    <row r="2" spans="1:24">
      <c r="B2" s="1172" t="s">
        <v>3218</v>
      </c>
      <c r="C2" s="1173"/>
      <c r="D2" s="1173"/>
      <c r="E2" s="1173"/>
      <c r="F2" s="1173"/>
      <c r="G2" s="1173"/>
      <c r="H2" s="1173"/>
      <c r="I2" s="1173"/>
      <c r="J2" s="1173"/>
      <c r="K2" s="1173"/>
      <c r="L2" s="1173"/>
      <c r="M2" s="1173"/>
      <c r="N2" s="1173"/>
      <c r="O2" s="1173"/>
      <c r="P2" s="1179">
        <v>45931</v>
      </c>
      <c r="Q2" s="1180"/>
      <c r="R2" s="1180"/>
      <c r="S2" s="1180"/>
      <c r="T2" s="1180"/>
      <c r="U2" s="1181"/>
    </row>
    <row r="3" spans="1:24">
      <c r="B3" s="1174"/>
      <c r="C3" s="1175"/>
      <c r="D3" s="1175"/>
      <c r="E3" s="1175"/>
      <c r="F3" s="1175"/>
      <c r="G3" s="1175"/>
      <c r="H3" s="1175"/>
      <c r="I3" s="1175"/>
      <c r="J3" s="1175"/>
      <c r="K3" s="1175"/>
      <c r="L3" s="1175"/>
      <c r="M3" s="1175"/>
      <c r="N3" s="1175"/>
      <c r="O3" s="1176"/>
      <c r="P3" s="1182"/>
      <c r="Q3" s="1183"/>
      <c r="R3" s="1183"/>
      <c r="S3" s="1183"/>
      <c r="T3" s="1183"/>
      <c r="U3" s="1184"/>
    </row>
    <row r="4" spans="1:24" ht="18" thickBot="1">
      <c r="B4" s="1177"/>
      <c r="C4" s="1178"/>
      <c r="D4" s="1178"/>
      <c r="E4" s="1178"/>
      <c r="F4" s="1178"/>
      <c r="G4" s="1178"/>
      <c r="H4" s="1178"/>
      <c r="I4" s="1178"/>
      <c r="J4" s="1178"/>
      <c r="K4" s="1178"/>
      <c r="L4" s="1178"/>
      <c r="M4" s="1178"/>
      <c r="N4" s="1178"/>
      <c r="O4" s="1178"/>
      <c r="P4" s="1185"/>
      <c r="Q4" s="1178"/>
      <c r="R4" s="1178"/>
      <c r="S4" s="1178"/>
      <c r="T4" s="1178"/>
      <c r="U4" s="1186"/>
    </row>
    <row r="5" spans="1:24">
      <c r="B5" s="415"/>
      <c r="C5" s="416"/>
      <c r="D5" s="415"/>
      <c r="E5" s="415"/>
      <c r="F5" s="415"/>
      <c r="G5" s="415"/>
      <c r="H5" s="415"/>
      <c r="I5" s="415"/>
      <c r="J5" s="415"/>
      <c r="K5" s="415"/>
      <c r="L5" s="415"/>
      <c r="M5" s="415"/>
      <c r="N5" s="415"/>
      <c r="O5" s="415"/>
      <c r="P5" s="416"/>
      <c r="Q5" s="416"/>
      <c r="R5" s="415"/>
      <c r="S5" s="416"/>
      <c r="T5" s="416"/>
      <c r="U5" s="415"/>
    </row>
    <row r="6" spans="1:24" ht="18" thickBot="1">
      <c r="B6" s="414" t="s">
        <v>1967</v>
      </c>
      <c r="C6" s="417"/>
      <c r="P6" s="417"/>
      <c r="Q6" s="417"/>
      <c r="S6" s="417"/>
      <c r="T6" s="417"/>
    </row>
    <row r="7" spans="1:24" ht="18" thickBot="1">
      <c r="B7" s="1187" t="s">
        <v>3219</v>
      </c>
      <c r="C7" s="1173"/>
      <c r="D7" s="1173"/>
      <c r="E7" s="1173"/>
      <c r="F7" s="1173"/>
      <c r="G7" s="1173"/>
      <c r="H7" s="1173"/>
      <c r="I7" s="1173"/>
      <c r="J7" s="1188" t="s">
        <v>3200</v>
      </c>
      <c r="K7" s="1173"/>
      <c r="L7" s="1173"/>
      <c r="M7" s="1173"/>
      <c r="N7" s="1173"/>
      <c r="O7" s="1173"/>
      <c r="P7" s="1173"/>
      <c r="Q7" s="1173"/>
      <c r="R7" s="1173"/>
      <c r="S7" s="1173"/>
      <c r="T7" s="1189" t="s">
        <v>825</v>
      </c>
      <c r="U7" s="1192" t="s">
        <v>826</v>
      </c>
    </row>
    <row r="8" spans="1:24" ht="18" thickBot="1">
      <c r="B8" s="1194" t="s">
        <v>828</v>
      </c>
      <c r="C8" s="1195"/>
      <c r="D8" s="1196"/>
      <c r="E8" s="1197"/>
      <c r="F8" s="1197"/>
      <c r="G8" s="1197"/>
      <c r="H8" s="1197"/>
      <c r="I8" s="1198"/>
      <c r="J8" s="1199" t="s">
        <v>1971</v>
      </c>
      <c r="K8" s="1195"/>
      <c r="L8" s="1196"/>
      <c r="M8" s="1197"/>
      <c r="N8" s="1197"/>
      <c r="O8" s="1197"/>
      <c r="P8" s="1197"/>
      <c r="Q8" s="1197"/>
      <c r="R8" s="1197"/>
      <c r="S8" s="1197"/>
      <c r="T8" s="1190"/>
      <c r="U8" s="1193"/>
    </row>
    <row r="9" spans="1:24" ht="52.5" thickBot="1">
      <c r="B9" s="418" t="s">
        <v>831</v>
      </c>
      <c r="C9" s="288" t="s">
        <v>1973</v>
      </c>
      <c r="D9" s="289" t="s">
        <v>832</v>
      </c>
      <c r="E9" s="289" t="s">
        <v>833</v>
      </c>
      <c r="F9" s="289" t="s">
        <v>834</v>
      </c>
      <c r="G9" s="289" t="s">
        <v>835</v>
      </c>
      <c r="H9" s="289" t="s">
        <v>836</v>
      </c>
      <c r="I9" s="289" t="s">
        <v>836</v>
      </c>
      <c r="J9" s="419" t="s">
        <v>831</v>
      </c>
      <c r="K9" s="288" t="s">
        <v>1973</v>
      </c>
      <c r="L9" s="289" t="s">
        <v>832</v>
      </c>
      <c r="M9" s="289" t="s">
        <v>833</v>
      </c>
      <c r="N9" s="289" t="s">
        <v>834</v>
      </c>
      <c r="O9" s="289" t="s">
        <v>835</v>
      </c>
      <c r="P9" s="289" t="s">
        <v>836</v>
      </c>
      <c r="Q9" s="289"/>
      <c r="R9" s="420" t="s">
        <v>838</v>
      </c>
      <c r="S9" s="421" t="s">
        <v>839</v>
      </c>
      <c r="T9" s="1191"/>
      <c r="U9" s="1193"/>
      <c r="W9" s="422" t="s">
        <v>3220</v>
      </c>
      <c r="X9" s="422"/>
    </row>
    <row r="10" spans="1:24">
      <c r="B10" s="423">
        <v>1</v>
      </c>
      <c r="C10" s="424"/>
      <c r="D10" s="280" t="s">
        <v>3022</v>
      </c>
      <c r="E10" s="281"/>
      <c r="F10" s="282" t="s">
        <v>845</v>
      </c>
      <c r="G10" s="282"/>
      <c r="H10" s="283" t="s">
        <v>3023</v>
      </c>
      <c r="I10" s="283"/>
      <c r="J10" s="425">
        <v>1</v>
      </c>
      <c r="K10" s="424"/>
      <c r="L10" s="426"/>
      <c r="M10" s="427"/>
      <c r="N10" s="428"/>
      <c r="O10" s="427"/>
      <c r="P10" s="429"/>
      <c r="Q10" s="429"/>
      <c r="R10" s="430"/>
      <c r="S10" s="431"/>
      <c r="T10" s="432"/>
      <c r="U10" s="433"/>
    </row>
    <row r="11" spans="1:24">
      <c r="B11" s="434">
        <v>2</v>
      </c>
      <c r="C11" s="424"/>
      <c r="D11" s="435" t="s">
        <v>1538</v>
      </c>
      <c r="E11" s="281"/>
      <c r="F11" s="282" t="s">
        <v>845</v>
      </c>
      <c r="G11" s="282"/>
      <c r="H11" s="283" t="s">
        <v>1873</v>
      </c>
      <c r="I11" s="283"/>
      <c r="J11" s="425"/>
      <c r="K11" s="424"/>
      <c r="L11" s="426"/>
      <c r="M11" s="427"/>
      <c r="N11" s="428"/>
      <c r="O11" s="427"/>
      <c r="P11" s="429"/>
      <c r="Q11" s="429"/>
      <c r="R11" s="430"/>
      <c r="S11" s="431"/>
      <c r="T11" s="432"/>
      <c r="U11" s="433"/>
    </row>
    <row r="12" spans="1:24">
      <c r="B12" s="436">
        <v>2</v>
      </c>
      <c r="C12" s="424"/>
      <c r="D12" s="283" t="s">
        <v>1547</v>
      </c>
      <c r="E12" s="281"/>
      <c r="F12" s="282" t="s">
        <v>845</v>
      </c>
      <c r="G12" s="282"/>
      <c r="H12" s="283" t="s">
        <v>1548</v>
      </c>
      <c r="I12" s="285"/>
      <c r="J12" s="437">
        <v>2</v>
      </c>
      <c r="K12" s="424"/>
      <c r="L12" s="426"/>
      <c r="M12" s="427"/>
      <c r="N12" s="428"/>
      <c r="O12" s="427"/>
      <c r="P12" s="429"/>
      <c r="Q12" s="429"/>
      <c r="R12" s="430"/>
      <c r="S12" s="431"/>
      <c r="T12" s="432"/>
      <c r="U12" s="433"/>
    </row>
    <row r="13" spans="1:24">
      <c r="B13" s="436">
        <v>3</v>
      </c>
      <c r="C13" s="424"/>
      <c r="D13" s="283" t="s">
        <v>2131</v>
      </c>
      <c r="E13" s="281"/>
      <c r="F13" s="282" t="s">
        <v>845</v>
      </c>
      <c r="G13" s="282"/>
      <c r="H13" s="283" t="s">
        <v>1404</v>
      </c>
      <c r="I13" s="283"/>
      <c r="J13" s="437">
        <v>3</v>
      </c>
      <c r="K13" s="424"/>
      <c r="L13" s="280"/>
      <c r="M13" s="279"/>
      <c r="N13" s="438"/>
      <c r="O13" s="279"/>
      <c r="P13" s="283"/>
      <c r="Q13" s="283"/>
      <c r="R13" s="430"/>
      <c r="S13" s="431"/>
      <c r="T13" s="432"/>
      <c r="U13" s="433"/>
    </row>
    <row r="14" spans="1:24">
      <c r="B14" s="436">
        <v>4</v>
      </c>
      <c r="C14" s="424"/>
      <c r="D14" s="280" t="s">
        <v>2129</v>
      </c>
      <c r="E14" s="281"/>
      <c r="F14" s="282" t="s">
        <v>845</v>
      </c>
      <c r="G14" s="279"/>
      <c r="H14" s="285" t="s">
        <v>1101</v>
      </c>
      <c r="I14" s="283"/>
      <c r="J14" s="437">
        <v>4</v>
      </c>
      <c r="K14" s="424"/>
      <c r="L14" s="280"/>
      <c r="M14" s="281"/>
      <c r="N14" s="438"/>
      <c r="O14" s="279"/>
      <c r="P14" s="283"/>
      <c r="Q14" s="283"/>
      <c r="R14" s="439"/>
      <c r="S14" s="440"/>
      <c r="T14" s="441"/>
      <c r="U14" s="433"/>
    </row>
    <row r="15" spans="1:24">
      <c r="B15" s="436">
        <v>5</v>
      </c>
      <c r="C15" s="424"/>
      <c r="D15" s="280" t="s">
        <v>3221</v>
      </c>
      <c r="E15" s="281"/>
      <c r="F15" s="282" t="s">
        <v>845</v>
      </c>
      <c r="G15" s="282"/>
      <c r="H15" s="283" t="s">
        <v>3030</v>
      </c>
      <c r="I15" s="285"/>
      <c r="J15" s="437">
        <v>5</v>
      </c>
      <c r="K15" s="424"/>
      <c r="L15" s="280"/>
      <c r="M15" s="279"/>
      <c r="N15" s="438"/>
      <c r="O15" s="279"/>
      <c r="P15" s="283"/>
      <c r="Q15" s="283"/>
      <c r="R15" s="439"/>
      <c r="S15" s="440"/>
      <c r="T15" s="441"/>
      <c r="U15" s="433"/>
      <c r="W15" s="442" t="s">
        <v>3222</v>
      </c>
      <c r="X15" s="443" t="s">
        <v>3223</v>
      </c>
    </row>
    <row r="16" spans="1:24">
      <c r="B16" s="436">
        <v>6</v>
      </c>
      <c r="C16" s="424"/>
      <c r="D16" s="280" t="s">
        <v>3224</v>
      </c>
      <c r="E16" s="281"/>
      <c r="F16" s="282" t="s">
        <v>845</v>
      </c>
      <c r="G16" s="282"/>
      <c r="H16" s="285" t="s">
        <v>3033</v>
      </c>
      <c r="I16" s="283"/>
      <c r="J16" s="437">
        <v>6</v>
      </c>
      <c r="K16" s="424"/>
      <c r="L16" s="280"/>
      <c r="M16" s="279"/>
      <c r="N16" s="438"/>
      <c r="O16" s="279"/>
      <c r="P16" s="283"/>
      <c r="Q16" s="283"/>
      <c r="R16" s="439"/>
      <c r="S16" s="431"/>
      <c r="T16" s="432"/>
      <c r="U16" s="433"/>
      <c r="W16" s="442" t="s">
        <v>3225</v>
      </c>
      <c r="X16" s="443" t="s">
        <v>3226</v>
      </c>
    </row>
    <row r="17" spans="2:24">
      <c r="B17" s="436">
        <v>7</v>
      </c>
      <c r="C17" s="424"/>
      <c r="D17" s="280" t="s">
        <v>3227</v>
      </c>
      <c r="E17" s="281"/>
      <c r="F17" s="282" t="s">
        <v>845</v>
      </c>
      <c r="G17" s="282"/>
      <c r="H17" s="285" t="s">
        <v>3036</v>
      </c>
      <c r="I17" s="285"/>
      <c r="J17" s="437">
        <v>7</v>
      </c>
      <c r="K17" s="424"/>
      <c r="L17" s="280"/>
      <c r="M17" s="281"/>
      <c r="N17" s="438"/>
      <c r="O17" s="279"/>
      <c r="P17" s="283"/>
      <c r="Q17" s="283"/>
      <c r="R17" s="439"/>
      <c r="S17" s="431"/>
      <c r="T17" s="432"/>
      <c r="U17" s="433"/>
      <c r="W17" s="442" t="s">
        <v>3228</v>
      </c>
      <c r="X17" s="443" t="s">
        <v>3229</v>
      </c>
    </row>
    <row r="18" spans="2:24" ht="17.25" customHeight="1">
      <c r="B18" s="436">
        <v>8</v>
      </c>
      <c r="C18" s="444"/>
      <c r="D18" s="280" t="s">
        <v>3230</v>
      </c>
      <c r="E18" s="281"/>
      <c r="F18" s="282" t="s">
        <v>845</v>
      </c>
      <c r="G18" s="279"/>
      <c r="H18" s="285" t="s">
        <v>3039</v>
      </c>
      <c r="I18" s="285"/>
      <c r="J18" s="437">
        <v>8</v>
      </c>
      <c r="K18" s="424"/>
      <c r="L18" s="280"/>
      <c r="M18" s="281"/>
      <c r="N18" s="438"/>
      <c r="O18" s="279"/>
      <c r="P18" s="283"/>
      <c r="Q18" s="283"/>
      <c r="R18" s="439"/>
      <c r="S18" s="431"/>
      <c r="T18" s="432"/>
      <c r="U18" s="433"/>
      <c r="W18" s="442" t="s">
        <v>3231</v>
      </c>
      <c r="X18" s="443" t="s">
        <v>3232</v>
      </c>
    </row>
    <row r="19" spans="2:24">
      <c r="B19" s="436">
        <v>9</v>
      </c>
      <c r="C19" s="424"/>
      <c r="D19" s="280" t="s">
        <v>3233</v>
      </c>
      <c r="E19" s="281"/>
      <c r="F19" s="282" t="s">
        <v>845</v>
      </c>
      <c r="G19" s="282"/>
      <c r="H19" s="285" t="s">
        <v>3060</v>
      </c>
      <c r="I19" s="285"/>
      <c r="J19" s="437">
        <v>9</v>
      </c>
      <c r="K19" s="424"/>
      <c r="L19" s="280"/>
      <c r="M19" s="281"/>
      <c r="N19" s="438"/>
      <c r="O19" s="279"/>
      <c r="P19" s="283"/>
      <c r="Q19" s="283"/>
      <c r="R19" s="439"/>
      <c r="S19" s="431"/>
      <c r="T19" s="432"/>
      <c r="U19" s="433"/>
      <c r="W19" s="442" t="s">
        <v>3234</v>
      </c>
      <c r="X19" s="443" t="s">
        <v>3235</v>
      </c>
    </row>
    <row r="20" spans="2:24">
      <c r="B20" s="436">
        <v>10</v>
      </c>
      <c r="C20" s="424"/>
      <c r="D20" s="280" t="s">
        <v>3236</v>
      </c>
      <c r="E20" s="281"/>
      <c r="F20" s="282" t="s">
        <v>845</v>
      </c>
      <c r="G20" s="282"/>
      <c r="H20" s="283" t="s">
        <v>3050</v>
      </c>
      <c r="I20" s="285"/>
      <c r="J20" s="437">
        <v>10</v>
      </c>
      <c r="K20" s="424"/>
      <c r="L20" s="426"/>
      <c r="M20" s="445"/>
      <c r="N20" s="428"/>
      <c r="O20" s="427"/>
      <c r="P20" s="283"/>
      <c r="Q20" s="283"/>
      <c r="R20" s="430"/>
      <c r="S20" s="431"/>
      <c r="T20" s="432"/>
      <c r="U20" s="433"/>
      <c r="W20" s="442" t="s">
        <v>3237</v>
      </c>
      <c r="X20" s="443" t="s">
        <v>3238</v>
      </c>
    </row>
    <row r="21" spans="2:24">
      <c r="B21" s="436">
        <v>11</v>
      </c>
      <c r="C21" s="424"/>
      <c r="D21" s="280" t="s">
        <v>3239</v>
      </c>
      <c r="E21" s="281"/>
      <c r="F21" s="282" t="s">
        <v>845</v>
      </c>
      <c r="G21" s="279"/>
      <c r="H21" s="285" t="s">
        <v>3240</v>
      </c>
      <c r="I21" s="283"/>
      <c r="J21" s="437">
        <v>11</v>
      </c>
      <c r="K21" s="424"/>
      <c r="L21" s="280"/>
      <c r="M21" s="279"/>
      <c r="N21" s="438"/>
      <c r="O21" s="279"/>
      <c r="P21" s="283"/>
      <c r="Q21" s="283"/>
      <c r="R21" s="430"/>
      <c r="S21" s="431"/>
      <c r="T21" s="432"/>
      <c r="U21" s="433"/>
      <c r="W21" s="442" t="s">
        <v>3241</v>
      </c>
      <c r="X21" s="443" t="s">
        <v>3242</v>
      </c>
    </row>
    <row r="22" spans="2:24">
      <c r="B22" s="436">
        <v>12</v>
      </c>
      <c r="C22" s="424"/>
      <c r="D22" s="280" t="s">
        <v>3056</v>
      </c>
      <c r="E22" s="281"/>
      <c r="F22" s="282" t="s">
        <v>845</v>
      </c>
      <c r="G22" s="282"/>
      <c r="H22" s="285" t="s">
        <v>3057</v>
      </c>
      <c r="I22" s="285"/>
      <c r="J22" s="437">
        <v>12</v>
      </c>
      <c r="K22" s="424"/>
      <c r="L22" s="426"/>
      <c r="M22" s="445"/>
      <c r="N22" s="428"/>
      <c r="O22" s="427"/>
      <c r="P22" s="429"/>
      <c r="Q22" s="429"/>
      <c r="R22" s="430"/>
      <c r="S22" s="431"/>
      <c r="T22" s="432"/>
      <c r="U22" s="433"/>
      <c r="W22" s="442" t="s">
        <v>3243</v>
      </c>
      <c r="X22" s="443" t="s">
        <v>3244</v>
      </c>
    </row>
    <row r="23" spans="2:24">
      <c r="B23" s="436">
        <v>13</v>
      </c>
      <c r="C23" s="424"/>
      <c r="D23" s="280"/>
      <c r="E23" s="281"/>
      <c r="F23" s="282"/>
      <c r="G23" s="282"/>
      <c r="H23" s="285"/>
      <c r="I23" s="285"/>
      <c r="J23" s="437">
        <v>13</v>
      </c>
      <c r="K23" s="424"/>
      <c r="L23" s="280"/>
      <c r="M23" s="281"/>
      <c r="N23" s="438"/>
      <c r="O23" s="279"/>
      <c r="P23" s="285"/>
      <c r="Q23" s="285"/>
      <c r="R23" s="430"/>
      <c r="S23" s="431"/>
      <c r="T23" s="432"/>
      <c r="U23" s="433"/>
      <c r="W23" s="442" t="s">
        <v>3245</v>
      </c>
      <c r="X23" s="443" t="s">
        <v>3246</v>
      </c>
    </row>
    <row r="24" spans="2:24" ht="16.5" customHeight="1">
      <c r="B24" s="436">
        <v>14</v>
      </c>
      <c r="C24" s="424"/>
      <c r="D24" s="280"/>
      <c r="E24" s="281"/>
      <c r="F24" s="282"/>
      <c r="G24" s="279"/>
      <c r="H24" s="285"/>
      <c r="I24" s="285"/>
      <c r="J24" s="437">
        <v>14</v>
      </c>
      <c r="K24" s="424"/>
      <c r="L24" s="280"/>
      <c r="M24" s="281"/>
      <c r="N24" s="438"/>
      <c r="O24" s="279"/>
      <c r="P24" s="285"/>
      <c r="Q24" s="285"/>
      <c r="R24" s="430"/>
      <c r="S24" s="431"/>
      <c r="T24" s="432"/>
      <c r="U24" s="433"/>
      <c r="W24" s="442" t="s">
        <v>3247</v>
      </c>
      <c r="X24" s="443" t="s">
        <v>3248</v>
      </c>
    </row>
    <row r="25" spans="2:24">
      <c r="B25" s="436">
        <v>15</v>
      </c>
      <c r="C25" s="424"/>
      <c r="D25" s="280"/>
      <c r="E25" s="281"/>
      <c r="F25" s="282"/>
      <c r="G25" s="282"/>
      <c r="H25" s="283"/>
      <c r="I25" s="285"/>
      <c r="J25" s="437">
        <v>15</v>
      </c>
      <c r="K25" s="424"/>
      <c r="L25" s="280"/>
      <c r="M25" s="281"/>
      <c r="N25" s="438"/>
      <c r="O25" s="279"/>
      <c r="P25" s="285"/>
      <c r="Q25" s="285"/>
      <c r="R25" s="430"/>
      <c r="S25" s="431"/>
      <c r="T25" s="432"/>
      <c r="U25" s="433"/>
      <c r="W25" s="442" t="s">
        <v>3249</v>
      </c>
      <c r="X25" s="443" t="s">
        <v>3250</v>
      </c>
    </row>
    <row r="26" spans="2:24">
      <c r="B26" s="436">
        <v>16</v>
      </c>
      <c r="C26" s="424"/>
      <c r="D26" s="280"/>
      <c r="E26" s="281"/>
      <c r="F26" s="282"/>
      <c r="G26" s="282"/>
      <c r="H26" s="283"/>
      <c r="I26" s="283"/>
      <c r="J26" s="437">
        <v>16</v>
      </c>
      <c r="K26" s="424"/>
      <c r="L26" s="280"/>
      <c r="M26" s="281"/>
      <c r="N26" s="438"/>
      <c r="O26" s="279"/>
      <c r="P26" s="283"/>
      <c r="Q26" s="283"/>
      <c r="R26" s="430"/>
      <c r="S26" s="431"/>
      <c r="T26" s="432"/>
      <c r="U26" s="433"/>
      <c r="W26" s="442" t="s">
        <v>3251</v>
      </c>
      <c r="X26" s="443" t="s">
        <v>3252</v>
      </c>
    </row>
    <row r="27" spans="2:24">
      <c r="B27" s="436">
        <v>17</v>
      </c>
      <c r="C27" s="424"/>
      <c r="D27" s="280"/>
      <c r="E27" s="281"/>
      <c r="F27" s="282"/>
      <c r="G27" s="282"/>
      <c r="H27" s="283"/>
      <c r="I27" s="283"/>
      <c r="J27" s="437">
        <v>17</v>
      </c>
      <c r="K27" s="424"/>
      <c r="L27" s="280"/>
      <c r="M27" s="279"/>
      <c r="N27" s="438"/>
      <c r="O27" s="279"/>
      <c r="P27" s="283"/>
      <c r="Q27" s="283"/>
      <c r="R27" s="430"/>
      <c r="S27" s="431"/>
      <c r="T27" s="432"/>
      <c r="U27" s="433"/>
    </row>
    <row r="28" spans="2:24">
      <c r="B28" s="436">
        <v>18</v>
      </c>
      <c r="C28" s="424"/>
      <c r="D28" s="285"/>
      <c r="E28" s="281"/>
      <c r="F28" s="282"/>
      <c r="G28" s="279"/>
      <c r="H28" s="280"/>
      <c r="I28" s="285"/>
      <c r="J28" s="437">
        <v>18</v>
      </c>
      <c r="K28" s="424"/>
      <c r="L28" s="280"/>
      <c r="M28" s="281"/>
      <c r="N28" s="438"/>
      <c r="O28" s="279"/>
      <c r="P28" s="285"/>
      <c r="Q28" s="285"/>
      <c r="R28" s="430"/>
      <c r="S28" s="431"/>
      <c r="T28" s="432"/>
      <c r="U28" s="433"/>
    </row>
    <row r="29" spans="2:24">
      <c r="B29" s="436">
        <v>19</v>
      </c>
      <c r="C29" s="424"/>
      <c r="D29" s="285"/>
      <c r="E29" s="279"/>
      <c r="F29" s="282"/>
      <c r="G29" s="439"/>
      <c r="H29" s="285"/>
      <c r="I29" s="285"/>
      <c r="J29" s="437">
        <v>19</v>
      </c>
      <c r="K29" s="424"/>
      <c r="L29" s="280"/>
      <c r="M29" s="281"/>
      <c r="N29" s="438"/>
      <c r="O29" s="279"/>
      <c r="P29" s="285"/>
      <c r="Q29" s="285"/>
      <c r="R29" s="430"/>
      <c r="S29" s="431"/>
      <c r="T29" s="432"/>
      <c r="U29" s="433"/>
    </row>
    <row r="30" spans="2:24">
      <c r="B30" s="436">
        <v>20</v>
      </c>
      <c r="C30" s="424"/>
      <c r="D30" s="280"/>
      <c r="E30" s="281"/>
      <c r="F30" s="282"/>
      <c r="G30" s="282"/>
      <c r="H30" s="285"/>
      <c r="I30" s="285"/>
      <c r="J30" s="437">
        <v>20</v>
      </c>
      <c r="K30" s="424"/>
      <c r="L30" s="280"/>
      <c r="M30" s="281"/>
      <c r="N30" s="438"/>
      <c r="O30" s="279"/>
      <c r="P30" s="285"/>
      <c r="Q30" s="285"/>
      <c r="R30" s="430"/>
      <c r="S30" s="431"/>
      <c r="T30" s="432"/>
      <c r="U30" s="433"/>
    </row>
    <row r="31" spans="2:24">
      <c r="B31" s="436">
        <v>21</v>
      </c>
      <c r="C31" s="424"/>
      <c r="D31" s="280"/>
      <c r="E31" s="281"/>
      <c r="F31" s="282"/>
      <c r="G31" s="282"/>
      <c r="H31" s="285"/>
      <c r="I31" s="285"/>
      <c r="J31" s="437">
        <v>21</v>
      </c>
      <c r="K31" s="424"/>
      <c r="L31" s="280"/>
      <c r="M31" s="281"/>
      <c r="N31" s="438"/>
      <c r="O31" s="279"/>
      <c r="P31" s="285"/>
      <c r="Q31" s="285"/>
      <c r="R31" s="430"/>
      <c r="S31" s="431"/>
      <c r="T31" s="432"/>
      <c r="U31" s="433"/>
    </row>
    <row r="32" spans="2:24">
      <c r="B32" s="436">
        <v>22</v>
      </c>
      <c r="C32" s="424"/>
      <c r="D32" s="280"/>
      <c r="E32" s="281"/>
      <c r="F32" s="282"/>
      <c r="G32" s="279"/>
      <c r="H32" s="285"/>
      <c r="I32" s="285"/>
      <c r="J32" s="437">
        <v>22</v>
      </c>
      <c r="K32" s="424"/>
      <c r="L32" s="280"/>
      <c r="M32" s="281"/>
      <c r="N32" s="438"/>
      <c r="O32" s="279"/>
      <c r="P32" s="285"/>
      <c r="Q32" s="285"/>
      <c r="R32" s="430"/>
      <c r="S32" s="431"/>
      <c r="T32" s="432"/>
      <c r="U32" s="433"/>
    </row>
    <row r="33" spans="2:21">
      <c r="B33" s="436">
        <v>23</v>
      </c>
      <c r="C33" s="424"/>
      <c r="D33" s="280"/>
      <c r="E33" s="281"/>
      <c r="F33" s="282"/>
      <c r="G33" s="282"/>
      <c r="H33" s="283"/>
      <c r="I33" s="283"/>
      <c r="J33" s="437">
        <v>23</v>
      </c>
      <c r="K33" s="424"/>
      <c r="L33" s="446"/>
      <c r="M33" s="281"/>
      <c r="N33" s="438"/>
      <c r="O33" s="279"/>
      <c r="P33" s="283"/>
      <c r="Q33" s="283"/>
      <c r="R33" s="430"/>
      <c r="S33" s="431"/>
      <c r="T33" s="432"/>
      <c r="U33" s="433"/>
    </row>
    <row r="34" spans="2:21">
      <c r="B34" s="436">
        <v>24</v>
      </c>
      <c r="C34" s="424"/>
      <c r="D34" s="280"/>
      <c r="E34" s="281"/>
      <c r="F34" s="282"/>
      <c r="G34" s="282"/>
      <c r="H34" s="283"/>
      <c r="I34" s="283"/>
      <c r="J34" s="437">
        <v>24</v>
      </c>
      <c r="K34" s="424"/>
      <c r="L34" s="446"/>
      <c r="M34" s="279"/>
      <c r="N34" s="438"/>
      <c r="O34" s="279"/>
      <c r="P34" s="283"/>
      <c r="Q34" s="283"/>
      <c r="R34" s="430"/>
      <c r="S34" s="431"/>
      <c r="T34" s="432"/>
      <c r="U34" s="433"/>
    </row>
    <row r="35" spans="2:21">
      <c r="B35" s="436">
        <v>25</v>
      </c>
      <c r="C35" s="424"/>
      <c r="D35" s="280"/>
      <c r="E35" s="281"/>
      <c r="F35" s="279"/>
      <c r="G35" s="279"/>
      <c r="H35" s="285"/>
      <c r="I35" s="285"/>
      <c r="J35" s="437">
        <v>25</v>
      </c>
      <c r="K35" s="424"/>
      <c r="L35" s="280"/>
      <c r="M35" s="281"/>
      <c r="N35" s="438"/>
      <c r="O35" s="279"/>
      <c r="P35" s="285"/>
      <c r="Q35" s="285"/>
      <c r="R35" s="430"/>
      <c r="S35" s="431"/>
      <c r="T35" s="432"/>
      <c r="U35" s="433"/>
    </row>
    <row r="36" spans="2:21">
      <c r="B36" s="436">
        <v>26</v>
      </c>
      <c r="C36" s="424"/>
      <c r="D36" s="285"/>
      <c r="E36" s="279"/>
      <c r="F36" s="439"/>
      <c r="G36" s="439"/>
      <c r="H36" s="285"/>
      <c r="I36" s="285"/>
      <c r="J36" s="437">
        <v>26</v>
      </c>
      <c r="K36" s="424"/>
      <c r="L36" s="280"/>
      <c r="M36" s="281"/>
      <c r="N36" s="438"/>
      <c r="O36" s="279"/>
      <c r="P36" s="285"/>
      <c r="Q36" s="285"/>
      <c r="R36" s="430"/>
      <c r="S36" s="431"/>
      <c r="T36" s="432"/>
      <c r="U36" s="433"/>
    </row>
    <row r="37" spans="2:21">
      <c r="B37" s="436">
        <v>27</v>
      </c>
      <c r="C37" s="424"/>
      <c r="D37" s="447"/>
      <c r="E37" s="281"/>
      <c r="F37" s="282"/>
      <c r="G37" s="282"/>
      <c r="H37" s="285"/>
      <c r="I37" s="285"/>
      <c r="J37" s="437">
        <v>27</v>
      </c>
      <c r="K37" s="424"/>
      <c r="L37" s="280"/>
      <c r="M37" s="279"/>
      <c r="N37" s="438"/>
      <c r="O37" s="279"/>
      <c r="P37" s="285"/>
      <c r="Q37" s="285"/>
      <c r="R37" s="430"/>
      <c r="S37" s="431"/>
      <c r="T37" s="432"/>
      <c r="U37" s="433"/>
    </row>
    <row r="38" spans="2:21">
      <c r="B38" s="436">
        <v>28</v>
      </c>
      <c r="C38" s="424"/>
      <c r="D38" s="447"/>
      <c r="E38" s="281"/>
      <c r="F38" s="282"/>
      <c r="G38" s="282"/>
      <c r="H38" s="285"/>
      <c r="I38" s="285"/>
      <c r="J38" s="437">
        <v>28</v>
      </c>
      <c r="K38" s="424"/>
      <c r="L38" s="280"/>
      <c r="M38" s="279"/>
      <c r="N38" s="438"/>
      <c r="O38" s="279"/>
      <c r="P38" s="285"/>
      <c r="Q38" s="285"/>
      <c r="R38" s="430"/>
      <c r="S38" s="431"/>
      <c r="T38" s="432"/>
      <c r="U38" s="433"/>
    </row>
    <row r="39" spans="2:21">
      <c r="B39" s="436">
        <v>29</v>
      </c>
      <c r="C39" s="424"/>
      <c r="D39" s="448"/>
      <c r="E39" s="279"/>
      <c r="F39" s="279"/>
      <c r="G39" s="279"/>
      <c r="H39" s="449"/>
      <c r="I39" s="449"/>
      <c r="J39" s="437">
        <v>29</v>
      </c>
      <c r="K39" s="424"/>
      <c r="L39" s="448"/>
      <c r="M39" s="279"/>
      <c r="N39" s="438"/>
      <c r="O39" s="279"/>
      <c r="P39" s="448"/>
      <c r="Q39" s="450"/>
      <c r="R39" s="430"/>
      <c r="S39" s="431"/>
      <c r="T39" s="432"/>
      <c r="U39" s="433"/>
    </row>
    <row r="40" spans="2:21">
      <c r="B40" s="436">
        <v>30</v>
      </c>
      <c r="C40" s="424"/>
      <c r="D40" s="280"/>
      <c r="E40" s="281"/>
      <c r="F40" s="282"/>
      <c r="G40" s="282"/>
      <c r="H40" s="441"/>
      <c r="I40" s="441"/>
      <c r="J40" s="437">
        <v>30</v>
      </c>
      <c r="K40" s="424"/>
      <c r="L40" s="280"/>
      <c r="M40" s="281"/>
      <c r="N40" s="438"/>
      <c r="O40" s="279"/>
      <c r="P40" s="283"/>
      <c r="Q40" s="283"/>
      <c r="R40" s="430"/>
      <c r="S40" s="431"/>
      <c r="T40" s="432"/>
      <c r="U40" s="433"/>
    </row>
    <row r="41" spans="2:21">
      <c r="B41" s="436">
        <v>31</v>
      </c>
      <c r="C41" s="424"/>
      <c r="D41" s="285"/>
      <c r="E41" s="279"/>
      <c r="F41" s="439"/>
      <c r="G41" s="439"/>
      <c r="H41" s="285"/>
      <c r="I41" s="285"/>
      <c r="J41" s="437">
        <v>31</v>
      </c>
      <c r="K41" s="424"/>
      <c r="L41" s="280"/>
      <c r="M41" s="281"/>
      <c r="N41" s="438"/>
      <c r="O41" s="279"/>
      <c r="P41" s="283"/>
      <c r="Q41" s="283"/>
      <c r="R41" s="430"/>
      <c r="S41" s="431"/>
      <c r="T41" s="432"/>
      <c r="U41" s="433"/>
    </row>
    <row r="42" spans="2:21">
      <c r="B42" s="436">
        <v>32</v>
      </c>
      <c r="C42" s="424"/>
      <c r="D42" s="280"/>
      <c r="E42" s="281"/>
      <c r="F42" s="282"/>
      <c r="G42" s="282"/>
      <c r="H42" s="441"/>
      <c r="I42" s="441"/>
      <c r="J42" s="437">
        <v>32</v>
      </c>
      <c r="K42" s="424"/>
      <c r="L42" s="280"/>
      <c r="M42" s="281"/>
      <c r="N42" s="438"/>
      <c r="O42" s="279"/>
      <c r="P42" s="441"/>
      <c r="Q42" s="451"/>
      <c r="R42" s="430"/>
      <c r="S42" s="431"/>
      <c r="T42" s="432"/>
      <c r="U42" s="433"/>
    </row>
    <row r="43" spans="2:21">
      <c r="B43" s="436">
        <v>33</v>
      </c>
      <c r="C43" s="424"/>
      <c r="D43" s="280"/>
      <c r="E43" s="281"/>
      <c r="F43" s="282"/>
      <c r="G43" s="282"/>
      <c r="H43" s="441"/>
      <c r="I43" s="441"/>
      <c r="J43" s="437">
        <v>33</v>
      </c>
      <c r="K43" s="424"/>
      <c r="L43" s="280"/>
      <c r="M43" s="281"/>
      <c r="N43" s="438"/>
      <c r="O43" s="279"/>
      <c r="P43" s="285"/>
      <c r="Q43" s="285"/>
      <c r="R43" s="430"/>
      <c r="S43" s="431"/>
      <c r="T43" s="432"/>
      <c r="U43" s="433"/>
    </row>
    <row r="44" spans="2:21">
      <c r="B44" s="436">
        <v>34</v>
      </c>
      <c r="C44" s="424"/>
      <c r="D44" s="447"/>
      <c r="E44" s="281"/>
      <c r="F44" s="282"/>
      <c r="G44" s="282"/>
      <c r="H44" s="283"/>
      <c r="I44" s="283"/>
      <c r="J44" s="437">
        <v>34</v>
      </c>
      <c r="K44" s="424"/>
      <c r="L44" s="280"/>
      <c r="M44" s="279"/>
      <c r="N44" s="438"/>
      <c r="O44" s="279"/>
      <c r="P44" s="283"/>
      <c r="Q44" s="283"/>
      <c r="R44" s="439"/>
      <c r="S44" s="440"/>
      <c r="T44" s="441"/>
      <c r="U44" s="433"/>
    </row>
    <row r="45" spans="2:21">
      <c r="B45" s="436">
        <v>35</v>
      </c>
      <c r="C45" s="424"/>
      <c r="D45" s="447"/>
      <c r="E45" s="281"/>
      <c r="F45" s="282"/>
      <c r="G45" s="282"/>
      <c r="H45" s="452"/>
      <c r="I45" s="285"/>
      <c r="J45" s="437">
        <v>35</v>
      </c>
      <c r="K45" s="424"/>
      <c r="L45" s="280"/>
      <c r="M45" s="279"/>
      <c r="N45" s="438"/>
      <c r="O45" s="279"/>
      <c r="P45" s="283"/>
      <c r="Q45" s="283"/>
      <c r="R45" s="439"/>
      <c r="S45" s="440"/>
      <c r="T45" s="441"/>
      <c r="U45" s="433"/>
    </row>
    <row r="46" spans="2:21" ht="18" thickBot="1">
      <c r="B46" s="453">
        <v>36</v>
      </c>
      <c r="C46" s="454"/>
      <c r="D46" s="455"/>
      <c r="E46" s="454"/>
      <c r="F46" s="454"/>
      <c r="G46" s="454"/>
      <c r="H46" s="454"/>
      <c r="I46" s="455"/>
      <c r="J46" s="456">
        <v>36</v>
      </c>
      <c r="K46" s="457"/>
      <c r="L46" s="455"/>
      <c r="M46" s="454"/>
      <c r="N46" s="438"/>
      <c r="O46" s="279"/>
      <c r="P46" s="455"/>
      <c r="Q46" s="455"/>
      <c r="R46" s="454"/>
      <c r="S46" s="458"/>
      <c r="T46" s="458"/>
      <c r="U46" s="459"/>
    </row>
    <row r="47" spans="2:21">
      <c r="B47" s="415"/>
      <c r="C47" s="416"/>
      <c r="D47" s="415"/>
      <c r="E47" s="415"/>
      <c r="F47" s="415"/>
      <c r="G47" s="415"/>
      <c r="H47" s="415"/>
      <c r="I47" s="415"/>
      <c r="J47" s="415"/>
      <c r="K47" s="415"/>
      <c r="L47" s="415"/>
      <c r="M47" s="415"/>
      <c r="N47" s="415"/>
      <c r="O47" s="415"/>
      <c r="P47" s="416"/>
      <c r="Q47" s="416"/>
      <c r="R47" s="415"/>
      <c r="S47" s="416"/>
      <c r="T47" s="416"/>
      <c r="U47" s="415"/>
    </row>
    <row r="48" spans="2:21" ht="18" thickBot="1">
      <c r="B48" s="414" t="s">
        <v>1988</v>
      </c>
      <c r="C48" s="417"/>
      <c r="P48" s="417"/>
      <c r="Q48" s="417"/>
      <c r="S48" s="417"/>
      <c r="T48" s="417"/>
    </row>
    <row r="49" spans="2:21">
      <c r="B49" s="1200" t="s">
        <v>826</v>
      </c>
      <c r="C49" s="1201"/>
      <c r="D49" s="1202" t="s">
        <v>1029</v>
      </c>
      <c r="E49" s="1203"/>
      <c r="F49" s="1203"/>
      <c r="G49" s="1203"/>
      <c r="H49" s="1203"/>
      <c r="I49" s="1203"/>
      <c r="J49" s="1203"/>
      <c r="K49" s="1203"/>
      <c r="L49" s="1203"/>
      <c r="M49" s="1203"/>
      <c r="N49" s="1203"/>
      <c r="O49" s="1203"/>
      <c r="P49" s="1203"/>
      <c r="Q49" s="1203"/>
      <c r="R49" s="1203"/>
      <c r="S49" s="1203"/>
      <c r="T49" s="1203"/>
      <c r="U49" s="1204"/>
    </row>
    <row r="50" spans="2:21">
      <c r="B50" s="1205" t="s">
        <v>1033</v>
      </c>
      <c r="C50" s="1206"/>
      <c r="D50" s="1207"/>
      <c r="E50" s="1195"/>
      <c r="F50" s="1195"/>
      <c r="G50" s="1195"/>
      <c r="H50" s="1195"/>
      <c r="I50" s="1195"/>
      <c r="J50" s="1195"/>
      <c r="K50" s="1195"/>
      <c r="L50" s="1195"/>
      <c r="M50" s="1195"/>
      <c r="N50" s="1195"/>
      <c r="O50" s="1195"/>
      <c r="P50" s="1195"/>
      <c r="Q50" s="1195"/>
      <c r="R50" s="1195"/>
      <c r="S50" s="1195"/>
      <c r="T50" s="1195"/>
      <c r="U50" s="1208"/>
    </row>
    <row r="51" spans="2:21" ht="18" thickBot="1">
      <c r="B51" s="1219" t="s">
        <v>1038</v>
      </c>
      <c r="C51" s="1215"/>
      <c r="D51" s="1220"/>
      <c r="E51" s="1217"/>
      <c r="F51" s="1217"/>
      <c r="G51" s="1217"/>
      <c r="H51" s="1217"/>
      <c r="I51" s="1217"/>
      <c r="J51" s="1217"/>
      <c r="K51" s="1217"/>
      <c r="L51" s="1217"/>
      <c r="M51" s="1217"/>
      <c r="N51" s="1217"/>
      <c r="O51" s="1217"/>
      <c r="P51" s="1217"/>
      <c r="Q51" s="1217"/>
      <c r="R51" s="1217"/>
      <c r="S51" s="1217"/>
      <c r="T51" s="1217"/>
      <c r="U51" s="1218"/>
    </row>
    <row r="52" spans="2:21">
      <c r="B52" s="417"/>
      <c r="C52" s="417"/>
      <c r="D52" s="417"/>
      <c r="E52" s="417"/>
      <c r="F52" s="417"/>
      <c r="G52" s="417"/>
      <c r="H52" s="417"/>
      <c r="I52" s="417"/>
      <c r="J52" s="417"/>
      <c r="K52" s="417"/>
      <c r="L52" s="417"/>
      <c r="M52" s="417"/>
      <c r="N52" s="417"/>
      <c r="O52" s="417"/>
      <c r="P52" s="417"/>
      <c r="Q52" s="417"/>
      <c r="R52" s="417"/>
      <c r="S52" s="417"/>
      <c r="T52" s="417"/>
      <c r="U52" s="417"/>
    </row>
    <row r="53" spans="2:21" ht="18" thickBot="1">
      <c r="B53" s="414" t="s">
        <v>1989</v>
      </c>
      <c r="C53" s="417"/>
      <c r="P53" s="417"/>
      <c r="Q53" s="417"/>
      <c r="S53" s="417"/>
      <c r="T53" s="417"/>
    </row>
    <row r="54" spans="2:21">
      <c r="B54" s="1221" t="s">
        <v>1049</v>
      </c>
      <c r="C54" s="1201"/>
      <c r="D54" s="1222"/>
      <c r="E54" s="1203"/>
      <c r="F54" s="1203"/>
      <c r="G54" s="1203"/>
      <c r="H54" s="1203"/>
      <c r="I54" s="1203"/>
      <c r="J54" s="1203"/>
      <c r="K54" s="1203"/>
      <c r="L54" s="1203"/>
      <c r="M54" s="1203"/>
      <c r="N54" s="1203"/>
      <c r="O54" s="1203"/>
      <c r="P54" s="1203"/>
      <c r="Q54" s="1203"/>
      <c r="R54" s="1203"/>
      <c r="S54" s="1203"/>
      <c r="T54" s="1203"/>
      <c r="U54" s="1204"/>
    </row>
    <row r="55" spans="2:21">
      <c r="B55" s="1223" t="s">
        <v>1053</v>
      </c>
      <c r="C55" s="1206"/>
      <c r="D55" s="1207"/>
      <c r="E55" s="1195"/>
      <c r="F55" s="1195"/>
      <c r="G55" s="1195"/>
      <c r="H55" s="1195"/>
      <c r="I55" s="1195"/>
      <c r="J55" s="1195"/>
      <c r="K55" s="1195"/>
      <c r="L55" s="1195"/>
      <c r="M55" s="1195"/>
      <c r="N55" s="1195"/>
      <c r="O55" s="1195"/>
      <c r="P55" s="1195"/>
      <c r="Q55" s="1195"/>
      <c r="R55" s="1195"/>
      <c r="S55" s="1195"/>
      <c r="T55" s="1195"/>
      <c r="U55" s="1208"/>
    </row>
    <row r="56" spans="2:21">
      <c r="B56" s="1209" t="s">
        <v>1057</v>
      </c>
      <c r="C56" s="1210"/>
      <c r="D56" s="1211" t="s">
        <v>3217</v>
      </c>
      <c r="E56" s="1212"/>
      <c r="F56" s="1212"/>
      <c r="G56" s="1212"/>
      <c r="H56" s="1212"/>
      <c r="I56" s="1212"/>
      <c r="J56" s="1212"/>
      <c r="K56" s="1212"/>
      <c r="L56" s="1212"/>
      <c r="M56" s="1212"/>
      <c r="N56" s="1212"/>
      <c r="O56" s="1212"/>
      <c r="P56" s="1212"/>
      <c r="Q56" s="1212"/>
      <c r="R56" s="1212"/>
      <c r="S56" s="1212"/>
      <c r="T56" s="1212"/>
      <c r="U56" s="1213"/>
    </row>
    <row r="57" spans="2:21" ht="18" thickBot="1">
      <c r="B57" s="1214" t="s">
        <v>1061</v>
      </c>
      <c r="C57" s="1215"/>
      <c r="D57" s="1216"/>
      <c r="E57" s="1217"/>
      <c r="F57" s="1217"/>
      <c r="G57" s="1217"/>
      <c r="H57" s="1217"/>
      <c r="I57" s="1217"/>
      <c r="J57" s="1217"/>
      <c r="K57" s="1217"/>
      <c r="L57" s="1217"/>
      <c r="M57" s="1217"/>
      <c r="N57" s="1217"/>
      <c r="O57" s="1217"/>
      <c r="P57" s="1217"/>
      <c r="Q57" s="1217"/>
      <c r="R57" s="1217"/>
      <c r="S57" s="1217"/>
      <c r="T57" s="1217"/>
      <c r="U57" s="1218"/>
    </row>
  </sheetData>
  <mergeCells count="26">
    <mergeCell ref="B57:C57"/>
    <mergeCell ref="D57:U57"/>
    <mergeCell ref="B51:C51"/>
    <mergeCell ref="D51:U51"/>
    <mergeCell ref="B54:C54"/>
    <mergeCell ref="D54:U54"/>
    <mergeCell ref="B55:C55"/>
    <mergeCell ref="D55:U55"/>
    <mergeCell ref="B49:C49"/>
    <mergeCell ref="D49:U49"/>
    <mergeCell ref="B50:C50"/>
    <mergeCell ref="D50:U50"/>
    <mergeCell ref="B56:C56"/>
    <mergeCell ref="D56:U56"/>
    <mergeCell ref="B1:C1"/>
    <mergeCell ref="B2:O4"/>
    <mergeCell ref="P2:U2"/>
    <mergeCell ref="P3:U4"/>
    <mergeCell ref="B7:I7"/>
    <mergeCell ref="J7:S7"/>
    <mergeCell ref="T7:T9"/>
    <mergeCell ref="U7:U9"/>
    <mergeCell ref="B8:C8"/>
    <mergeCell ref="D8:I8"/>
    <mergeCell ref="J8:K8"/>
    <mergeCell ref="L8:S8"/>
  </mergeCells>
  <phoneticPr fontId="4" type="noConversion"/>
  <hyperlinks>
    <hyperlink ref="A1" location="List!A1" display="Top" xr:uid="{21BBD6EF-4F38-41EC-957A-3ACBDD8A2B5C}"/>
  </hyperlinks>
  <pageMargins left="0.3" right="0.37" top="0.75" bottom="0.75" header="0" footer="0"/>
  <pageSetup paperSize="9" orientation="portrait"/>
  <customProperties>
    <customPr name="_pios_id" r:id="rId1"/>
  </customPropertie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1039-28DF-40BC-BAC2-900B9C8BA0CF}">
  <sheetPr>
    <pageSetUpPr fitToPage="1"/>
  </sheetPr>
  <dimension ref="A1:U56"/>
  <sheetViews>
    <sheetView showGridLines="0" zoomScale="85" zoomScaleNormal="85" workbookViewId="0">
      <pane xSplit="9" ySplit="9" topLeftCell="J23" activePane="bottomRight" state="frozen"/>
      <selection pane="topRight" activeCell="Z22" sqref="Z22"/>
      <selection pane="bottomLeft" activeCell="Z22" sqref="Z22"/>
      <selection pane="bottomRight" activeCell="P34" sqref="P34"/>
    </sheetView>
  </sheetViews>
  <sheetFormatPr defaultColWidth="13" defaultRowHeight="13.5"/>
  <cols>
    <col min="1" max="1" width="2.25" style="576" customWidth="1"/>
    <col min="2" max="2" width="4" style="576" customWidth="1"/>
    <col min="3" max="3" width="24.75" style="576" customWidth="1"/>
    <col min="4" max="4" width="15.75" style="576" customWidth="1"/>
    <col min="5" max="5" width="4" style="576" customWidth="1"/>
    <col min="6" max="6" width="9.625" style="576" customWidth="1"/>
    <col min="7" max="7" width="6.625" style="576" customWidth="1"/>
    <col min="8" max="8" width="27.875" style="576" bestFit="1" customWidth="1"/>
    <col min="9" max="9" width="23.5" style="576" customWidth="1"/>
    <col min="10" max="10" width="4" style="576" customWidth="1"/>
    <col min="11" max="11" width="18.25" style="576" customWidth="1"/>
    <col min="12" max="12" width="19.5" style="576" customWidth="1"/>
    <col min="13" max="13" width="4.75" style="576" customWidth="1"/>
    <col min="14" max="14" width="14.25" style="576" customWidth="1"/>
    <col min="15" max="15" width="5.75" style="576" customWidth="1"/>
    <col min="16" max="17" width="24.875" style="576" customWidth="1"/>
    <col min="18" max="18" width="4.5" style="576" customWidth="1"/>
    <col min="19" max="19" width="4" style="576" customWidth="1"/>
    <col min="20" max="20" width="11.75" style="576" customWidth="1"/>
    <col min="21" max="21" width="7.75" style="576" customWidth="1"/>
    <col min="22" max="22" width="18.375" style="576" customWidth="1"/>
    <col min="23" max="26" width="2.25" style="576" customWidth="1"/>
    <col min="27" max="16384" width="13" style="576"/>
  </cols>
  <sheetData>
    <row r="1" spans="1:21">
      <c r="A1" s="575" t="s">
        <v>814</v>
      </c>
      <c r="B1" s="1224"/>
      <c r="C1" s="1224"/>
    </row>
    <row r="2" spans="1:21">
      <c r="B2" s="1225" t="s">
        <v>3253</v>
      </c>
      <c r="C2" s="1226"/>
      <c r="D2" s="1226"/>
      <c r="E2" s="1226"/>
      <c r="F2" s="1226"/>
      <c r="G2" s="1226"/>
      <c r="H2" s="1226"/>
      <c r="I2" s="1226"/>
      <c r="J2" s="1226"/>
      <c r="K2" s="1226"/>
      <c r="L2" s="1226"/>
      <c r="M2" s="1226"/>
      <c r="N2" s="1226"/>
      <c r="O2" s="1226"/>
      <c r="P2" s="1232"/>
      <c r="Q2" s="1233"/>
      <c r="R2" s="1233"/>
      <c r="S2" s="1233"/>
      <c r="T2" s="1233"/>
      <c r="U2" s="1234"/>
    </row>
    <row r="3" spans="1:21">
      <c r="B3" s="1227"/>
      <c r="C3" s="1228"/>
      <c r="D3" s="1228"/>
      <c r="E3" s="1228"/>
      <c r="F3" s="1228"/>
      <c r="G3" s="1228"/>
      <c r="H3" s="1228"/>
      <c r="I3" s="1228"/>
      <c r="J3" s="1228"/>
      <c r="K3" s="1228"/>
      <c r="L3" s="1228"/>
      <c r="M3" s="1228"/>
      <c r="N3" s="1228"/>
      <c r="O3" s="1229"/>
      <c r="P3" s="1235"/>
      <c r="Q3" s="1236"/>
      <c r="R3" s="1236"/>
      <c r="S3" s="1236"/>
      <c r="T3" s="1236"/>
      <c r="U3" s="1237"/>
    </row>
    <row r="4" spans="1:21">
      <c r="B4" s="1230"/>
      <c r="C4" s="1231"/>
      <c r="D4" s="1231"/>
      <c r="E4" s="1231"/>
      <c r="F4" s="1231"/>
      <c r="G4" s="1231"/>
      <c r="H4" s="1231"/>
      <c r="I4" s="1231"/>
      <c r="J4" s="1231"/>
      <c r="K4" s="1231"/>
      <c r="L4" s="1231"/>
      <c r="M4" s="1231"/>
      <c r="N4" s="1231"/>
      <c r="O4" s="1231"/>
      <c r="P4" s="1238"/>
      <c r="Q4" s="1231"/>
      <c r="R4" s="1231"/>
      <c r="S4" s="1231"/>
      <c r="T4" s="1231"/>
      <c r="U4" s="1239"/>
    </row>
    <row r="5" spans="1:21">
      <c r="B5" s="578"/>
      <c r="C5" s="579"/>
      <c r="D5" s="578"/>
      <c r="E5" s="578"/>
      <c r="F5" s="578"/>
      <c r="G5" s="578"/>
      <c r="H5" s="578"/>
      <c r="I5" s="578"/>
      <c r="J5" s="578"/>
      <c r="K5" s="578"/>
      <c r="L5" s="578"/>
      <c r="M5" s="578"/>
      <c r="N5" s="578"/>
      <c r="O5" s="578"/>
      <c r="P5" s="579"/>
      <c r="Q5" s="579"/>
      <c r="R5" s="578"/>
      <c r="S5" s="579"/>
      <c r="T5" s="579"/>
      <c r="U5" s="578"/>
    </row>
    <row r="6" spans="1:21">
      <c r="B6" s="576" t="s">
        <v>1967</v>
      </c>
      <c r="C6" s="580"/>
      <c r="P6" s="580"/>
      <c r="Q6" s="580"/>
      <c r="S6" s="580"/>
      <c r="T6" s="580"/>
    </row>
    <row r="7" spans="1:21">
      <c r="B7" s="1240" t="s">
        <v>1968</v>
      </c>
      <c r="C7" s="1226"/>
      <c r="D7" s="1226"/>
      <c r="E7" s="1226"/>
      <c r="F7" s="1226"/>
      <c r="G7" s="1226"/>
      <c r="H7" s="1226"/>
      <c r="I7" s="1226"/>
      <c r="J7" s="1241" t="s">
        <v>3200</v>
      </c>
      <c r="K7" s="1226"/>
      <c r="L7" s="1226"/>
      <c r="M7" s="1226"/>
      <c r="N7" s="1226"/>
      <c r="O7" s="1226"/>
      <c r="P7" s="1226"/>
      <c r="Q7" s="1226"/>
      <c r="R7" s="1226"/>
      <c r="S7" s="1226"/>
      <c r="T7" s="1242" t="s">
        <v>825</v>
      </c>
      <c r="U7" s="1245" t="s">
        <v>826</v>
      </c>
    </row>
    <row r="8" spans="1:21">
      <c r="B8" s="1247" t="s">
        <v>828</v>
      </c>
      <c r="C8" s="1248"/>
      <c r="D8" s="1249" t="s">
        <v>3254</v>
      </c>
      <c r="E8" s="1250"/>
      <c r="F8" s="1250"/>
      <c r="G8" s="1250"/>
      <c r="H8" s="1250"/>
      <c r="I8" s="1251"/>
      <c r="J8" s="1252" t="s">
        <v>1971</v>
      </c>
      <c r="K8" s="1248"/>
      <c r="L8" s="1249"/>
      <c r="M8" s="1250"/>
      <c r="N8" s="1250"/>
      <c r="O8" s="1250"/>
      <c r="P8" s="1250"/>
      <c r="Q8" s="1250"/>
      <c r="R8" s="1250"/>
      <c r="S8" s="1250"/>
      <c r="T8" s="1243"/>
      <c r="U8" s="1246"/>
    </row>
    <row r="9" spans="1:21" ht="27">
      <c r="B9" s="581" t="s">
        <v>831</v>
      </c>
      <c r="C9" s="582" t="s">
        <v>1973</v>
      </c>
      <c r="D9" s="583" t="s">
        <v>832</v>
      </c>
      <c r="E9" s="583" t="s">
        <v>833</v>
      </c>
      <c r="F9" s="583" t="s">
        <v>834</v>
      </c>
      <c r="G9" s="583" t="s">
        <v>835</v>
      </c>
      <c r="H9" s="583" t="s">
        <v>836</v>
      </c>
      <c r="I9" s="583" t="s">
        <v>3255</v>
      </c>
      <c r="J9" s="584" t="s">
        <v>831</v>
      </c>
      <c r="K9" s="582" t="s">
        <v>1973</v>
      </c>
      <c r="L9" s="583" t="s">
        <v>832</v>
      </c>
      <c r="M9" s="583" t="s">
        <v>833</v>
      </c>
      <c r="N9" s="583" t="s">
        <v>834</v>
      </c>
      <c r="O9" s="583" t="s">
        <v>835</v>
      </c>
      <c r="P9" s="583" t="s">
        <v>836</v>
      </c>
      <c r="Q9" s="583"/>
      <c r="R9" s="585" t="s">
        <v>838</v>
      </c>
      <c r="S9" s="586" t="s">
        <v>839</v>
      </c>
      <c r="T9" s="1244"/>
      <c r="U9" s="1246"/>
    </row>
    <row r="10" spans="1:21">
      <c r="B10" s="587">
        <v>1</v>
      </c>
      <c r="C10" s="659" t="s">
        <v>3256</v>
      </c>
      <c r="D10" s="666" t="s">
        <v>3257</v>
      </c>
      <c r="E10" s="660"/>
      <c r="F10" s="659" t="s">
        <v>845</v>
      </c>
      <c r="G10" s="661">
        <v>3</v>
      </c>
      <c r="H10" s="667" t="s">
        <v>3258</v>
      </c>
      <c r="I10" s="592"/>
      <c r="J10" s="587">
        <v>1</v>
      </c>
      <c r="K10" s="593"/>
      <c r="L10" s="668" t="s">
        <v>3257</v>
      </c>
      <c r="M10" s="669"/>
      <c r="N10" s="670" t="s">
        <v>2579</v>
      </c>
      <c r="O10" s="669">
        <v>1000</v>
      </c>
      <c r="P10" s="671" t="s">
        <v>3258</v>
      </c>
      <c r="Q10" s="597"/>
      <c r="R10" s="598"/>
      <c r="S10" s="599"/>
      <c r="T10" s="600"/>
      <c r="U10" s="601"/>
    </row>
    <row r="11" spans="1:21">
      <c r="B11" s="602">
        <v>2</v>
      </c>
      <c r="C11" s="588" t="s">
        <v>3256</v>
      </c>
      <c r="D11" s="590" t="s">
        <v>3259</v>
      </c>
      <c r="E11" s="589"/>
      <c r="F11" s="588" t="s">
        <v>845</v>
      </c>
      <c r="G11" s="588">
        <v>6</v>
      </c>
      <c r="H11" s="603" t="s">
        <v>1541</v>
      </c>
      <c r="I11" s="603"/>
      <c r="J11" s="602">
        <f>+J10+1</f>
        <v>2</v>
      </c>
      <c r="K11" s="593"/>
      <c r="L11" s="594" t="s">
        <v>1472</v>
      </c>
      <c r="M11" s="595"/>
      <c r="N11" s="596" t="s">
        <v>2579</v>
      </c>
      <c r="O11" s="595">
        <v>1000</v>
      </c>
      <c r="P11" s="597" t="s">
        <v>1541</v>
      </c>
      <c r="Q11" s="597"/>
      <c r="R11" s="598"/>
      <c r="S11" s="599"/>
      <c r="T11" s="600"/>
      <c r="U11" s="601"/>
    </row>
    <row r="12" spans="1:21">
      <c r="B12" s="602">
        <v>3</v>
      </c>
      <c r="C12" s="588" t="s">
        <v>3256</v>
      </c>
      <c r="D12" s="590" t="s">
        <v>861</v>
      </c>
      <c r="E12" s="589"/>
      <c r="F12" s="591" t="s">
        <v>845</v>
      </c>
      <c r="G12" s="591">
        <v>4</v>
      </c>
      <c r="H12" s="592" t="s">
        <v>862</v>
      </c>
      <c r="I12" s="592"/>
      <c r="J12" s="602">
        <f t="shared" ref="J12:J44" si="0">+J11+1</f>
        <v>3</v>
      </c>
      <c r="K12" s="593"/>
      <c r="L12" s="590" t="s">
        <v>2862</v>
      </c>
      <c r="M12" s="588"/>
      <c r="N12" s="604" t="s">
        <v>2579</v>
      </c>
      <c r="O12" s="588">
        <v>1000</v>
      </c>
      <c r="P12" s="592" t="s">
        <v>862</v>
      </c>
      <c r="Q12" s="592"/>
      <c r="R12" s="598"/>
      <c r="S12" s="599"/>
      <c r="T12" s="600"/>
      <c r="U12" s="601"/>
    </row>
    <row r="13" spans="1:21">
      <c r="B13" s="602">
        <v>4</v>
      </c>
      <c r="C13" s="588" t="s">
        <v>3256</v>
      </c>
      <c r="D13" s="590" t="s">
        <v>1068</v>
      </c>
      <c r="E13" s="589"/>
      <c r="F13" s="588" t="s">
        <v>845</v>
      </c>
      <c r="G13" s="588">
        <v>18</v>
      </c>
      <c r="H13" s="603" t="s">
        <v>1597</v>
      </c>
      <c r="I13" s="603"/>
      <c r="J13" s="602">
        <f t="shared" si="0"/>
        <v>4</v>
      </c>
      <c r="K13" s="593"/>
      <c r="L13" s="590" t="s">
        <v>2809</v>
      </c>
      <c r="M13" s="589"/>
      <c r="N13" s="604" t="s">
        <v>2579</v>
      </c>
      <c r="O13" s="588">
        <v>1000</v>
      </c>
      <c r="P13" s="592" t="s">
        <v>1597</v>
      </c>
      <c r="Q13" s="592"/>
      <c r="R13" s="605"/>
      <c r="S13" s="606"/>
      <c r="T13" s="607"/>
      <c r="U13" s="601"/>
    </row>
    <row r="14" spans="1:21">
      <c r="B14" s="602">
        <v>5</v>
      </c>
      <c r="C14" s="588" t="s">
        <v>3256</v>
      </c>
      <c r="D14" s="590" t="s">
        <v>1079</v>
      </c>
      <c r="E14" s="589"/>
      <c r="F14" s="591" t="s">
        <v>845</v>
      </c>
      <c r="G14" s="591">
        <v>4</v>
      </c>
      <c r="H14" s="592" t="s">
        <v>3260</v>
      </c>
      <c r="I14" s="592"/>
      <c r="J14" s="602">
        <f t="shared" si="0"/>
        <v>5</v>
      </c>
      <c r="K14" s="593"/>
      <c r="L14" s="590" t="s">
        <v>3261</v>
      </c>
      <c r="M14" s="588"/>
      <c r="N14" s="604" t="s">
        <v>2579</v>
      </c>
      <c r="O14" s="588">
        <v>1000</v>
      </c>
      <c r="P14" s="592" t="s">
        <v>3260</v>
      </c>
      <c r="Q14" s="592"/>
      <c r="R14" s="605"/>
      <c r="S14" s="606"/>
      <c r="T14" s="607"/>
      <c r="U14" s="601"/>
    </row>
    <row r="15" spans="1:21">
      <c r="B15" s="602">
        <v>6</v>
      </c>
      <c r="C15" s="588" t="s">
        <v>3256</v>
      </c>
      <c r="D15" s="590" t="s">
        <v>1083</v>
      </c>
      <c r="E15" s="589"/>
      <c r="F15" s="591" t="s">
        <v>1225</v>
      </c>
      <c r="G15" s="591">
        <v>18</v>
      </c>
      <c r="H15" s="592" t="s">
        <v>3262</v>
      </c>
      <c r="I15" s="592"/>
      <c r="J15" s="602">
        <f t="shared" si="0"/>
        <v>6</v>
      </c>
      <c r="K15" s="593"/>
      <c r="L15" s="590" t="s">
        <v>3263</v>
      </c>
      <c r="M15" s="588"/>
      <c r="N15" s="604" t="s">
        <v>2579</v>
      </c>
      <c r="O15" s="588">
        <v>1000</v>
      </c>
      <c r="P15" s="592" t="s">
        <v>3262</v>
      </c>
      <c r="Q15" s="592"/>
      <c r="R15" s="605"/>
      <c r="S15" s="599"/>
      <c r="T15" s="600"/>
      <c r="U15" s="601"/>
    </row>
    <row r="16" spans="1:21">
      <c r="B16" s="602">
        <v>7</v>
      </c>
      <c r="C16" s="588" t="s">
        <v>3256</v>
      </c>
      <c r="D16" s="590" t="s">
        <v>3264</v>
      </c>
      <c r="E16" s="589"/>
      <c r="F16" s="591" t="s">
        <v>845</v>
      </c>
      <c r="G16" s="588">
        <v>10</v>
      </c>
      <c r="H16" s="603" t="s">
        <v>1186</v>
      </c>
      <c r="I16" s="603"/>
      <c r="J16" s="602">
        <f t="shared" si="0"/>
        <v>7</v>
      </c>
      <c r="K16" s="593"/>
      <c r="L16" s="590" t="s">
        <v>3265</v>
      </c>
      <c r="M16" s="589"/>
      <c r="N16" s="604" t="s">
        <v>2579</v>
      </c>
      <c r="O16" s="588">
        <v>1000</v>
      </c>
      <c r="P16" s="592" t="s">
        <v>1186</v>
      </c>
      <c r="Q16" s="592"/>
      <c r="R16" s="605"/>
      <c r="S16" s="599"/>
      <c r="T16" s="600"/>
      <c r="U16" s="601"/>
    </row>
    <row r="17" spans="2:21">
      <c r="B17" s="602">
        <v>8</v>
      </c>
      <c r="C17" s="588" t="s">
        <v>3256</v>
      </c>
      <c r="D17" s="590" t="s">
        <v>1241</v>
      </c>
      <c r="E17" s="589"/>
      <c r="F17" s="591" t="s">
        <v>845</v>
      </c>
      <c r="G17" s="591">
        <v>18</v>
      </c>
      <c r="H17" s="592" t="s">
        <v>1242</v>
      </c>
      <c r="I17" s="592"/>
      <c r="J17" s="602">
        <f t="shared" si="0"/>
        <v>8</v>
      </c>
      <c r="K17" s="593"/>
      <c r="L17" s="590" t="s">
        <v>1241</v>
      </c>
      <c r="M17" s="589"/>
      <c r="N17" s="604" t="s">
        <v>2579</v>
      </c>
      <c r="O17" s="588">
        <v>1000</v>
      </c>
      <c r="P17" s="592" t="s">
        <v>1242</v>
      </c>
      <c r="Q17" s="592"/>
      <c r="R17" s="605"/>
      <c r="S17" s="599"/>
      <c r="T17" s="600"/>
      <c r="U17" s="601"/>
    </row>
    <row r="18" spans="2:21">
      <c r="B18" s="602">
        <v>12</v>
      </c>
      <c r="C18" s="588" t="s">
        <v>3256</v>
      </c>
      <c r="D18" s="590" t="s">
        <v>1109</v>
      </c>
      <c r="E18" s="589"/>
      <c r="F18" s="591" t="s">
        <v>845</v>
      </c>
      <c r="G18" s="591">
        <v>3</v>
      </c>
      <c r="H18" s="592" t="s">
        <v>1110</v>
      </c>
      <c r="I18" s="592"/>
      <c r="J18" s="602">
        <f t="shared" si="0"/>
        <v>9</v>
      </c>
      <c r="K18" s="593"/>
      <c r="L18" s="594" t="s">
        <v>3266</v>
      </c>
      <c r="M18" s="608"/>
      <c r="N18" s="596" t="s">
        <v>2579</v>
      </c>
      <c r="O18" s="595">
        <v>1000</v>
      </c>
      <c r="P18" s="597" t="s">
        <v>1110</v>
      </c>
      <c r="Q18" s="597"/>
      <c r="R18" s="598"/>
      <c r="S18" s="599"/>
      <c r="T18" s="600"/>
      <c r="U18" s="601"/>
    </row>
    <row r="19" spans="2:21" ht="27">
      <c r="B19" s="602">
        <v>13</v>
      </c>
      <c r="C19" s="588" t="s">
        <v>3256</v>
      </c>
      <c r="D19" s="590" t="s">
        <v>3267</v>
      </c>
      <c r="E19" s="589"/>
      <c r="F19" s="107" t="s">
        <v>1644</v>
      </c>
      <c r="G19" s="107">
        <v>11.2</v>
      </c>
      <c r="H19" s="592" t="s">
        <v>3268</v>
      </c>
      <c r="I19" s="609" t="s">
        <v>3269</v>
      </c>
      <c r="J19" s="602">
        <f t="shared" si="0"/>
        <v>10</v>
      </c>
      <c r="K19" s="593"/>
      <c r="L19" s="590" t="s">
        <v>3270</v>
      </c>
      <c r="M19" s="589"/>
      <c r="N19" s="604" t="s">
        <v>2579</v>
      </c>
      <c r="O19" s="588">
        <v>1000</v>
      </c>
      <c r="P19" s="603" t="s">
        <v>3271</v>
      </c>
      <c r="Q19" s="603"/>
      <c r="R19" s="598"/>
      <c r="S19" s="599"/>
      <c r="T19" s="600"/>
      <c r="U19" s="601"/>
    </row>
    <row r="20" spans="2:21" s="577" customFormat="1">
      <c r="B20" s="610">
        <v>14</v>
      </c>
      <c r="C20" s="611" t="s">
        <v>3256</v>
      </c>
      <c r="D20" s="612" t="s">
        <v>1291</v>
      </c>
      <c r="E20" s="613"/>
      <c r="F20" s="611" t="s">
        <v>845</v>
      </c>
      <c r="G20" s="611">
        <v>4</v>
      </c>
      <c r="H20" s="614" t="s">
        <v>1292</v>
      </c>
      <c r="I20" s="614"/>
      <c r="J20" s="610">
        <f t="shared" si="0"/>
        <v>11</v>
      </c>
      <c r="K20" s="615"/>
      <c r="L20" s="612" t="s">
        <v>3272</v>
      </c>
      <c r="M20" s="613"/>
      <c r="N20" s="616" t="s">
        <v>2579</v>
      </c>
      <c r="O20" s="611">
        <v>1000</v>
      </c>
      <c r="P20" s="614" t="s">
        <v>1292</v>
      </c>
      <c r="Q20" s="614"/>
      <c r="R20" s="617"/>
      <c r="S20" s="618"/>
      <c r="T20" s="619"/>
      <c r="U20" s="620"/>
    </row>
    <row r="21" spans="2:21">
      <c r="B21" s="602">
        <v>15</v>
      </c>
      <c r="C21" s="621" t="s">
        <v>3256</v>
      </c>
      <c r="D21" s="622" t="s">
        <v>1657</v>
      </c>
      <c r="E21" s="623"/>
      <c r="F21" s="621" t="s">
        <v>845</v>
      </c>
      <c r="G21" s="621"/>
      <c r="H21" s="624" t="s">
        <v>3273</v>
      </c>
      <c r="I21" s="603"/>
      <c r="J21" s="602">
        <f t="shared" si="0"/>
        <v>12</v>
      </c>
      <c r="K21" s="593"/>
      <c r="L21" s="590"/>
      <c r="M21" s="589"/>
      <c r="N21" s="604"/>
      <c r="O21" s="588"/>
      <c r="P21" s="603"/>
      <c r="Q21" s="603"/>
      <c r="R21" s="598"/>
      <c r="S21" s="599"/>
      <c r="T21" s="600"/>
      <c r="U21" s="601"/>
    </row>
    <row r="22" spans="2:21">
      <c r="B22" s="602">
        <v>16</v>
      </c>
      <c r="C22" s="621" t="s">
        <v>3256</v>
      </c>
      <c r="D22" s="622" t="s">
        <v>3274</v>
      </c>
      <c r="E22" s="623"/>
      <c r="F22" s="621" t="s">
        <v>845</v>
      </c>
      <c r="G22" s="621"/>
      <c r="H22" s="624" t="s">
        <v>3275</v>
      </c>
      <c r="I22" s="603"/>
      <c r="J22" s="602">
        <f t="shared" si="0"/>
        <v>13</v>
      </c>
      <c r="K22" s="593"/>
      <c r="L22" s="590"/>
      <c r="M22" s="589"/>
      <c r="N22" s="604"/>
      <c r="O22" s="588"/>
      <c r="P22" s="592"/>
      <c r="Q22" s="592"/>
      <c r="R22" s="598"/>
      <c r="S22" s="599"/>
      <c r="T22" s="600"/>
      <c r="U22" s="601"/>
    </row>
    <row r="23" spans="2:21">
      <c r="B23" s="602">
        <v>17</v>
      </c>
      <c r="C23" s="621" t="s">
        <v>3256</v>
      </c>
      <c r="D23" s="622" t="s">
        <v>3276</v>
      </c>
      <c r="E23" s="623"/>
      <c r="F23" s="621" t="s">
        <v>845</v>
      </c>
      <c r="G23" s="621"/>
      <c r="H23" s="624" t="s">
        <v>3277</v>
      </c>
      <c r="I23" s="603"/>
      <c r="J23" s="602">
        <f t="shared" si="0"/>
        <v>14</v>
      </c>
      <c r="K23" s="593"/>
      <c r="L23" s="590"/>
      <c r="M23" s="588"/>
      <c r="N23" s="604"/>
      <c r="O23" s="588"/>
      <c r="P23" s="592"/>
      <c r="Q23" s="592"/>
      <c r="R23" s="598"/>
      <c r="S23" s="599"/>
      <c r="T23" s="600"/>
      <c r="U23" s="601"/>
    </row>
    <row r="24" spans="2:21">
      <c r="B24" s="602">
        <v>18</v>
      </c>
      <c r="C24" s="621" t="s">
        <v>3256</v>
      </c>
      <c r="D24" s="622" t="s">
        <v>1653</v>
      </c>
      <c r="E24" s="623"/>
      <c r="F24" s="621" t="s">
        <v>845</v>
      </c>
      <c r="G24" s="621"/>
      <c r="H24" s="625" t="s">
        <v>3278</v>
      </c>
      <c r="I24" s="603"/>
      <c r="J24" s="602">
        <f t="shared" si="0"/>
        <v>15</v>
      </c>
      <c r="K24" s="593"/>
      <c r="L24" s="590"/>
      <c r="M24" s="589"/>
      <c r="N24" s="604"/>
      <c r="O24" s="588"/>
      <c r="P24" s="603"/>
      <c r="Q24" s="603"/>
      <c r="R24" s="598"/>
      <c r="S24" s="599"/>
      <c r="T24" s="600"/>
      <c r="U24" s="601"/>
    </row>
    <row r="25" spans="2:21">
      <c r="B25" s="602">
        <v>19</v>
      </c>
      <c r="C25" s="621" t="s">
        <v>3256</v>
      </c>
      <c r="D25" s="622" t="s">
        <v>2279</v>
      </c>
      <c r="E25" s="623"/>
      <c r="F25" s="621" t="s">
        <v>845</v>
      </c>
      <c r="G25" s="621"/>
      <c r="H25" s="625" t="s">
        <v>3279</v>
      </c>
      <c r="I25" s="603"/>
      <c r="J25" s="602">
        <f t="shared" si="0"/>
        <v>16</v>
      </c>
      <c r="K25" s="593"/>
      <c r="L25" s="590"/>
      <c r="M25" s="589"/>
      <c r="N25" s="604"/>
      <c r="O25" s="588"/>
      <c r="P25" s="603"/>
      <c r="Q25" s="603"/>
      <c r="R25" s="598"/>
      <c r="S25" s="599"/>
      <c r="T25" s="600"/>
      <c r="U25" s="601"/>
    </row>
    <row r="26" spans="2:21">
      <c r="B26" s="602">
        <f>+B25+1</f>
        <v>20</v>
      </c>
      <c r="C26" s="621" t="s">
        <v>3256</v>
      </c>
      <c r="D26" s="622" t="s">
        <v>3280</v>
      </c>
      <c r="E26" s="623"/>
      <c r="F26" s="621" t="s">
        <v>845</v>
      </c>
      <c r="G26" s="621"/>
      <c r="H26" s="623" t="s">
        <v>2401</v>
      </c>
      <c r="I26" s="603"/>
      <c r="J26" s="602">
        <f t="shared" si="0"/>
        <v>17</v>
      </c>
      <c r="K26" s="593"/>
      <c r="L26" s="590"/>
      <c r="M26" s="589"/>
      <c r="N26" s="604"/>
      <c r="O26" s="588"/>
      <c r="P26" s="603"/>
      <c r="Q26" s="603"/>
      <c r="R26" s="598"/>
      <c r="S26" s="599"/>
      <c r="T26" s="600"/>
      <c r="U26" s="601"/>
    </row>
    <row r="27" spans="2:21">
      <c r="B27" s="602">
        <f t="shared" ref="B27:B44" si="1">+B26+1</f>
        <v>21</v>
      </c>
      <c r="C27" s="621" t="s">
        <v>3256</v>
      </c>
      <c r="D27" s="626" t="s">
        <v>3281</v>
      </c>
      <c r="E27" s="621"/>
      <c r="F27" s="621" t="s">
        <v>845</v>
      </c>
      <c r="G27" s="627"/>
      <c r="H27" s="624" t="s">
        <v>3282</v>
      </c>
      <c r="I27" s="603"/>
      <c r="J27" s="602">
        <f t="shared" si="0"/>
        <v>18</v>
      </c>
      <c r="K27" s="593"/>
      <c r="L27" s="590"/>
      <c r="M27" s="589"/>
      <c r="N27" s="604"/>
      <c r="O27" s="588"/>
      <c r="P27" s="603"/>
      <c r="Q27" s="603"/>
      <c r="R27" s="598"/>
      <c r="S27" s="599"/>
      <c r="T27" s="600"/>
      <c r="U27" s="601"/>
    </row>
    <row r="28" spans="2:21">
      <c r="B28" s="602">
        <f t="shared" si="1"/>
        <v>22</v>
      </c>
      <c r="C28" s="621" t="s">
        <v>3256</v>
      </c>
      <c r="D28" s="622" t="s">
        <v>3283</v>
      </c>
      <c r="E28" s="623"/>
      <c r="F28" s="621" t="s">
        <v>845</v>
      </c>
      <c r="G28" s="621"/>
      <c r="H28" s="624" t="s">
        <v>3284</v>
      </c>
      <c r="I28" s="603"/>
      <c r="J28" s="602">
        <f t="shared" si="0"/>
        <v>19</v>
      </c>
      <c r="K28" s="593"/>
      <c r="L28" s="590"/>
      <c r="M28" s="589"/>
      <c r="N28" s="604"/>
      <c r="O28" s="588"/>
      <c r="P28" s="603"/>
      <c r="Q28" s="603"/>
      <c r="R28" s="598"/>
      <c r="S28" s="599"/>
      <c r="T28" s="600"/>
      <c r="U28" s="601"/>
    </row>
    <row r="29" spans="2:21">
      <c r="B29" s="602">
        <f t="shared" si="1"/>
        <v>23</v>
      </c>
      <c r="C29" s="621" t="s">
        <v>3256</v>
      </c>
      <c r="D29" s="622" t="s">
        <v>3285</v>
      </c>
      <c r="E29" s="623"/>
      <c r="F29" s="621" t="s">
        <v>845</v>
      </c>
      <c r="G29" s="621"/>
      <c r="H29" s="625" t="s">
        <v>3286</v>
      </c>
      <c r="I29" s="592"/>
      <c r="J29" s="602">
        <f t="shared" si="0"/>
        <v>20</v>
      </c>
      <c r="K29" s="593"/>
      <c r="L29" s="628"/>
      <c r="M29" s="589"/>
      <c r="N29" s="604"/>
      <c r="O29" s="588"/>
      <c r="P29" s="592"/>
      <c r="Q29" s="592"/>
      <c r="R29" s="598"/>
      <c r="S29" s="599"/>
      <c r="T29" s="600"/>
      <c r="U29" s="601"/>
    </row>
    <row r="30" spans="2:21">
      <c r="B30" s="602">
        <f t="shared" si="1"/>
        <v>24</v>
      </c>
      <c r="C30" s="588" t="s">
        <v>3256</v>
      </c>
      <c r="D30" s="590" t="s">
        <v>3287</v>
      </c>
      <c r="E30" s="589"/>
      <c r="F30" s="588" t="s">
        <v>1644</v>
      </c>
      <c r="G30" s="588">
        <v>13.2</v>
      </c>
      <c r="H30" s="592" t="s">
        <v>3288</v>
      </c>
      <c r="I30" s="592"/>
      <c r="J30" s="602">
        <f t="shared" si="0"/>
        <v>21</v>
      </c>
      <c r="K30" s="593"/>
      <c r="L30" s="590" t="s">
        <v>3287</v>
      </c>
      <c r="M30" s="589"/>
      <c r="N30" s="616" t="s">
        <v>2579</v>
      </c>
      <c r="O30" s="611">
        <v>1000</v>
      </c>
      <c r="P30" s="592" t="s">
        <v>3288</v>
      </c>
      <c r="Q30" s="592"/>
      <c r="R30" s="598"/>
      <c r="S30" s="599"/>
      <c r="T30" s="600"/>
      <c r="U30" s="601"/>
    </row>
    <row r="31" spans="2:21">
      <c r="B31" s="602">
        <f t="shared" si="1"/>
        <v>25</v>
      </c>
      <c r="C31" s="621" t="s">
        <v>3256</v>
      </c>
      <c r="D31" s="622" t="s">
        <v>3289</v>
      </c>
      <c r="E31" s="623"/>
      <c r="F31" s="621" t="s">
        <v>845</v>
      </c>
      <c r="G31" s="621"/>
      <c r="H31" s="625" t="s">
        <v>3290</v>
      </c>
      <c r="I31" s="592"/>
      <c r="J31" s="602">
        <f t="shared" si="0"/>
        <v>22</v>
      </c>
      <c r="K31" s="593"/>
      <c r="L31" s="628"/>
      <c r="M31" s="589"/>
      <c r="N31" s="604"/>
      <c r="O31" s="588"/>
      <c r="P31" s="592"/>
      <c r="Q31" s="592"/>
      <c r="R31" s="598"/>
      <c r="S31" s="599"/>
      <c r="T31" s="600"/>
      <c r="U31" s="601"/>
    </row>
    <row r="32" spans="2:21">
      <c r="B32" s="602">
        <f t="shared" si="1"/>
        <v>26</v>
      </c>
      <c r="C32" s="621" t="s">
        <v>3256</v>
      </c>
      <c r="D32" s="622" t="s">
        <v>3291</v>
      </c>
      <c r="E32" s="623"/>
      <c r="F32" s="621" t="s">
        <v>845</v>
      </c>
      <c r="G32" s="621"/>
      <c r="H32" s="625" t="s">
        <v>3292</v>
      </c>
      <c r="I32" s="592"/>
      <c r="J32" s="602">
        <f t="shared" si="0"/>
        <v>23</v>
      </c>
      <c r="K32" s="593"/>
      <c r="L32" s="628"/>
      <c r="M32" s="589"/>
      <c r="N32" s="604"/>
      <c r="O32" s="588"/>
      <c r="P32" s="592"/>
      <c r="Q32" s="592"/>
      <c r="R32" s="598"/>
      <c r="S32" s="599"/>
      <c r="T32" s="600"/>
      <c r="U32" s="601"/>
    </row>
    <row r="33" spans="2:21">
      <c r="B33" s="602">
        <f t="shared" si="1"/>
        <v>27</v>
      </c>
      <c r="C33" s="621" t="s">
        <v>3256</v>
      </c>
      <c r="D33" s="622" t="s">
        <v>3293</v>
      </c>
      <c r="E33" s="623"/>
      <c r="F33" s="621" t="s">
        <v>845</v>
      </c>
      <c r="G33" s="621"/>
      <c r="H33" s="625" t="s">
        <v>3294</v>
      </c>
      <c r="I33" s="592"/>
      <c r="J33" s="602">
        <f t="shared" si="0"/>
        <v>24</v>
      </c>
      <c r="K33" s="593"/>
      <c r="L33" s="628"/>
      <c r="M33" s="589"/>
      <c r="N33" s="604"/>
      <c r="O33" s="588"/>
      <c r="P33" s="592"/>
      <c r="Q33" s="592"/>
      <c r="R33" s="598"/>
      <c r="S33" s="599"/>
      <c r="T33" s="600"/>
      <c r="U33" s="601"/>
    </row>
    <row r="34" spans="2:21">
      <c r="B34" s="602">
        <f t="shared" si="1"/>
        <v>28</v>
      </c>
      <c r="C34" s="621" t="s">
        <v>3256</v>
      </c>
      <c r="D34" s="622" t="s">
        <v>3295</v>
      </c>
      <c r="E34" s="623"/>
      <c r="F34" s="621" t="s">
        <v>845</v>
      </c>
      <c r="G34" s="621"/>
      <c r="H34" s="625" t="s">
        <v>3296</v>
      </c>
      <c r="I34" s="592"/>
      <c r="J34" s="602">
        <f t="shared" si="0"/>
        <v>25</v>
      </c>
      <c r="K34" s="593"/>
      <c r="L34" s="628"/>
      <c r="M34" s="589"/>
      <c r="N34" s="604"/>
      <c r="O34" s="588"/>
      <c r="P34" s="592"/>
      <c r="Q34" s="592"/>
      <c r="R34" s="598"/>
      <c r="S34" s="599"/>
      <c r="T34" s="600"/>
      <c r="U34" s="601"/>
    </row>
    <row r="35" spans="2:21">
      <c r="B35" s="602">
        <f t="shared" si="1"/>
        <v>29</v>
      </c>
      <c r="C35" s="588" t="s">
        <v>3256</v>
      </c>
      <c r="D35" s="590" t="s">
        <v>3297</v>
      </c>
      <c r="E35" s="589"/>
      <c r="F35" s="588" t="s">
        <v>1644</v>
      </c>
      <c r="G35" s="588">
        <v>13.2</v>
      </c>
      <c r="H35" s="592" t="s">
        <v>3298</v>
      </c>
      <c r="I35" s="592"/>
      <c r="J35" s="602">
        <f t="shared" si="0"/>
        <v>26</v>
      </c>
      <c r="K35" s="593"/>
      <c r="L35" s="628" t="s">
        <v>3297</v>
      </c>
      <c r="M35" s="589"/>
      <c r="N35" s="616" t="s">
        <v>2579</v>
      </c>
      <c r="O35" s="611">
        <v>1000</v>
      </c>
      <c r="P35" s="592" t="s">
        <v>3298</v>
      </c>
      <c r="Q35" s="592"/>
      <c r="R35" s="598"/>
      <c r="S35" s="599"/>
      <c r="T35" s="600"/>
      <c r="U35" s="601"/>
    </row>
    <row r="36" spans="2:21">
      <c r="B36" s="602">
        <f t="shared" si="1"/>
        <v>30</v>
      </c>
      <c r="C36" s="588" t="s">
        <v>3256</v>
      </c>
      <c r="D36" s="590" t="s">
        <v>3299</v>
      </c>
      <c r="E36" s="589"/>
      <c r="F36" s="588" t="s">
        <v>1644</v>
      </c>
      <c r="G36" s="588">
        <v>13.2</v>
      </c>
      <c r="H36" s="592" t="s">
        <v>3300</v>
      </c>
      <c r="I36" s="592"/>
      <c r="J36" s="602">
        <f t="shared" si="0"/>
        <v>27</v>
      </c>
      <c r="K36" s="593"/>
      <c r="L36" s="628" t="s">
        <v>3299</v>
      </c>
      <c r="M36" s="589"/>
      <c r="N36" s="616" t="s">
        <v>2579</v>
      </c>
      <c r="O36" s="611">
        <v>1000</v>
      </c>
      <c r="P36" s="592" t="s">
        <v>3300</v>
      </c>
      <c r="Q36" s="592"/>
      <c r="R36" s="598"/>
      <c r="S36" s="599"/>
      <c r="T36" s="600"/>
      <c r="U36" s="601"/>
    </row>
    <row r="37" spans="2:21">
      <c r="B37" s="602">
        <f t="shared" si="1"/>
        <v>31</v>
      </c>
      <c r="C37" s="588" t="s">
        <v>3256</v>
      </c>
      <c r="D37" s="590" t="s">
        <v>3301</v>
      </c>
      <c r="E37" s="589"/>
      <c r="F37" s="588" t="s">
        <v>845</v>
      </c>
      <c r="G37" s="588">
        <v>30</v>
      </c>
      <c r="H37" s="592" t="s">
        <v>3302</v>
      </c>
      <c r="I37" s="592"/>
      <c r="J37" s="602">
        <f t="shared" si="0"/>
        <v>28</v>
      </c>
      <c r="K37" s="593"/>
      <c r="L37" s="628" t="s">
        <v>3301</v>
      </c>
      <c r="M37" s="589"/>
      <c r="N37" s="616" t="s">
        <v>2579</v>
      </c>
      <c r="O37" s="611">
        <v>1000</v>
      </c>
      <c r="P37" s="592" t="s">
        <v>3302</v>
      </c>
      <c r="Q37" s="592"/>
      <c r="R37" s="598"/>
      <c r="S37" s="599"/>
      <c r="T37" s="600"/>
      <c r="U37" s="601"/>
    </row>
    <row r="38" spans="2:21">
      <c r="B38" s="602">
        <f t="shared" si="1"/>
        <v>32</v>
      </c>
      <c r="C38" s="588" t="s">
        <v>3256</v>
      </c>
      <c r="D38" s="590" t="s">
        <v>1648</v>
      </c>
      <c r="E38" s="589"/>
      <c r="F38" s="591" t="s">
        <v>845</v>
      </c>
      <c r="G38" s="591">
        <v>5</v>
      </c>
      <c r="H38" s="592" t="s">
        <v>1404</v>
      </c>
      <c r="I38" s="592"/>
      <c r="J38" s="602">
        <f t="shared" si="0"/>
        <v>29</v>
      </c>
      <c r="K38" s="593"/>
      <c r="L38" s="628" t="s">
        <v>1644</v>
      </c>
      <c r="M38" s="589"/>
      <c r="N38" s="616" t="s">
        <v>2579</v>
      </c>
      <c r="O38" s="611">
        <v>1000</v>
      </c>
      <c r="P38" s="592" t="s">
        <v>1404</v>
      </c>
      <c r="Q38" s="592"/>
      <c r="R38" s="598"/>
      <c r="S38" s="599"/>
      <c r="T38" s="600"/>
      <c r="U38" s="601"/>
    </row>
    <row r="39" spans="2:21">
      <c r="B39" s="602">
        <f t="shared" si="1"/>
        <v>33</v>
      </c>
      <c r="C39" s="588" t="s">
        <v>3256</v>
      </c>
      <c r="D39" s="590" t="s">
        <v>912</v>
      </c>
      <c r="E39" s="589"/>
      <c r="F39" s="591" t="s">
        <v>845</v>
      </c>
      <c r="G39" s="591">
        <v>8</v>
      </c>
      <c r="H39" s="592" t="s">
        <v>3303</v>
      </c>
      <c r="I39" s="592"/>
      <c r="J39" s="602">
        <f t="shared" si="0"/>
        <v>30</v>
      </c>
      <c r="K39" s="593"/>
      <c r="L39" s="628" t="s">
        <v>912</v>
      </c>
      <c r="M39" s="589"/>
      <c r="N39" s="616" t="s">
        <v>2579</v>
      </c>
      <c r="O39" s="611">
        <v>1000</v>
      </c>
      <c r="P39" s="592" t="s">
        <v>3303</v>
      </c>
      <c r="Q39" s="592"/>
      <c r="R39" s="598"/>
      <c r="S39" s="599"/>
      <c r="T39" s="600"/>
      <c r="U39" s="601"/>
    </row>
    <row r="40" spans="2:21">
      <c r="B40" s="602">
        <f t="shared" si="1"/>
        <v>34</v>
      </c>
      <c r="C40" s="588" t="s">
        <v>3256</v>
      </c>
      <c r="D40" s="590" t="s">
        <v>923</v>
      </c>
      <c r="E40" s="589"/>
      <c r="F40" s="591" t="s">
        <v>845</v>
      </c>
      <c r="G40" s="591">
        <v>6</v>
      </c>
      <c r="H40" s="592" t="s">
        <v>3304</v>
      </c>
      <c r="I40" s="592"/>
      <c r="J40" s="602">
        <f t="shared" si="0"/>
        <v>31</v>
      </c>
      <c r="K40" s="593"/>
      <c r="L40" s="628" t="s">
        <v>923</v>
      </c>
      <c r="M40" s="589"/>
      <c r="N40" s="616" t="s">
        <v>2579</v>
      </c>
      <c r="O40" s="611">
        <v>1000</v>
      </c>
      <c r="P40" s="592" t="s">
        <v>3304</v>
      </c>
      <c r="Q40" s="592"/>
      <c r="R40" s="598"/>
      <c r="S40" s="599"/>
      <c r="T40" s="600"/>
      <c r="U40" s="601"/>
    </row>
    <row r="41" spans="2:21">
      <c r="B41" s="602">
        <f t="shared" si="1"/>
        <v>35</v>
      </c>
      <c r="C41" s="621" t="s">
        <v>3256</v>
      </c>
      <c r="D41" s="622" t="s">
        <v>935</v>
      </c>
      <c r="E41" s="623"/>
      <c r="F41" s="621" t="s">
        <v>845</v>
      </c>
      <c r="G41" s="621"/>
      <c r="H41" s="625" t="s">
        <v>3305</v>
      </c>
      <c r="I41" s="592"/>
      <c r="J41" s="602">
        <f t="shared" si="0"/>
        <v>32</v>
      </c>
      <c r="K41" s="593"/>
      <c r="L41" s="628"/>
      <c r="M41" s="589"/>
      <c r="N41" s="604"/>
      <c r="O41" s="588"/>
      <c r="P41" s="592"/>
      <c r="Q41" s="592"/>
      <c r="R41" s="598"/>
      <c r="S41" s="599"/>
      <c r="T41" s="600"/>
      <c r="U41" s="601"/>
    </row>
    <row r="42" spans="2:21">
      <c r="B42" s="602">
        <f t="shared" si="1"/>
        <v>36</v>
      </c>
      <c r="C42" s="621" t="s">
        <v>3256</v>
      </c>
      <c r="D42" s="622" t="s">
        <v>945</v>
      </c>
      <c r="E42" s="623"/>
      <c r="F42" s="621" t="s">
        <v>845</v>
      </c>
      <c r="G42" s="621"/>
      <c r="H42" s="625" t="s">
        <v>946</v>
      </c>
      <c r="I42" s="592"/>
      <c r="J42" s="602">
        <f t="shared" si="0"/>
        <v>33</v>
      </c>
      <c r="K42" s="593"/>
      <c r="L42" s="628"/>
      <c r="M42" s="589"/>
      <c r="N42" s="604"/>
      <c r="O42" s="588"/>
      <c r="P42" s="592"/>
      <c r="Q42" s="592"/>
      <c r="R42" s="598"/>
      <c r="S42" s="599"/>
      <c r="T42" s="600"/>
      <c r="U42" s="601"/>
    </row>
    <row r="43" spans="2:21">
      <c r="B43" s="602">
        <f t="shared" si="1"/>
        <v>37</v>
      </c>
      <c r="C43" s="621" t="s">
        <v>3256</v>
      </c>
      <c r="D43" s="622" t="s">
        <v>955</v>
      </c>
      <c r="E43" s="623"/>
      <c r="F43" s="621" t="s">
        <v>845</v>
      </c>
      <c r="G43" s="621"/>
      <c r="H43" s="625" t="s">
        <v>3306</v>
      </c>
      <c r="I43" s="592"/>
      <c r="J43" s="602">
        <f t="shared" si="0"/>
        <v>34</v>
      </c>
      <c r="K43" s="593"/>
      <c r="L43" s="628"/>
      <c r="M43" s="589"/>
      <c r="N43" s="604"/>
      <c r="O43" s="588"/>
      <c r="P43" s="592"/>
      <c r="Q43" s="592"/>
      <c r="R43" s="598"/>
      <c r="S43" s="599"/>
      <c r="T43" s="600"/>
      <c r="U43" s="601"/>
    </row>
    <row r="44" spans="2:21">
      <c r="B44" s="602">
        <f t="shared" si="1"/>
        <v>38</v>
      </c>
      <c r="C44" s="621" t="s">
        <v>3256</v>
      </c>
      <c r="D44" s="622" t="s">
        <v>962</v>
      </c>
      <c r="E44" s="623"/>
      <c r="F44" s="621" t="s">
        <v>845</v>
      </c>
      <c r="G44" s="621"/>
      <c r="H44" s="625" t="s">
        <v>3307</v>
      </c>
      <c r="I44" s="592"/>
      <c r="J44" s="602">
        <f t="shared" si="0"/>
        <v>35</v>
      </c>
      <c r="K44" s="593"/>
      <c r="L44" s="628"/>
      <c r="M44" s="589"/>
      <c r="N44" s="604"/>
      <c r="O44" s="588"/>
      <c r="P44" s="592"/>
      <c r="Q44" s="592"/>
      <c r="R44" s="598"/>
      <c r="S44" s="599"/>
      <c r="T44" s="600"/>
      <c r="U44" s="601"/>
    </row>
    <row r="45" spans="2:21">
      <c r="B45" s="629"/>
      <c r="C45" s="630"/>
      <c r="D45" s="631"/>
      <c r="E45" s="630"/>
      <c r="F45" s="630"/>
      <c r="G45" s="630"/>
      <c r="H45" s="630"/>
      <c r="I45" s="631"/>
      <c r="J45" s="629"/>
      <c r="K45" s="632"/>
      <c r="L45" s="631"/>
      <c r="M45" s="630"/>
      <c r="N45" s="604"/>
      <c r="O45" s="588"/>
      <c r="P45" s="631"/>
      <c r="Q45" s="631"/>
      <c r="R45" s="630"/>
      <c r="S45" s="633"/>
      <c r="T45" s="633"/>
      <c r="U45" s="634"/>
    </row>
    <row r="46" spans="2:21">
      <c r="B46" s="578"/>
      <c r="C46" s="579"/>
      <c r="D46" s="578"/>
      <c r="E46" s="578"/>
      <c r="F46" s="578"/>
      <c r="G46" s="578"/>
      <c r="H46" s="578"/>
      <c r="I46" s="578"/>
      <c r="J46" s="578"/>
      <c r="K46" s="578"/>
      <c r="L46" s="578"/>
      <c r="M46" s="578"/>
      <c r="N46" s="578"/>
      <c r="O46" s="578"/>
      <c r="P46" s="579"/>
      <c r="Q46" s="579"/>
      <c r="R46" s="578"/>
      <c r="S46" s="579"/>
      <c r="T46" s="579"/>
      <c r="U46" s="578"/>
    </row>
    <row r="47" spans="2:21">
      <c r="B47" s="576" t="s">
        <v>1988</v>
      </c>
      <c r="C47" s="580"/>
      <c r="P47" s="580"/>
      <c r="Q47" s="580"/>
      <c r="S47" s="580"/>
      <c r="T47" s="580"/>
    </row>
    <row r="48" spans="2:21">
      <c r="B48" s="1253" t="s">
        <v>826</v>
      </c>
      <c r="C48" s="1254"/>
      <c r="D48" s="1255" t="s">
        <v>1029</v>
      </c>
      <c r="E48" s="1256"/>
      <c r="F48" s="1256"/>
      <c r="G48" s="1256"/>
      <c r="H48" s="1256"/>
      <c r="I48" s="1256"/>
      <c r="J48" s="1256"/>
      <c r="K48" s="1256"/>
      <c r="L48" s="1256"/>
      <c r="M48" s="1256"/>
      <c r="N48" s="1256"/>
      <c r="O48" s="1256"/>
      <c r="P48" s="1256"/>
      <c r="Q48" s="1256"/>
      <c r="R48" s="1256"/>
      <c r="S48" s="1256"/>
      <c r="T48" s="1256"/>
      <c r="U48" s="1257"/>
    </row>
    <row r="49" spans="2:21">
      <c r="B49" s="1258" t="s">
        <v>1033</v>
      </c>
      <c r="C49" s="1259"/>
      <c r="D49" s="1260"/>
      <c r="E49" s="1248"/>
      <c r="F49" s="1248"/>
      <c r="G49" s="1248"/>
      <c r="H49" s="1248"/>
      <c r="I49" s="1248"/>
      <c r="J49" s="1248"/>
      <c r="K49" s="1248"/>
      <c r="L49" s="1248"/>
      <c r="M49" s="1248"/>
      <c r="N49" s="1248"/>
      <c r="O49" s="1248"/>
      <c r="P49" s="1248"/>
      <c r="Q49" s="1248"/>
      <c r="R49" s="1248"/>
      <c r="S49" s="1248"/>
      <c r="T49" s="1248"/>
      <c r="U49" s="1261"/>
    </row>
    <row r="50" spans="2:21">
      <c r="B50" s="1272" t="s">
        <v>1038</v>
      </c>
      <c r="C50" s="1268"/>
      <c r="D50" s="1273"/>
      <c r="E50" s="1270"/>
      <c r="F50" s="1270"/>
      <c r="G50" s="1270"/>
      <c r="H50" s="1270"/>
      <c r="I50" s="1270"/>
      <c r="J50" s="1270"/>
      <c r="K50" s="1270"/>
      <c r="L50" s="1270"/>
      <c r="M50" s="1270"/>
      <c r="N50" s="1270"/>
      <c r="O50" s="1270"/>
      <c r="P50" s="1270"/>
      <c r="Q50" s="1270"/>
      <c r="R50" s="1270"/>
      <c r="S50" s="1270"/>
      <c r="T50" s="1270"/>
      <c r="U50" s="1271"/>
    </row>
    <row r="51" spans="2:21">
      <c r="B51" s="580"/>
      <c r="C51" s="580"/>
      <c r="D51" s="580"/>
      <c r="E51" s="580"/>
      <c r="F51" s="580"/>
      <c r="G51" s="580"/>
      <c r="H51" s="580"/>
      <c r="I51" s="580"/>
      <c r="J51" s="580"/>
      <c r="K51" s="580"/>
      <c r="L51" s="580"/>
      <c r="M51" s="580"/>
      <c r="N51" s="580"/>
      <c r="O51" s="580"/>
      <c r="P51" s="580"/>
      <c r="Q51" s="580"/>
      <c r="R51" s="580"/>
      <c r="S51" s="580"/>
      <c r="T51" s="580"/>
      <c r="U51" s="580"/>
    </row>
    <row r="52" spans="2:21">
      <c r="B52" s="576" t="s">
        <v>1989</v>
      </c>
      <c r="C52" s="580"/>
      <c r="P52" s="580"/>
      <c r="Q52" s="580"/>
      <c r="S52" s="580"/>
      <c r="T52" s="580"/>
    </row>
    <row r="53" spans="2:21">
      <c r="B53" s="1274" t="s">
        <v>1049</v>
      </c>
      <c r="C53" s="1254"/>
      <c r="D53" s="1275"/>
      <c r="E53" s="1256"/>
      <c r="F53" s="1256"/>
      <c r="G53" s="1256"/>
      <c r="H53" s="1256"/>
      <c r="I53" s="1256"/>
      <c r="J53" s="1256"/>
      <c r="K53" s="1256"/>
      <c r="L53" s="1256"/>
      <c r="M53" s="1256"/>
      <c r="N53" s="1256"/>
      <c r="O53" s="1256"/>
      <c r="P53" s="1256"/>
      <c r="Q53" s="1256"/>
      <c r="R53" s="1256"/>
      <c r="S53" s="1256"/>
      <c r="T53" s="1256"/>
      <c r="U53" s="1257"/>
    </row>
    <row r="54" spans="2:21">
      <c r="B54" s="1276" t="s">
        <v>1053</v>
      </c>
      <c r="C54" s="1259"/>
      <c r="D54" s="1260"/>
      <c r="E54" s="1248"/>
      <c r="F54" s="1248"/>
      <c r="G54" s="1248"/>
      <c r="H54" s="1248"/>
      <c r="I54" s="1248"/>
      <c r="J54" s="1248"/>
      <c r="K54" s="1248"/>
      <c r="L54" s="1248"/>
      <c r="M54" s="1248"/>
      <c r="N54" s="1248"/>
      <c r="O54" s="1248"/>
      <c r="P54" s="1248"/>
      <c r="Q54" s="1248"/>
      <c r="R54" s="1248"/>
      <c r="S54" s="1248"/>
      <c r="T54" s="1248"/>
      <c r="U54" s="1261"/>
    </row>
    <row r="55" spans="2:21">
      <c r="B55" s="1262" t="s">
        <v>1057</v>
      </c>
      <c r="C55" s="1263"/>
      <c r="D55" s="1264" t="s">
        <v>3217</v>
      </c>
      <c r="E55" s="1265"/>
      <c r="F55" s="1265"/>
      <c r="G55" s="1265"/>
      <c r="H55" s="1265"/>
      <c r="I55" s="1265"/>
      <c r="J55" s="1265"/>
      <c r="K55" s="1265"/>
      <c r="L55" s="1265"/>
      <c r="M55" s="1265"/>
      <c r="N55" s="1265"/>
      <c r="O55" s="1265"/>
      <c r="P55" s="1265"/>
      <c r="Q55" s="1265"/>
      <c r="R55" s="1265"/>
      <c r="S55" s="1265"/>
      <c r="T55" s="1265"/>
      <c r="U55" s="1266"/>
    </row>
    <row r="56" spans="2:21">
      <c r="B56" s="1267" t="s">
        <v>1061</v>
      </c>
      <c r="C56" s="1268"/>
      <c r="D56" s="1269"/>
      <c r="E56" s="1270"/>
      <c r="F56" s="1270"/>
      <c r="G56" s="1270"/>
      <c r="H56" s="1270"/>
      <c r="I56" s="1270"/>
      <c r="J56" s="1270"/>
      <c r="K56" s="1270"/>
      <c r="L56" s="1270"/>
      <c r="M56" s="1270"/>
      <c r="N56" s="1270"/>
      <c r="O56" s="1270"/>
      <c r="P56" s="1270"/>
      <c r="Q56" s="1270"/>
      <c r="R56" s="1270"/>
      <c r="S56" s="1270"/>
      <c r="T56" s="1270"/>
      <c r="U56" s="1271"/>
    </row>
  </sheetData>
  <mergeCells count="26">
    <mergeCell ref="B56:C56"/>
    <mergeCell ref="D56:U56"/>
    <mergeCell ref="B50:C50"/>
    <mergeCell ref="D50:U50"/>
    <mergeCell ref="B53:C53"/>
    <mergeCell ref="D53:U53"/>
    <mergeCell ref="B54:C54"/>
    <mergeCell ref="D54:U54"/>
    <mergeCell ref="B48:C48"/>
    <mergeCell ref="D48:U48"/>
    <mergeCell ref="B49:C49"/>
    <mergeCell ref="D49:U49"/>
    <mergeCell ref="B55:C55"/>
    <mergeCell ref="D55:U55"/>
    <mergeCell ref="B1:C1"/>
    <mergeCell ref="B2:O4"/>
    <mergeCell ref="P2:U2"/>
    <mergeCell ref="P3:U4"/>
    <mergeCell ref="B7:I7"/>
    <mergeCell ref="J7:S7"/>
    <mergeCell ref="T7:T9"/>
    <mergeCell ref="U7:U9"/>
    <mergeCell ref="B8:C8"/>
    <mergeCell ref="D8:I8"/>
    <mergeCell ref="J8:K8"/>
    <mergeCell ref="L8:S8"/>
  </mergeCells>
  <phoneticPr fontId="4" type="noConversion"/>
  <hyperlinks>
    <hyperlink ref="A1" location="List!A1" display="Top" xr:uid="{17D7EFEE-AED4-4BCA-B153-D9D40A76A95D}"/>
  </hyperlinks>
  <pageMargins left="0.3" right="0.37" top="0.75" bottom="0.75" header="0" footer="0"/>
  <pageSetup paperSize="9" orientation="portrait"/>
  <customProperties>
    <customPr name="_pios_id" r:id="rId1"/>
  </customPropertie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71673-3DAE-4380-B9A1-5A443F878CA8}">
  <sheetPr>
    <pageSetUpPr fitToPage="1"/>
  </sheetPr>
  <dimension ref="A1:U56"/>
  <sheetViews>
    <sheetView showGridLines="0" zoomScale="85" zoomScaleNormal="85" workbookViewId="0">
      <pane xSplit="9" ySplit="9" topLeftCell="M15" activePane="bottomRight" state="frozen"/>
      <selection pane="topRight" activeCell="Z22" sqref="Z22"/>
      <selection pane="bottomLeft" activeCell="Z22" sqref="Z22"/>
      <selection pane="bottomRight" activeCell="I64" sqref="I64"/>
    </sheetView>
  </sheetViews>
  <sheetFormatPr defaultColWidth="13" defaultRowHeight="13.5"/>
  <cols>
    <col min="1" max="1" width="2.25" style="576" customWidth="1"/>
    <col min="2" max="2" width="4" style="576" customWidth="1"/>
    <col min="3" max="3" width="24.75" style="576" customWidth="1"/>
    <col min="4" max="4" width="15.75" style="576" customWidth="1"/>
    <col min="5" max="5" width="4" style="576" customWidth="1"/>
    <col min="6" max="6" width="9.625" style="576" customWidth="1"/>
    <col min="7" max="7" width="6.625" style="576" customWidth="1"/>
    <col min="8" max="8" width="27.875" style="576" bestFit="1" customWidth="1"/>
    <col min="9" max="9" width="23.5" style="576" customWidth="1"/>
    <col min="10" max="10" width="4" style="576" customWidth="1"/>
    <col min="11" max="11" width="18.25" style="576" customWidth="1"/>
    <col min="12" max="12" width="16.625" style="576" customWidth="1"/>
    <col min="13" max="13" width="4.75" style="576" customWidth="1"/>
    <col min="14" max="14" width="12.625" style="576" customWidth="1"/>
    <col min="15" max="15" width="5.75" style="576" customWidth="1"/>
    <col min="16" max="17" width="24.875" style="576" customWidth="1"/>
    <col min="18" max="18" width="4.5" style="576" customWidth="1"/>
    <col min="19" max="19" width="4" style="576" customWidth="1"/>
    <col min="20" max="20" width="11.75" style="576" customWidth="1"/>
    <col min="21" max="21" width="7.75" style="576" customWidth="1"/>
    <col min="22" max="22" width="18.375" style="576" customWidth="1"/>
    <col min="23" max="26" width="2.25" style="576" customWidth="1"/>
    <col min="27" max="16384" width="13" style="576"/>
  </cols>
  <sheetData>
    <row r="1" spans="1:21">
      <c r="A1" s="575" t="s">
        <v>814</v>
      </c>
      <c r="B1" s="1224"/>
      <c r="C1" s="1224"/>
    </row>
    <row r="2" spans="1:21">
      <c r="B2" s="1225" t="s">
        <v>3308</v>
      </c>
      <c r="C2" s="1226"/>
      <c r="D2" s="1226"/>
      <c r="E2" s="1226"/>
      <c r="F2" s="1226"/>
      <c r="G2" s="1226"/>
      <c r="H2" s="1226"/>
      <c r="I2" s="1226"/>
      <c r="J2" s="1226"/>
      <c r="K2" s="1226"/>
      <c r="L2" s="1226"/>
      <c r="M2" s="1226"/>
      <c r="N2" s="1226"/>
      <c r="O2" s="1226"/>
      <c r="P2" s="1232"/>
      <c r="Q2" s="1233"/>
      <c r="R2" s="1233"/>
      <c r="S2" s="1233"/>
      <c r="T2" s="1233"/>
      <c r="U2" s="1234"/>
    </row>
    <row r="3" spans="1:21">
      <c r="B3" s="1227"/>
      <c r="C3" s="1228"/>
      <c r="D3" s="1228"/>
      <c r="E3" s="1228"/>
      <c r="F3" s="1228"/>
      <c r="G3" s="1228"/>
      <c r="H3" s="1228"/>
      <c r="I3" s="1228"/>
      <c r="J3" s="1228"/>
      <c r="K3" s="1228"/>
      <c r="L3" s="1228"/>
      <c r="M3" s="1228"/>
      <c r="N3" s="1228"/>
      <c r="O3" s="1229"/>
      <c r="P3" s="1235"/>
      <c r="Q3" s="1236"/>
      <c r="R3" s="1236"/>
      <c r="S3" s="1236"/>
      <c r="T3" s="1236"/>
      <c r="U3" s="1237"/>
    </row>
    <row r="4" spans="1:21">
      <c r="B4" s="1230"/>
      <c r="C4" s="1231"/>
      <c r="D4" s="1231"/>
      <c r="E4" s="1231"/>
      <c r="F4" s="1231"/>
      <c r="G4" s="1231"/>
      <c r="H4" s="1231"/>
      <c r="I4" s="1231"/>
      <c r="J4" s="1231"/>
      <c r="K4" s="1231"/>
      <c r="L4" s="1231"/>
      <c r="M4" s="1231"/>
      <c r="N4" s="1231"/>
      <c r="O4" s="1231"/>
      <c r="P4" s="1238"/>
      <c r="Q4" s="1231"/>
      <c r="R4" s="1231"/>
      <c r="S4" s="1231"/>
      <c r="T4" s="1231"/>
      <c r="U4" s="1239"/>
    </row>
    <row r="5" spans="1:21">
      <c r="B5" s="578"/>
      <c r="C5" s="579"/>
      <c r="D5" s="578"/>
      <c r="E5" s="578"/>
      <c r="F5" s="578"/>
      <c r="G5" s="578"/>
      <c r="H5" s="578"/>
      <c r="I5" s="578"/>
      <c r="J5" s="578"/>
      <c r="K5" s="578"/>
      <c r="L5" s="578"/>
      <c r="M5" s="578"/>
      <c r="N5" s="578"/>
      <c r="O5" s="578"/>
      <c r="P5" s="579"/>
      <c r="Q5" s="579"/>
      <c r="R5" s="578"/>
      <c r="S5" s="579"/>
      <c r="T5" s="579"/>
      <c r="U5" s="578"/>
    </row>
    <row r="6" spans="1:21">
      <c r="B6" s="576" t="s">
        <v>1967</v>
      </c>
      <c r="C6" s="580"/>
      <c r="P6" s="580"/>
      <c r="Q6" s="580"/>
      <c r="S6" s="580"/>
      <c r="T6" s="580"/>
    </row>
    <row r="7" spans="1:21">
      <c r="B7" s="1240" t="s">
        <v>1968</v>
      </c>
      <c r="C7" s="1226"/>
      <c r="D7" s="1226"/>
      <c r="E7" s="1226"/>
      <c r="F7" s="1226"/>
      <c r="G7" s="1226"/>
      <c r="H7" s="1226"/>
      <c r="I7" s="1226"/>
      <c r="J7" s="1241" t="s">
        <v>3200</v>
      </c>
      <c r="K7" s="1226"/>
      <c r="L7" s="1226"/>
      <c r="M7" s="1226"/>
      <c r="N7" s="1226"/>
      <c r="O7" s="1226"/>
      <c r="P7" s="1226"/>
      <c r="Q7" s="1226"/>
      <c r="R7" s="1226"/>
      <c r="S7" s="1226"/>
      <c r="T7" s="1242" t="s">
        <v>825</v>
      </c>
      <c r="U7" s="1245" t="s">
        <v>826</v>
      </c>
    </row>
    <row r="8" spans="1:21">
      <c r="B8" s="1247" t="s">
        <v>828</v>
      </c>
      <c r="C8" s="1248"/>
      <c r="D8" s="1249" t="s">
        <v>3309</v>
      </c>
      <c r="E8" s="1250"/>
      <c r="F8" s="1250"/>
      <c r="G8" s="1250"/>
      <c r="H8" s="1250"/>
      <c r="I8" s="1251"/>
      <c r="J8" s="1252" t="s">
        <v>1971</v>
      </c>
      <c r="K8" s="1248"/>
      <c r="L8" s="1249"/>
      <c r="M8" s="1250"/>
      <c r="N8" s="1250"/>
      <c r="O8" s="1250"/>
      <c r="P8" s="1250"/>
      <c r="Q8" s="1250"/>
      <c r="R8" s="1250"/>
      <c r="S8" s="1250"/>
      <c r="T8" s="1243"/>
      <c r="U8" s="1246"/>
    </row>
    <row r="9" spans="1:21" ht="27">
      <c r="B9" s="581" t="s">
        <v>831</v>
      </c>
      <c r="C9" s="582" t="s">
        <v>1973</v>
      </c>
      <c r="D9" s="583" t="s">
        <v>832</v>
      </c>
      <c r="E9" s="583" t="s">
        <v>833</v>
      </c>
      <c r="F9" s="583" t="s">
        <v>834</v>
      </c>
      <c r="G9" s="583" t="s">
        <v>835</v>
      </c>
      <c r="H9" s="583" t="s">
        <v>836</v>
      </c>
      <c r="I9" s="583" t="s">
        <v>3255</v>
      </c>
      <c r="J9" s="584" t="s">
        <v>831</v>
      </c>
      <c r="K9" s="582" t="s">
        <v>1973</v>
      </c>
      <c r="L9" s="583" t="s">
        <v>832</v>
      </c>
      <c r="M9" s="583" t="s">
        <v>833</v>
      </c>
      <c r="N9" s="583" t="s">
        <v>834</v>
      </c>
      <c r="O9" s="583" t="s">
        <v>835</v>
      </c>
      <c r="P9" s="583" t="s">
        <v>836</v>
      </c>
      <c r="Q9" s="583"/>
      <c r="R9" s="585" t="s">
        <v>838</v>
      </c>
      <c r="S9" s="586" t="s">
        <v>839</v>
      </c>
      <c r="T9" s="1244"/>
      <c r="U9" s="1246"/>
    </row>
    <row r="10" spans="1:21">
      <c r="B10" s="587">
        <v>1</v>
      </c>
      <c r="C10" s="588" t="s">
        <v>3310</v>
      </c>
      <c r="D10" s="589" t="s">
        <v>2090</v>
      </c>
      <c r="E10" s="590"/>
      <c r="F10" s="206" t="s">
        <v>845</v>
      </c>
      <c r="G10" s="206">
        <v>4</v>
      </c>
      <c r="H10" s="211" t="s">
        <v>1274</v>
      </c>
      <c r="I10" s="592"/>
      <c r="J10" s="587">
        <v>1</v>
      </c>
      <c r="K10" s="593"/>
      <c r="L10" s="635" t="s">
        <v>2092</v>
      </c>
      <c r="M10" s="637" t="s">
        <v>1368</v>
      </c>
      <c r="N10" s="638" t="s">
        <v>2579</v>
      </c>
      <c r="O10" s="637">
        <v>1000</v>
      </c>
      <c r="P10" s="639" t="s">
        <v>1274</v>
      </c>
      <c r="Q10" s="597"/>
      <c r="R10" s="598"/>
      <c r="S10" s="599"/>
      <c r="T10" s="600"/>
      <c r="U10" s="601"/>
    </row>
    <row r="11" spans="1:21">
      <c r="B11" s="602">
        <v>2</v>
      </c>
      <c r="C11" s="588" t="s">
        <v>3310</v>
      </c>
      <c r="D11" s="590" t="s">
        <v>1068</v>
      </c>
      <c r="E11" s="589"/>
      <c r="F11" s="107" t="s">
        <v>845</v>
      </c>
      <c r="G11" s="107">
        <v>18</v>
      </c>
      <c r="H11" s="108" t="s">
        <v>1069</v>
      </c>
      <c r="I11" s="603"/>
      <c r="J11" s="602">
        <f t="shared" ref="J11:J39" si="0">+J10+1</f>
        <v>2</v>
      </c>
      <c r="K11" s="593"/>
      <c r="L11" s="640" t="s">
        <v>2809</v>
      </c>
      <c r="M11" s="641" t="s">
        <v>1368</v>
      </c>
      <c r="N11" s="639" t="s">
        <v>2579</v>
      </c>
      <c r="O11" s="641">
        <v>1000</v>
      </c>
      <c r="P11" s="639" t="s">
        <v>1597</v>
      </c>
      <c r="Q11" s="597"/>
      <c r="R11" s="598"/>
      <c r="S11" s="599"/>
      <c r="T11" s="600"/>
      <c r="U11" s="601"/>
    </row>
    <row r="12" spans="1:21">
      <c r="B12" s="602">
        <v>3</v>
      </c>
      <c r="C12" s="588" t="s">
        <v>3310</v>
      </c>
      <c r="D12" s="590" t="s">
        <v>1318</v>
      </c>
      <c r="E12" s="589"/>
      <c r="F12" s="591" t="s">
        <v>845</v>
      </c>
      <c r="G12" s="107">
        <v>40</v>
      </c>
      <c r="H12" s="592" t="s">
        <v>3311</v>
      </c>
      <c r="I12" s="592"/>
      <c r="J12" s="602">
        <f t="shared" si="0"/>
        <v>3</v>
      </c>
      <c r="K12" s="593"/>
      <c r="L12" s="493" t="s">
        <v>3312</v>
      </c>
      <c r="M12" s="642" t="s">
        <v>1368</v>
      </c>
      <c r="N12" s="639" t="s">
        <v>2579</v>
      </c>
      <c r="O12" s="641">
        <v>1000</v>
      </c>
      <c r="P12" s="492" t="s">
        <v>3311</v>
      </c>
      <c r="Q12" s="592"/>
      <c r="R12" s="598"/>
      <c r="S12" s="599"/>
      <c r="T12" s="600"/>
      <c r="U12" s="601"/>
    </row>
    <row r="13" spans="1:21">
      <c r="B13" s="602">
        <v>4</v>
      </c>
      <c r="C13" s="588" t="s">
        <v>3310</v>
      </c>
      <c r="D13" s="590" t="s">
        <v>3313</v>
      </c>
      <c r="E13" s="589"/>
      <c r="F13" s="591" t="s">
        <v>845</v>
      </c>
      <c r="G13" s="588">
        <v>8</v>
      </c>
      <c r="H13" s="603" t="s">
        <v>3314</v>
      </c>
      <c r="I13" s="603"/>
      <c r="J13" s="602">
        <f t="shared" si="0"/>
        <v>4</v>
      </c>
      <c r="K13" s="593"/>
      <c r="L13" s="493" t="s">
        <v>3313</v>
      </c>
      <c r="M13" s="642" t="s">
        <v>1368</v>
      </c>
      <c r="N13" s="639" t="s">
        <v>2579</v>
      </c>
      <c r="O13" s="641">
        <v>1000</v>
      </c>
      <c r="P13" s="492" t="s">
        <v>3315</v>
      </c>
      <c r="Q13" s="592"/>
      <c r="R13" s="605"/>
      <c r="S13" s="606"/>
      <c r="T13" s="607"/>
      <c r="U13" s="601"/>
    </row>
    <row r="14" spans="1:21">
      <c r="B14" s="602">
        <v>5</v>
      </c>
      <c r="C14" s="588" t="s">
        <v>3310</v>
      </c>
      <c r="D14" s="590" t="s">
        <v>2181</v>
      </c>
      <c r="E14" s="589"/>
      <c r="F14" s="591" t="s">
        <v>845</v>
      </c>
      <c r="G14" s="591">
        <v>8</v>
      </c>
      <c r="H14" s="592" t="s">
        <v>2182</v>
      </c>
      <c r="I14" s="592"/>
      <c r="J14" s="602">
        <f t="shared" si="0"/>
        <v>5</v>
      </c>
      <c r="K14" s="593"/>
      <c r="L14" s="493" t="s">
        <v>2181</v>
      </c>
      <c r="M14" s="642" t="s">
        <v>1368</v>
      </c>
      <c r="N14" s="639" t="s">
        <v>2579</v>
      </c>
      <c r="O14" s="641">
        <v>1000</v>
      </c>
      <c r="P14" s="492" t="s">
        <v>2182</v>
      </c>
      <c r="Q14" s="592"/>
      <c r="R14" s="605"/>
      <c r="S14" s="606"/>
      <c r="T14" s="607"/>
      <c r="U14" s="601"/>
    </row>
    <row r="15" spans="1:21">
      <c r="B15" s="602">
        <v>6</v>
      </c>
      <c r="C15" s="588" t="s">
        <v>3310</v>
      </c>
      <c r="D15" s="590" t="s">
        <v>3316</v>
      </c>
      <c r="E15" s="589"/>
      <c r="F15" s="591" t="s">
        <v>845</v>
      </c>
      <c r="G15" s="591">
        <v>40</v>
      </c>
      <c r="H15" s="592" t="s">
        <v>3317</v>
      </c>
      <c r="I15" s="592"/>
      <c r="J15" s="602">
        <f t="shared" si="0"/>
        <v>6</v>
      </c>
      <c r="K15" s="593"/>
      <c r="L15" s="493" t="s">
        <v>3318</v>
      </c>
      <c r="M15" s="642" t="s">
        <v>1368</v>
      </c>
      <c r="N15" s="639" t="s">
        <v>2579</v>
      </c>
      <c r="O15" s="641">
        <v>1000</v>
      </c>
      <c r="P15" s="492" t="s">
        <v>3317</v>
      </c>
      <c r="Q15" s="592"/>
      <c r="R15" s="605"/>
      <c r="S15" s="599"/>
      <c r="T15" s="600"/>
      <c r="U15" s="601"/>
    </row>
    <row r="16" spans="1:21">
      <c r="B16" s="602">
        <v>7</v>
      </c>
      <c r="C16" s="588" t="s">
        <v>3310</v>
      </c>
      <c r="D16" s="729" t="s">
        <v>3319</v>
      </c>
      <c r="E16" s="589"/>
      <c r="F16" s="591" t="s">
        <v>845</v>
      </c>
      <c r="G16" s="588">
        <v>8</v>
      </c>
      <c r="H16" s="603" t="s">
        <v>799</v>
      </c>
      <c r="I16" s="603"/>
      <c r="J16" s="602">
        <f t="shared" si="0"/>
        <v>7</v>
      </c>
      <c r="K16" s="593"/>
      <c r="L16" s="493" t="s">
        <v>3313</v>
      </c>
      <c r="M16" s="642" t="s">
        <v>1368</v>
      </c>
      <c r="N16" s="639" t="s">
        <v>2579</v>
      </c>
      <c r="O16" s="641">
        <v>1000</v>
      </c>
      <c r="P16" s="492" t="s">
        <v>799</v>
      </c>
      <c r="Q16" s="592"/>
      <c r="R16" s="605"/>
      <c r="S16" s="599"/>
      <c r="T16" s="600"/>
      <c r="U16" s="601"/>
    </row>
    <row r="17" spans="2:21">
      <c r="B17" s="602">
        <v>8</v>
      </c>
      <c r="C17" s="588" t="s">
        <v>3310</v>
      </c>
      <c r="D17" s="590" t="s">
        <v>3320</v>
      </c>
      <c r="E17" s="589"/>
      <c r="F17" s="591" t="s">
        <v>845</v>
      </c>
      <c r="G17" s="591">
        <v>8</v>
      </c>
      <c r="H17" s="592" t="s">
        <v>2170</v>
      </c>
      <c r="I17" s="592" t="s">
        <v>3321</v>
      </c>
      <c r="J17" s="602">
        <f t="shared" si="0"/>
        <v>8</v>
      </c>
      <c r="K17" s="593"/>
      <c r="L17" s="493" t="s">
        <v>2169</v>
      </c>
      <c r="M17" s="642" t="s">
        <v>1368</v>
      </c>
      <c r="N17" s="639" t="s">
        <v>2579</v>
      </c>
      <c r="O17" s="641">
        <v>1000</v>
      </c>
      <c r="P17" s="492" t="s">
        <v>2170</v>
      </c>
      <c r="Q17" s="592"/>
      <c r="R17" s="605"/>
      <c r="S17" s="599"/>
      <c r="T17" s="600"/>
      <c r="U17" s="601"/>
    </row>
    <row r="18" spans="2:21">
      <c r="B18" s="602">
        <v>9</v>
      </c>
      <c r="C18" s="588" t="s">
        <v>3310</v>
      </c>
      <c r="D18" s="590" t="s">
        <v>3322</v>
      </c>
      <c r="E18" s="589"/>
      <c r="F18" s="591" t="s">
        <v>845</v>
      </c>
      <c r="G18" s="591">
        <v>2</v>
      </c>
      <c r="H18" s="592" t="s">
        <v>3323</v>
      </c>
      <c r="I18" s="592"/>
      <c r="J18" s="602">
        <f t="shared" si="0"/>
        <v>9</v>
      </c>
      <c r="K18" s="593"/>
      <c r="L18" s="640" t="s">
        <v>3322</v>
      </c>
      <c r="M18" s="641" t="s">
        <v>1368</v>
      </c>
      <c r="N18" s="639" t="s">
        <v>2579</v>
      </c>
      <c r="O18" s="641">
        <v>1000</v>
      </c>
      <c r="P18" s="639" t="s">
        <v>3315</v>
      </c>
      <c r="Q18" s="597"/>
      <c r="R18" s="598"/>
      <c r="S18" s="599"/>
      <c r="T18" s="600"/>
      <c r="U18" s="601"/>
    </row>
    <row r="19" spans="2:21">
      <c r="B19" s="602">
        <v>10</v>
      </c>
      <c r="C19" s="588" t="s">
        <v>3310</v>
      </c>
      <c r="D19" s="590" t="s">
        <v>3324</v>
      </c>
      <c r="E19" s="589"/>
      <c r="F19" s="591" t="s">
        <v>845</v>
      </c>
      <c r="G19" s="588">
        <v>6</v>
      </c>
      <c r="H19" s="592" t="s">
        <v>3325</v>
      </c>
      <c r="I19" s="609"/>
      <c r="J19" s="602">
        <f t="shared" si="0"/>
        <v>10</v>
      </c>
      <c r="K19" s="593"/>
      <c r="L19" s="493" t="s">
        <v>3324</v>
      </c>
      <c r="M19" s="642" t="s">
        <v>1368</v>
      </c>
      <c r="N19" s="639" t="s">
        <v>2579</v>
      </c>
      <c r="O19" s="641">
        <v>1000</v>
      </c>
      <c r="P19" s="492" t="s">
        <v>3325</v>
      </c>
      <c r="Q19" s="603"/>
      <c r="R19" s="598"/>
      <c r="S19" s="599"/>
      <c r="T19" s="600"/>
      <c r="U19" s="601"/>
    </row>
    <row r="20" spans="2:21">
      <c r="B20" s="602">
        <v>11</v>
      </c>
      <c r="C20" s="588" t="s">
        <v>3310</v>
      </c>
      <c r="D20" s="590" t="s">
        <v>3326</v>
      </c>
      <c r="E20" s="623"/>
      <c r="F20" s="107" t="s">
        <v>1421</v>
      </c>
      <c r="G20" s="107">
        <v>13.3</v>
      </c>
      <c r="H20" s="603" t="s">
        <v>3327</v>
      </c>
      <c r="I20" s="603"/>
      <c r="J20" s="602">
        <f t="shared" si="0"/>
        <v>11</v>
      </c>
      <c r="K20" s="593"/>
      <c r="L20" s="493" t="s">
        <v>3326</v>
      </c>
      <c r="M20" s="642" t="s">
        <v>1368</v>
      </c>
      <c r="N20" s="639" t="s">
        <v>2579</v>
      </c>
      <c r="O20" s="641">
        <v>1000</v>
      </c>
      <c r="P20" s="492" t="s">
        <v>3327</v>
      </c>
      <c r="Q20" s="603"/>
      <c r="R20" s="598"/>
      <c r="S20" s="599"/>
      <c r="T20" s="600"/>
      <c r="U20" s="601"/>
    </row>
    <row r="21" spans="2:21">
      <c r="B21" s="602">
        <v>12</v>
      </c>
      <c r="C21" s="588" t="s">
        <v>3310</v>
      </c>
      <c r="D21" s="590" t="s">
        <v>1580</v>
      </c>
      <c r="E21" s="623"/>
      <c r="F21" s="591" t="s">
        <v>845</v>
      </c>
      <c r="G21" s="107">
        <v>3</v>
      </c>
      <c r="H21" s="603" t="s">
        <v>3328</v>
      </c>
      <c r="I21" s="603"/>
      <c r="J21" s="602">
        <f t="shared" si="0"/>
        <v>12</v>
      </c>
      <c r="K21" s="593"/>
      <c r="L21" s="493" t="s">
        <v>1580</v>
      </c>
      <c r="M21" s="642" t="s">
        <v>1368</v>
      </c>
      <c r="N21" s="639" t="s">
        <v>2579</v>
      </c>
      <c r="O21" s="641">
        <v>1000</v>
      </c>
      <c r="P21" s="492" t="s">
        <v>3328</v>
      </c>
      <c r="Q21" s="603"/>
      <c r="R21" s="598"/>
      <c r="S21" s="599"/>
      <c r="T21" s="600"/>
      <c r="U21" s="601"/>
    </row>
    <row r="22" spans="2:21">
      <c r="B22" s="602">
        <v>13</v>
      </c>
      <c r="C22" s="588" t="s">
        <v>3310</v>
      </c>
      <c r="D22" s="590" t="s">
        <v>3329</v>
      </c>
      <c r="E22" s="623"/>
      <c r="F22" s="107" t="s">
        <v>1421</v>
      </c>
      <c r="G22" s="107">
        <v>9.3000000000000007</v>
      </c>
      <c r="H22" s="603" t="s">
        <v>3330</v>
      </c>
      <c r="I22" s="603"/>
      <c r="J22" s="602">
        <f t="shared" si="0"/>
        <v>13</v>
      </c>
      <c r="K22" s="593"/>
      <c r="L22" s="493" t="s">
        <v>3329</v>
      </c>
      <c r="M22" s="642" t="s">
        <v>1368</v>
      </c>
      <c r="N22" s="639" t="s">
        <v>2579</v>
      </c>
      <c r="O22" s="641">
        <v>1000</v>
      </c>
      <c r="P22" s="492" t="s">
        <v>3330</v>
      </c>
      <c r="Q22" s="592"/>
      <c r="R22" s="598"/>
      <c r="S22" s="599"/>
      <c r="T22" s="600"/>
      <c r="U22" s="601"/>
    </row>
    <row r="23" spans="2:21">
      <c r="B23" s="602">
        <v>14</v>
      </c>
      <c r="C23" s="588" t="s">
        <v>3310</v>
      </c>
      <c r="D23" s="590" t="s">
        <v>3331</v>
      </c>
      <c r="E23" s="623"/>
      <c r="F23" s="591" t="s">
        <v>845</v>
      </c>
      <c r="G23" s="107">
        <v>3</v>
      </c>
      <c r="H23" s="603" t="s">
        <v>3332</v>
      </c>
      <c r="I23" s="603"/>
      <c r="J23" s="602">
        <f t="shared" si="0"/>
        <v>14</v>
      </c>
      <c r="K23" s="593"/>
      <c r="L23" s="493" t="s">
        <v>3331</v>
      </c>
      <c r="M23" s="642" t="s">
        <v>1368</v>
      </c>
      <c r="N23" s="639" t="s">
        <v>2579</v>
      </c>
      <c r="O23" s="641">
        <v>1000</v>
      </c>
      <c r="P23" s="492" t="s">
        <v>3332</v>
      </c>
      <c r="Q23" s="592"/>
      <c r="R23" s="598"/>
      <c r="S23" s="599"/>
      <c r="T23" s="600"/>
      <c r="U23" s="601"/>
    </row>
    <row r="24" spans="2:21">
      <c r="B24" s="602">
        <v>15</v>
      </c>
      <c r="C24" s="588" t="s">
        <v>3310</v>
      </c>
      <c r="D24" s="590" t="s">
        <v>3333</v>
      </c>
      <c r="E24" s="623"/>
      <c r="F24" s="107" t="s">
        <v>1421</v>
      </c>
      <c r="G24" s="107">
        <v>9.3000000000000007</v>
      </c>
      <c r="H24" s="592" t="s">
        <v>3334</v>
      </c>
      <c r="I24" s="603"/>
      <c r="J24" s="602">
        <f t="shared" si="0"/>
        <v>15</v>
      </c>
      <c r="K24" s="593"/>
      <c r="L24" s="493" t="s">
        <v>3333</v>
      </c>
      <c r="M24" s="642" t="s">
        <v>1368</v>
      </c>
      <c r="N24" s="639" t="s">
        <v>2579</v>
      </c>
      <c r="O24" s="641">
        <v>1000</v>
      </c>
      <c r="P24" s="492" t="s">
        <v>3334</v>
      </c>
      <c r="Q24" s="603"/>
      <c r="R24" s="598"/>
      <c r="S24" s="599"/>
      <c r="T24" s="600"/>
      <c r="U24" s="601"/>
    </row>
    <row r="25" spans="2:21">
      <c r="B25" s="602">
        <v>16</v>
      </c>
      <c r="C25" s="588" t="s">
        <v>3310</v>
      </c>
      <c r="D25" s="590" t="s">
        <v>3335</v>
      </c>
      <c r="E25" s="623"/>
      <c r="F25" s="591" t="s">
        <v>845</v>
      </c>
      <c r="G25" s="107">
        <v>3</v>
      </c>
      <c r="H25" s="592" t="s">
        <v>3336</v>
      </c>
      <c r="I25" s="603"/>
      <c r="J25" s="602">
        <f t="shared" si="0"/>
        <v>16</v>
      </c>
      <c r="K25" s="593"/>
      <c r="L25" s="493" t="s">
        <v>3335</v>
      </c>
      <c r="M25" s="642" t="s">
        <v>1368</v>
      </c>
      <c r="N25" s="639" t="s">
        <v>2579</v>
      </c>
      <c r="O25" s="641">
        <v>1000</v>
      </c>
      <c r="P25" s="492" t="s">
        <v>3336</v>
      </c>
      <c r="Q25" s="603"/>
      <c r="R25" s="598"/>
      <c r="S25" s="599"/>
      <c r="T25" s="600"/>
      <c r="U25" s="601"/>
    </row>
    <row r="26" spans="2:21">
      <c r="B26" s="602">
        <v>17</v>
      </c>
      <c r="C26" s="588" t="s">
        <v>3310</v>
      </c>
      <c r="D26" s="590" t="s">
        <v>3337</v>
      </c>
      <c r="E26" s="623"/>
      <c r="F26" s="107" t="s">
        <v>1421</v>
      </c>
      <c r="G26" s="107">
        <v>9.3000000000000007</v>
      </c>
      <c r="H26" s="636" t="s">
        <v>3338</v>
      </c>
      <c r="I26" s="603"/>
      <c r="J26" s="602">
        <f t="shared" si="0"/>
        <v>17</v>
      </c>
      <c r="K26" s="593"/>
      <c r="L26" s="493" t="s">
        <v>3337</v>
      </c>
      <c r="M26" s="642" t="s">
        <v>1368</v>
      </c>
      <c r="N26" s="639" t="s">
        <v>2579</v>
      </c>
      <c r="O26" s="641">
        <v>1000</v>
      </c>
      <c r="P26" s="492" t="s">
        <v>3338</v>
      </c>
      <c r="Q26" s="603"/>
      <c r="R26" s="598"/>
      <c r="S26" s="599"/>
      <c r="T26" s="600"/>
      <c r="U26" s="601"/>
    </row>
    <row r="27" spans="2:21">
      <c r="B27" s="602">
        <v>18</v>
      </c>
      <c r="C27" s="588" t="s">
        <v>3310</v>
      </c>
      <c r="D27" s="590" t="s">
        <v>3339</v>
      </c>
      <c r="E27" s="621"/>
      <c r="F27" s="591" t="s">
        <v>845</v>
      </c>
      <c r="G27" s="107">
        <v>3</v>
      </c>
      <c r="H27" s="603" t="s">
        <v>3340</v>
      </c>
      <c r="I27" s="603"/>
      <c r="J27" s="602">
        <f t="shared" si="0"/>
        <v>18</v>
      </c>
      <c r="K27" s="593"/>
      <c r="L27" s="493" t="s">
        <v>3339</v>
      </c>
      <c r="M27" s="642" t="s">
        <v>1368</v>
      </c>
      <c r="N27" s="639" t="s">
        <v>2579</v>
      </c>
      <c r="O27" s="641">
        <v>1000</v>
      </c>
      <c r="P27" s="492" t="s">
        <v>3340</v>
      </c>
      <c r="Q27" s="603"/>
      <c r="R27" s="598"/>
      <c r="S27" s="599"/>
      <c r="T27" s="600"/>
      <c r="U27" s="601"/>
    </row>
    <row r="28" spans="2:21">
      <c r="B28" s="602">
        <v>19</v>
      </c>
      <c r="C28" s="588" t="s">
        <v>3310</v>
      </c>
      <c r="D28" s="590" t="s">
        <v>3341</v>
      </c>
      <c r="E28" s="623"/>
      <c r="F28" s="107" t="s">
        <v>1421</v>
      </c>
      <c r="G28" s="107">
        <v>9.3000000000000007</v>
      </c>
      <c r="H28" s="603" t="s">
        <v>3342</v>
      </c>
      <c r="I28" s="603"/>
      <c r="J28" s="602">
        <f t="shared" si="0"/>
        <v>19</v>
      </c>
      <c r="K28" s="593"/>
      <c r="L28" s="493" t="s">
        <v>3341</v>
      </c>
      <c r="M28" s="642" t="s">
        <v>1368</v>
      </c>
      <c r="N28" s="639" t="s">
        <v>2579</v>
      </c>
      <c r="O28" s="641">
        <v>1000</v>
      </c>
      <c r="P28" s="492" t="s">
        <v>3342</v>
      </c>
      <c r="Q28" s="603"/>
      <c r="R28" s="598"/>
      <c r="S28" s="599"/>
      <c r="T28" s="600"/>
      <c r="U28" s="601"/>
    </row>
    <row r="29" spans="2:21">
      <c r="B29" s="602">
        <v>20</v>
      </c>
      <c r="C29" s="588" t="s">
        <v>3310</v>
      </c>
      <c r="D29" s="590" t="s">
        <v>3343</v>
      </c>
      <c r="E29" s="623"/>
      <c r="F29" s="591" t="s">
        <v>845</v>
      </c>
      <c r="G29" s="107">
        <v>3</v>
      </c>
      <c r="H29" s="592" t="s">
        <v>3344</v>
      </c>
      <c r="I29" s="592"/>
      <c r="J29" s="602">
        <f t="shared" si="0"/>
        <v>20</v>
      </c>
      <c r="K29" s="593"/>
      <c r="L29" s="643" t="s">
        <v>3343</v>
      </c>
      <c r="M29" s="642" t="s">
        <v>1368</v>
      </c>
      <c r="N29" s="639" t="s">
        <v>2579</v>
      </c>
      <c r="O29" s="641">
        <v>1000</v>
      </c>
      <c r="P29" s="492" t="s">
        <v>3344</v>
      </c>
      <c r="Q29" s="592"/>
      <c r="R29" s="598"/>
      <c r="S29" s="599"/>
      <c r="T29" s="600"/>
      <c r="U29" s="601"/>
    </row>
    <row r="30" spans="2:21">
      <c r="B30" s="602">
        <v>21</v>
      </c>
      <c r="C30" s="588" t="s">
        <v>3310</v>
      </c>
      <c r="D30" s="590" t="s">
        <v>3345</v>
      </c>
      <c r="E30" s="589"/>
      <c r="F30" s="107" t="s">
        <v>1421</v>
      </c>
      <c r="G30" s="107">
        <v>6</v>
      </c>
      <c r="H30" s="592" t="s">
        <v>3346</v>
      </c>
      <c r="I30" s="592"/>
      <c r="J30" s="602">
        <f t="shared" si="0"/>
        <v>21</v>
      </c>
      <c r="K30" s="593"/>
      <c r="L30" s="644" t="s">
        <v>3347</v>
      </c>
      <c r="M30" s="642" t="s">
        <v>1368</v>
      </c>
      <c r="N30" s="639" t="s">
        <v>2579</v>
      </c>
      <c r="O30" s="641">
        <v>1000</v>
      </c>
      <c r="P30" s="492" t="s">
        <v>3346</v>
      </c>
      <c r="Q30" s="592"/>
      <c r="R30" s="598"/>
      <c r="S30" s="599"/>
      <c r="T30" s="600"/>
      <c r="U30" s="601"/>
    </row>
    <row r="31" spans="2:21">
      <c r="B31" s="602">
        <v>22</v>
      </c>
      <c r="C31" s="588" t="s">
        <v>3310</v>
      </c>
      <c r="D31" s="590" t="s">
        <v>3348</v>
      </c>
      <c r="E31" s="623"/>
      <c r="F31" s="107" t="s">
        <v>1421</v>
      </c>
      <c r="G31" s="107">
        <v>13.3</v>
      </c>
      <c r="H31" s="592" t="s">
        <v>3349</v>
      </c>
      <c r="I31" s="592"/>
      <c r="J31" s="602">
        <f t="shared" si="0"/>
        <v>22</v>
      </c>
      <c r="K31" s="593"/>
      <c r="L31" s="644" t="s">
        <v>3348</v>
      </c>
      <c r="M31" s="642" t="s">
        <v>1368</v>
      </c>
      <c r="N31" s="639" t="s">
        <v>2579</v>
      </c>
      <c r="O31" s="641">
        <v>1000</v>
      </c>
      <c r="P31" s="492" t="s">
        <v>3349</v>
      </c>
      <c r="Q31" s="592"/>
      <c r="R31" s="598"/>
      <c r="S31" s="599"/>
      <c r="T31" s="600"/>
      <c r="U31" s="601"/>
    </row>
    <row r="32" spans="2:21">
      <c r="B32" s="602">
        <v>23</v>
      </c>
      <c r="C32" s="588" t="s">
        <v>3310</v>
      </c>
      <c r="D32" s="590" t="s">
        <v>3350</v>
      </c>
      <c r="E32" s="623"/>
      <c r="F32" s="107" t="s">
        <v>1421</v>
      </c>
      <c r="G32" s="107">
        <v>13.3</v>
      </c>
      <c r="H32" s="592" t="s">
        <v>3351</v>
      </c>
      <c r="I32" s="592"/>
      <c r="J32" s="602">
        <f t="shared" si="0"/>
        <v>23</v>
      </c>
      <c r="K32" s="593"/>
      <c r="L32" s="644" t="s">
        <v>3350</v>
      </c>
      <c r="M32" s="642" t="s">
        <v>1368</v>
      </c>
      <c r="N32" s="639" t="s">
        <v>2579</v>
      </c>
      <c r="O32" s="641">
        <v>1000</v>
      </c>
      <c r="P32" s="492" t="s">
        <v>3351</v>
      </c>
      <c r="Q32" s="592"/>
      <c r="R32" s="598"/>
      <c r="S32" s="599"/>
      <c r="T32" s="600"/>
      <c r="U32" s="601"/>
    </row>
    <row r="33" spans="2:21">
      <c r="B33" s="602">
        <v>24</v>
      </c>
      <c r="C33" s="588" t="s">
        <v>3310</v>
      </c>
      <c r="D33" s="590" t="s">
        <v>3352</v>
      </c>
      <c r="E33" s="623"/>
      <c r="F33" s="591" t="s">
        <v>845</v>
      </c>
      <c r="G33" s="107">
        <v>20</v>
      </c>
      <c r="H33" s="592" t="s">
        <v>3353</v>
      </c>
      <c r="I33" s="592"/>
      <c r="J33" s="602">
        <f t="shared" si="0"/>
        <v>24</v>
      </c>
      <c r="K33" s="593"/>
      <c r="L33" s="644" t="s">
        <v>3352</v>
      </c>
      <c r="M33" s="642" t="s">
        <v>1368</v>
      </c>
      <c r="N33" s="639" t="s">
        <v>2579</v>
      </c>
      <c r="O33" s="641">
        <v>1000</v>
      </c>
      <c r="P33" s="492" t="s">
        <v>3353</v>
      </c>
      <c r="Q33" s="592"/>
      <c r="R33" s="598"/>
      <c r="S33" s="599"/>
      <c r="T33" s="600"/>
      <c r="U33" s="601"/>
    </row>
    <row r="34" spans="2:21">
      <c r="B34" s="602">
        <v>25</v>
      </c>
      <c r="C34" s="588" t="s">
        <v>3310</v>
      </c>
      <c r="D34" s="590" t="s">
        <v>3354</v>
      </c>
      <c r="E34" s="623"/>
      <c r="F34" s="591" t="s">
        <v>845</v>
      </c>
      <c r="G34" s="107">
        <v>20</v>
      </c>
      <c r="H34" s="592" t="s">
        <v>3355</v>
      </c>
      <c r="I34" s="592"/>
      <c r="J34" s="602">
        <f t="shared" si="0"/>
        <v>25</v>
      </c>
      <c r="K34" s="593"/>
      <c r="L34" s="644" t="s">
        <v>3354</v>
      </c>
      <c r="M34" s="642" t="s">
        <v>1368</v>
      </c>
      <c r="N34" s="639" t="s">
        <v>2579</v>
      </c>
      <c r="O34" s="641">
        <v>1000</v>
      </c>
      <c r="P34" s="492" t="s">
        <v>3355</v>
      </c>
      <c r="Q34" s="592"/>
      <c r="R34" s="598"/>
      <c r="S34" s="599"/>
      <c r="T34" s="600"/>
      <c r="U34" s="601"/>
    </row>
    <row r="35" spans="2:21">
      <c r="B35" s="602">
        <v>26</v>
      </c>
      <c r="C35" s="588" t="s">
        <v>3310</v>
      </c>
      <c r="D35" s="590" t="s">
        <v>3356</v>
      </c>
      <c r="E35" s="589"/>
      <c r="F35" s="591" t="s">
        <v>845</v>
      </c>
      <c r="G35" s="107">
        <v>10</v>
      </c>
      <c r="H35" s="592" t="s">
        <v>3357</v>
      </c>
      <c r="I35" s="592"/>
      <c r="J35" s="602">
        <f t="shared" si="0"/>
        <v>26</v>
      </c>
      <c r="K35" s="593"/>
      <c r="L35" s="644" t="s">
        <v>3358</v>
      </c>
      <c r="M35" s="642" t="s">
        <v>1368</v>
      </c>
      <c r="N35" s="639" t="s">
        <v>2579</v>
      </c>
      <c r="O35" s="641">
        <v>1000</v>
      </c>
      <c r="P35" s="492" t="s">
        <v>3357</v>
      </c>
      <c r="Q35" s="592"/>
      <c r="R35" s="598"/>
      <c r="S35" s="599"/>
      <c r="T35" s="600"/>
      <c r="U35" s="601"/>
    </row>
    <row r="36" spans="2:21">
      <c r="B36" s="602">
        <v>27</v>
      </c>
      <c r="C36" s="588" t="s">
        <v>3310</v>
      </c>
      <c r="D36" s="590" t="s">
        <v>3359</v>
      </c>
      <c r="E36" s="589"/>
      <c r="F36" s="591" t="s">
        <v>845</v>
      </c>
      <c r="G36" s="107">
        <v>10</v>
      </c>
      <c r="H36" s="592" t="s">
        <v>3360</v>
      </c>
      <c r="I36" s="592"/>
      <c r="J36" s="602">
        <f t="shared" si="0"/>
        <v>27</v>
      </c>
      <c r="K36" s="593"/>
      <c r="L36" s="644" t="s">
        <v>3361</v>
      </c>
      <c r="M36" s="642" t="s">
        <v>1368</v>
      </c>
      <c r="N36" s="639" t="s">
        <v>2579</v>
      </c>
      <c r="O36" s="641">
        <v>1000</v>
      </c>
      <c r="P36" s="492" t="s">
        <v>3360</v>
      </c>
      <c r="Q36" s="592"/>
      <c r="R36" s="598"/>
      <c r="S36" s="599"/>
      <c r="T36" s="600"/>
      <c r="U36" s="601"/>
    </row>
    <row r="37" spans="2:21">
      <c r="B37" s="602">
        <v>28</v>
      </c>
      <c r="C37" s="588" t="s">
        <v>3310</v>
      </c>
      <c r="D37" s="729" t="s">
        <v>3362</v>
      </c>
      <c r="E37" s="589"/>
      <c r="F37" s="107" t="s">
        <v>1421</v>
      </c>
      <c r="G37" s="107">
        <v>13.3</v>
      </c>
      <c r="H37" s="592" t="s">
        <v>1311</v>
      </c>
      <c r="I37" s="592"/>
      <c r="J37" s="602">
        <f t="shared" si="0"/>
        <v>28</v>
      </c>
      <c r="K37" s="593"/>
      <c r="L37" s="644" t="s">
        <v>3362</v>
      </c>
      <c r="M37" s="642" t="s">
        <v>1368</v>
      </c>
      <c r="N37" s="639" t="s">
        <v>2579</v>
      </c>
      <c r="O37" s="641">
        <v>1000</v>
      </c>
      <c r="P37" s="492" t="s">
        <v>1311</v>
      </c>
      <c r="Q37" s="592"/>
      <c r="R37" s="598"/>
      <c r="S37" s="599"/>
      <c r="T37" s="600"/>
      <c r="U37" s="601"/>
    </row>
    <row r="38" spans="2:21">
      <c r="B38" s="602">
        <v>29</v>
      </c>
      <c r="C38" s="588" t="s">
        <v>3310</v>
      </c>
      <c r="D38" s="590" t="s">
        <v>3363</v>
      </c>
      <c r="E38" s="589"/>
      <c r="F38" s="107" t="s">
        <v>1421</v>
      </c>
      <c r="G38" s="107">
        <v>13.3</v>
      </c>
      <c r="H38" s="592" t="s">
        <v>3364</v>
      </c>
      <c r="I38" s="592"/>
      <c r="J38" s="602">
        <f t="shared" si="0"/>
        <v>29</v>
      </c>
      <c r="K38" s="593"/>
      <c r="L38" s="644" t="s">
        <v>3363</v>
      </c>
      <c r="M38" s="642" t="s">
        <v>1368</v>
      </c>
      <c r="N38" s="639" t="s">
        <v>2579</v>
      </c>
      <c r="O38" s="641">
        <v>1000</v>
      </c>
      <c r="P38" s="492" t="s">
        <v>3364</v>
      </c>
      <c r="Q38" s="592"/>
      <c r="R38" s="598"/>
      <c r="S38" s="599"/>
      <c r="T38" s="600"/>
      <c r="U38" s="601"/>
    </row>
    <row r="39" spans="2:21">
      <c r="B39" s="602">
        <v>30</v>
      </c>
      <c r="C39" s="730" t="s">
        <v>3310</v>
      </c>
      <c r="D39" s="731" t="s">
        <v>3362</v>
      </c>
      <c r="E39" s="680"/>
      <c r="F39" s="574" t="s">
        <v>1421</v>
      </c>
      <c r="G39" s="574">
        <v>13.3</v>
      </c>
      <c r="H39" s="732" t="s">
        <v>3365</v>
      </c>
      <c r="I39" s="732" t="s">
        <v>3366</v>
      </c>
      <c r="J39" s="602">
        <f t="shared" si="0"/>
        <v>30</v>
      </c>
      <c r="K39" s="733"/>
      <c r="L39" s="734" t="s">
        <v>3362</v>
      </c>
      <c r="M39" s="735" t="s">
        <v>1368</v>
      </c>
      <c r="N39" s="736" t="s">
        <v>2579</v>
      </c>
      <c r="O39" s="737">
        <v>1000</v>
      </c>
      <c r="P39" s="738" t="s">
        <v>3365</v>
      </c>
      <c r="Q39" s="732"/>
      <c r="R39" s="739"/>
      <c r="S39" s="599"/>
      <c r="T39" s="600"/>
      <c r="U39" s="601"/>
    </row>
    <row r="40" spans="2:21">
      <c r="B40" s="602"/>
      <c r="C40" s="588"/>
      <c r="D40" s="590"/>
      <c r="E40" s="589"/>
      <c r="F40" s="591"/>
      <c r="G40" s="591"/>
      <c r="H40" s="592"/>
      <c r="I40" s="592"/>
      <c r="J40" s="602">
        <f t="shared" ref="J40:J44" si="1">+J39+1</f>
        <v>31</v>
      </c>
      <c r="K40" s="593"/>
      <c r="L40" s="644"/>
      <c r="M40" s="642"/>
      <c r="N40" s="639"/>
      <c r="O40" s="641"/>
      <c r="P40" s="492"/>
      <c r="Q40" s="592"/>
      <c r="R40" s="598"/>
      <c r="S40" s="599"/>
      <c r="T40" s="600"/>
      <c r="U40" s="601"/>
    </row>
    <row r="41" spans="2:21">
      <c r="B41" s="602"/>
      <c r="C41" s="588"/>
      <c r="D41" s="590"/>
      <c r="E41" s="623"/>
      <c r="F41" s="591"/>
      <c r="G41" s="621"/>
      <c r="H41" s="592"/>
      <c r="I41" s="592"/>
      <c r="J41" s="602">
        <f t="shared" si="1"/>
        <v>32</v>
      </c>
      <c r="K41" s="593"/>
      <c r="L41" s="644"/>
      <c r="M41" s="642"/>
      <c r="N41" s="639"/>
      <c r="O41" s="641"/>
      <c r="P41" s="492"/>
      <c r="Q41" s="592"/>
      <c r="R41" s="598"/>
      <c r="S41" s="599"/>
      <c r="T41" s="600"/>
      <c r="U41" s="601"/>
    </row>
    <row r="42" spans="2:21">
      <c r="B42" s="602"/>
      <c r="C42" s="621"/>
      <c r="D42" s="622"/>
      <c r="E42" s="623"/>
      <c r="F42" s="621"/>
      <c r="G42" s="621"/>
      <c r="H42" s="625"/>
      <c r="I42" s="592"/>
      <c r="J42" s="602">
        <f t="shared" si="1"/>
        <v>33</v>
      </c>
      <c r="K42" s="593"/>
      <c r="L42" s="628"/>
      <c r="M42" s="589"/>
      <c r="N42" s="604"/>
      <c r="O42" s="588"/>
      <c r="P42" s="592"/>
      <c r="Q42" s="592"/>
      <c r="R42" s="598"/>
      <c r="S42" s="599"/>
      <c r="T42" s="600"/>
      <c r="U42" s="601"/>
    </row>
    <row r="43" spans="2:21">
      <c r="B43" s="602"/>
      <c r="C43" s="621"/>
      <c r="D43" s="622"/>
      <c r="E43" s="623"/>
      <c r="F43" s="621"/>
      <c r="G43" s="621"/>
      <c r="H43" s="625"/>
      <c r="I43" s="592"/>
      <c r="J43" s="602">
        <f t="shared" si="1"/>
        <v>34</v>
      </c>
      <c r="K43" s="593"/>
      <c r="L43" s="628"/>
      <c r="M43" s="589"/>
      <c r="N43" s="604"/>
      <c r="O43" s="588"/>
      <c r="P43" s="592"/>
      <c r="Q43" s="592"/>
      <c r="R43" s="598"/>
      <c r="S43" s="599"/>
      <c r="T43" s="600"/>
      <c r="U43" s="601"/>
    </row>
    <row r="44" spans="2:21">
      <c r="B44" s="602"/>
      <c r="C44" s="621"/>
      <c r="D44" s="622"/>
      <c r="E44" s="623"/>
      <c r="F44" s="621"/>
      <c r="G44" s="621"/>
      <c r="H44" s="625"/>
      <c r="I44" s="592"/>
      <c r="J44" s="602">
        <f t="shared" si="1"/>
        <v>35</v>
      </c>
      <c r="K44" s="593"/>
      <c r="L44" s="628"/>
      <c r="M44" s="589"/>
      <c r="N44" s="604"/>
      <c r="O44" s="588"/>
      <c r="P44" s="592"/>
      <c r="Q44" s="592"/>
      <c r="R44" s="598"/>
      <c r="S44" s="599"/>
      <c r="T44" s="600"/>
      <c r="U44" s="601"/>
    </row>
    <row r="45" spans="2:21">
      <c r="B45" s="629"/>
      <c r="C45" s="630"/>
      <c r="D45" s="631"/>
      <c r="E45" s="630"/>
      <c r="F45" s="630"/>
      <c r="G45" s="630"/>
      <c r="H45" s="630"/>
      <c r="I45" s="631"/>
      <c r="J45" s="629"/>
      <c r="K45" s="632"/>
      <c r="L45" s="631"/>
      <c r="M45" s="630"/>
      <c r="N45" s="604"/>
      <c r="O45" s="588"/>
      <c r="P45" s="631"/>
      <c r="Q45" s="631"/>
      <c r="R45" s="630"/>
      <c r="S45" s="633"/>
      <c r="T45" s="633"/>
      <c r="U45" s="634"/>
    </row>
    <row r="46" spans="2:21">
      <c r="B46" s="578"/>
      <c r="C46" s="579"/>
      <c r="D46" s="578"/>
      <c r="E46" s="578"/>
      <c r="F46" s="578"/>
      <c r="G46" s="578"/>
      <c r="H46" s="578"/>
      <c r="I46" s="578"/>
      <c r="J46" s="578"/>
      <c r="K46" s="578"/>
      <c r="L46" s="578"/>
      <c r="M46" s="578"/>
      <c r="N46" s="578"/>
      <c r="O46" s="578"/>
      <c r="P46" s="579"/>
      <c r="Q46" s="579"/>
      <c r="R46" s="578"/>
      <c r="S46" s="579"/>
      <c r="T46" s="579"/>
      <c r="U46" s="578"/>
    </row>
    <row r="47" spans="2:21">
      <c r="B47" s="576" t="s">
        <v>1988</v>
      </c>
      <c r="C47" s="580"/>
      <c r="P47" s="580"/>
      <c r="Q47" s="580"/>
      <c r="S47" s="580"/>
      <c r="T47" s="580"/>
    </row>
    <row r="48" spans="2:21">
      <c r="B48" s="1253" t="s">
        <v>826</v>
      </c>
      <c r="C48" s="1254"/>
      <c r="D48" s="1255" t="s">
        <v>1029</v>
      </c>
      <c r="E48" s="1256"/>
      <c r="F48" s="1256"/>
      <c r="G48" s="1256"/>
      <c r="H48" s="1256"/>
      <c r="I48" s="1256"/>
      <c r="J48" s="1256"/>
      <c r="K48" s="1256"/>
      <c r="L48" s="1256"/>
      <c r="M48" s="1256"/>
      <c r="N48" s="1256"/>
      <c r="O48" s="1256"/>
      <c r="P48" s="1256"/>
      <c r="Q48" s="1256"/>
      <c r="R48" s="1256"/>
      <c r="S48" s="1256"/>
      <c r="T48" s="1256"/>
      <c r="U48" s="1257"/>
    </row>
    <row r="49" spans="2:21">
      <c r="B49" s="1258" t="s">
        <v>1033</v>
      </c>
      <c r="C49" s="1259"/>
      <c r="D49" s="1260"/>
      <c r="E49" s="1248"/>
      <c r="F49" s="1248"/>
      <c r="G49" s="1248"/>
      <c r="H49" s="1248"/>
      <c r="I49" s="1248"/>
      <c r="J49" s="1248"/>
      <c r="K49" s="1248"/>
      <c r="L49" s="1248"/>
      <c r="M49" s="1248"/>
      <c r="N49" s="1248"/>
      <c r="O49" s="1248"/>
      <c r="P49" s="1248"/>
      <c r="Q49" s="1248"/>
      <c r="R49" s="1248"/>
      <c r="S49" s="1248"/>
      <c r="T49" s="1248"/>
      <c r="U49" s="1261"/>
    </row>
    <row r="50" spans="2:21">
      <c r="B50" s="1272" t="s">
        <v>1038</v>
      </c>
      <c r="C50" s="1268"/>
      <c r="D50" s="1273"/>
      <c r="E50" s="1270"/>
      <c r="F50" s="1270"/>
      <c r="G50" s="1270"/>
      <c r="H50" s="1270"/>
      <c r="I50" s="1270"/>
      <c r="J50" s="1270"/>
      <c r="K50" s="1270"/>
      <c r="L50" s="1270"/>
      <c r="M50" s="1270"/>
      <c r="N50" s="1270"/>
      <c r="O50" s="1270"/>
      <c r="P50" s="1270"/>
      <c r="Q50" s="1270"/>
      <c r="R50" s="1270"/>
      <c r="S50" s="1270"/>
      <c r="T50" s="1270"/>
      <c r="U50" s="1271"/>
    </row>
    <row r="51" spans="2:21">
      <c r="B51" s="580"/>
      <c r="C51" s="580"/>
      <c r="D51" s="580"/>
      <c r="E51" s="580"/>
      <c r="F51" s="580"/>
      <c r="G51" s="580"/>
      <c r="H51" s="580"/>
      <c r="I51" s="580"/>
      <c r="J51" s="580"/>
      <c r="K51" s="580"/>
      <c r="L51" s="580"/>
      <c r="M51" s="580"/>
      <c r="N51" s="580"/>
      <c r="O51" s="580"/>
      <c r="P51" s="580"/>
      <c r="Q51" s="580"/>
      <c r="R51" s="580"/>
      <c r="S51" s="580"/>
      <c r="T51" s="580"/>
      <c r="U51" s="580"/>
    </row>
    <row r="52" spans="2:21">
      <c r="B52" s="576" t="s">
        <v>1989</v>
      </c>
      <c r="C52" s="580"/>
      <c r="P52" s="580"/>
      <c r="Q52" s="580"/>
      <c r="S52" s="580"/>
      <c r="T52" s="580"/>
    </row>
    <row r="53" spans="2:21">
      <c r="B53" s="1274" t="s">
        <v>1049</v>
      </c>
      <c r="C53" s="1254"/>
      <c r="D53" s="1275"/>
      <c r="E53" s="1256"/>
      <c r="F53" s="1256"/>
      <c r="G53" s="1256"/>
      <c r="H53" s="1256"/>
      <c r="I53" s="1256"/>
      <c r="J53" s="1256"/>
      <c r="K53" s="1256"/>
      <c r="L53" s="1256"/>
      <c r="M53" s="1256"/>
      <c r="N53" s="1256"/>
      <c r="O53" s="1256"/>
      <c r="P53" s="1256"/>
      <c r="Q53" s="1256"/>
      <c r="R53" s="1256"/>
      <c r="S53" s="1256"/>
      <c r="T53" s="1256"/>
      <c r="U53" s="1257"/>
    </row>
    <row r="54" spans="2:21">
      <c r="B54" s="1276" t="s">
        <v>1053</v>
      </c>
      <c r="C54" s="1259"/>
      <c r="D54" s="1260"/>
      <c r="E54" s="1248"/>
      <c r="F54" s="1248"/>
      <c r="G54" s="1248"/>
      <c r="H54" s="1248"/>
      <c r="I54" s="1248"/>
      <c r="J54" s="1248"/>
      <c r="K54" s="1248"/>
      <c r="L54" s="1248"/>
      <c r="M54" s="1248"/>
      <c r="N54" s="1248"/>
      <c r="O54" s="1248"/>
      <c r="P54" s="1248"/>
      <c r="Q54" s="1248"/>
      <c r="R54" s="1248"/>
      <c r="S54" s="1248"/>
      <c r="T54" s="1248"/>
      <c r="U54" s="1261"/>
    </row>
    <row r="55" spans="2:21">
      <c r="B55" s="1262" t="s">
        <v>1057</v>
      </c>
      <c r="C55" s="1263"/>
      <c r="D55" s="1264" t="s">
        <v>3217</v>
      </c>
      <c r="E55" s="1265"/>
      <c r="F55" s="1265"/>
      <c r="G55" s="1265"/>
      <c r="H55" s="1265"/>
      <c r="I55" s="1265"/>
      <c r="J55" s="1265"/>
      <c r="K55" s="1265"/>
      <c r="L55" s="1265"/>
      <c r="M55" s="1265"/>
      <c r="N55" s="1265"/>
      <c r="O55" s="1265"/>
      <c r="P55" s="1265"/>
      <c r="Q55" s="1265"/>
      <c r="R55" s="1265"/>
      <c r="S55" s="1265"/>
      <c r="T55" s="1265"/>
      <c r="U55" s="1266"/>
    </row>
    <row r="56" spans="2:21">
      <c r="B56" s="1267" t="s">
        <v>1061</v>
      </c>
      <c r="C56" s="1268"/>
      <c r="D56" s="1269"/>
      <c r="E56" s="1270"/>
      <c r="F56" s="1270"/>
      <c r="G56" s="1270"/>
      <c r="H56" s="1270"/>
      <c r="I56" s="1270"/>
      <c r="J56" s="1270"/>
      <c r="K56" s="1270"/>
      <c r="L56" s="1270"/>
      <c r="M56" s="1270"/>
      <c r="N56" s="1270"/>
      <c r="O56" s="1270"/>
      <c r="P56" s="1270"/>
      <c r="Q56" s="1270"/>
      <c r="R56" s="1270"/>
      <c r="S56" s="1270"/>
      <c r="T56" s="1270"/>
      <c r="U56" s="1271"/>
    </row>
  </sheetData>
  <mergeCells count="26">
    <mergeCell ref="B56:C56"/>
    <mergeCell ref="D56:U56"/>
    <mergeCell ref="B50:C50"/>
    <mergeCell ref="D50:U50"/>
    <mergeCell ref="B53:C53"/>
    <mergeCell ref="D53:U53"/>
    <mergeCell ref="B54:C54"/>
    <mergeCell ref="D54:U54"/>
    <mergeCell ref="B48:C48"/>
    <mergeCell ref="D48:U48"/>
    <mergeCell ref="B49:C49"/>
    <mergeCell ref="D49:U49"/>
    <mergeCell ref="B55:C55"/>
    <mergeCell ref="D55:U55"/>
    <mergeCell ref="B1:C1"/>
    <mergeCell ref="B2:O4"/>
    <mergeCell ref="P2:U2"/>
    <mergeCell ref="P3:U4"/>
    <mergeCell ref="B7:I7"/>
    <mergeCell ref="J7:S7"/>
    <mergeCell ref="T7:T9"/>
    <mergeCell ref="U7:U9"/>
    <mergeCell ref="B8:C8"/>
    <mergeCell ref="D8:I8"/>
    <mergeCell ref="J8:K8"/>
    <mergeCell ref="L8:S8"/>
  </mergeCells>
  <phoneticPr fontId="4" type="noConversion"/>
  <hyperlinks>
    <hyperlink ref="A1" location="List!A1" display="Top" xr:uid="{428D63EC-369C-4648-8974-75070FA099F4}"/>
  </hyperlinks>
  <pageMargins left="0.3" right="0.37" top="0.75" bottom="0.75" header="0" footer="0"/>
  <pageSetup paperSize="9" orientation="portrait"/>
  <customProperties>
    <customPr name="_pios_id" r:id="rId1"/>
  </customPropertie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DC4A-3E5F-4FF6-8FA4-8877BE6474B0}">
  <sheetPr>
    <pageSetUpPr fitToPage="1"/>
  </sheetPr>
  <dimension ref="A1:U62"/>
  <sheetViews>
    <sheetView showGridLines="0" zoomScale="85" zoomScaleNormal="85" workbookViewId="0"/>
  </sheetViews>
  <sheetFormatPr defaultColWidth="13" defaultRowHeight="13.5"/>
  <cols>
    <col min="1" max="1" width="2.25" style="576" customWidth="1"/>
    <col min="2" max="2" width="4" style="576" customWidth="1"/>
    <col min="3" max="3" width="24.75" style="576" customWidth="1"/>
    <col min="4" max="4" width="15.75" style="576" customWidth="1"/>
    <col min="5" max="5" width="4" style="576" customWidth="1"/>
    <col min="6" max="6" width="9.625" style="576" customWidth="1"/>
    <col min="7" max="7" width="6.625" style="576" customWidth="1"/>
    <col min="8" max="8" width="27.875" style="576" bestFit="1" customWidth="1"/>
    <col min="9" max="9" width="23.5" style="576" customWidth="1"/>
    <col min="10" max="10" width="4" style="576" customWidth="1"/>
    <col min="11" max="11" width="18.25" style="576" customWidth="1"/>
    <col min="12" max="12" width="16.625" style="576" customWidth="1"/>
    <col min="13" max="13" width="4.75" style="576" customWidth="1"/>
    <col min="14" max="14" width="14.625" style="576" customWidth="1"/>
    <col min="15" max="15" width="5.75" style="576" customWidth="1"/>
    <col min="16" max="17" width="24.875" style="576" customWidth="1"/>
    <col min="18" max="18" width="4.5" style="576" customWidth="1"/>
    <col min="19" max="19" width="4" style="576" customWidth="1"/>
    <col min="20" max="20" width="11.75" style="576" customWidth="1"/>
    <col min="21" max="21" width="7.75" style="576" customWidth="1"/>
    <col min="22" max="22" width="18.375" style="576" customWidth="1"/>
    <col min="23" max="26" width="2.25" style="576" customWidth="1"/>
    <col min="27" max="16384" width="13" style="576"/>
  </cols>
  <sheetData>
    <row r="1" spans="1:21">
      <c r="A1" s="575" t="s">
        <v>2509</v>
      </c>
      <c r="B1" s="1224"/>
      <c r="C1" s="1224"/>
    </row>
    <row r="2" spans="1:21">
      <c r="B2" s="1225" t="s">
        <v>3367</v>
      </c>
      <c r="C2" s="1226"/>
      <c r="D2" s="1226"/>
      <c r="E2" s="1226"/>
      <c r="F2" s="1226"/>
      <c r="G2" s="1226"/>
      <c r="H2" s="1226"/>
      <c r="I2" s="1226"/>
      <c r="J2" s="1226"/>
      <c r="K2" s="1226"/>
      <c r="L2" s="1226"/>
      <c r="M2" s="1226"/>
      <c r="N2" s="1226"/>
      <c r="O2" s="1226"/>
      <c r="P2" s="1232"/>
      <c r="Q2" s="1233"/>
      <c r="R2" s="1233"/>
      <c r="S2" s="1233"/>
      <c r="T2" s="1233"/>
      <c r="U2" s="1234"/>
    </row>
    <row r="3" spans="1:21">
      <c r="B3" s="1227"/>
      <c r="C3" s="1228"/>
      <c r="D3" s="1228"/>
      <c r="E3" s="1228"/>
      <c r="F3" s="1228"/>
      <c r="G3" s="1228"/>
      <c r="H3" s="1228"/>
      <c r="I3" s="1228"/>
      <c r="J3" s="1228"/>
      <c r="K3" s="1228"/>
      <c r="L3" s="1228"/>
      <c r="M3" s="1228"/>
      <c r="N3" s="1228"/>
      <c r="O3" s="1229"/>
      <c r="P3" s="1235"/>
      <c r="Q3" s="1236"/>
      <c r="R3" s="1236"/>
      <c r="S3" s="1236"/>
      <c r="T3" s="1236"/>
      <c r="U3" s="1237"/>
    </row>
    <row r="4" spans="1:21">
      <c r="B4" s="1230"/>
      <c r="C4" s="1231"/>
      <c r="D4" s="1231"/>
      <c r="E4" s="1231"/>
      <c r="F4" s="1231"/>
      <c r="G4" s="1231"/>
      <c r="H4" s="1231"/>
      <c r="I4" s="1231"/>
      <c r="J4" s="1231"/>
      <c r="K4" s="1231"/>
      <c r="L4" s="1231"/>
      <c r="M4" s="1231"/>
      <c r="N4" s="1231"/>
      <c r="O4" s="1231"/>
      <c r="P4" s="1238"/>
      <c r="Q4" s="1231"/>
      <c r="R4" s="1231"/>
      <c r="S4" s="1231"/>
      <c r="T4" s="1231"/>
      <c r="U4" s="1239"/>
    </row>
    <row r="5" spans="1:21">
      <c r="B5" s="578"/>
      <c r="C5" s="579"/>
      <c r="D5" s="578"/>
      <c r="E5" s="578"/>
      <c r="F5" s="578"/>
      <c r="G5" s="578"/>
      <c r="H5" s="578"/>
      <c r="I5" s="578"/>
      <c r="J5" s="578"/>
      <c r="K5" s="578"/>
      <c r="L5" s="578"/>
      <c r="M5" s="578"/>
      <c r="N5" s="578"/>
      <c r="O5" s="578"/>
      <c r="P5" s="579"/>
      <c r="Q5" s="579"/>
      <c r="R5" s="578"/>
      <c r="S5" s="579"/>
      <c r="T5" s="579"/>
      <c r="U5" s="578"/>
    </row>
    <row r="6" spans="1:21">
      <c r="B6" s="576" t="s">
        <v>1967</v>
      </c>
      <c r="C6" s="580"/>
      <c r="P6" s="580"/>
      <c r="Q6" s="580"/>
      <c r="S6" s="580"/>
      <c r="T6" s="580"/>
    </row>
    <row r="7" spans="1:21">
      <c r="B7" s="1240" t="s">
        <v>1968</v>
      </c>
      <c r="C7" s="1226"/>
      <c r="D7" s="1226"/>
      <c r="E7" s="1226"/>
      <c r="F7" s="1226"/>
      <c r="G7" s="1226"/>
      <c r="H7" s="1226"/>
      <c r="I7" s="1226"/>
      <c r="J7" s="1241" t="s">
        <v>3200</v>
      </c>
      <c r="K7" s="1226"/>
      <c r="L7" s="1226"/>
      <c r="M7" s="1226"/>
      <c r="N7" s="1226"/>
      <c r="O7" s="1226"/>
      <c r="P7" s="1226"/>
      <c r="Q7" s="1226"/>
      <c r="R7" s="1226"/>
      <c r="S7" s="1226"/>
      <c r="T7" s="1242" t="s">
        <v>825</v>
      </c>
      <c r="U7" s="1245" t="s">
        <v>826</v>
      </c>
    </row>
    <row r="8" spans="1:21">
      <c r="B8" s="1247" t="s">
        <v>828</v>
      </c>
      <c r="C8" s="1248"/>
      <c r="D8" s="1249" t="s">
        <v>3368</v>
      </c>
      <c r="E8" s="1250"/>
      <c r="F8" s="1250"/>
      <c r="G8" s="1250"/>
      <c r="H8" s="1250"/>
      <c r="I8" s="1251"/>
      <c r="J8" s="1252" t="s">
        <v>1971</v>
      </c>
      <c r="K8" s="1248"/>
      <c r="L8" s="1249"/>
      <c r="M8" s="1250"/>
      <c r="N8" s="1250"/>
      <c r="O8" s="1250"/>
      <c r="P8" s="1250"/>
      <c r="Q8" s="1250"/>
      <c r="R8" s="1250"/>
      <c r="S8" s="1250"/>
      <c r="T8" s="1243"/>
      <c r="U8" s="1246"/>
    </row>
    <row r="9" spans="1:21" ht="27">
      <c r="B9" s="581" t="s">
        <v>831</v>
      </c>
      <c r="C9" s="582" t="s">
        <v>1973</v>
      </c>
      <c r="D9" s="583" t="s">
        <v>832</v>
      </c>
      <c r="E9" s="583" t="s">
        <v>833</v>
      </c>
      <c r="F9" s="583" t="s">
        <v>834</v>
      </c>
      <c r="G9" s="583" t="s">
        <v>835</v>
      </c>
      <c r="H9" s="583" t="s">
        <v>836</v>
      </c>
      <c r="I9" s="583" t="s">
        <v>3255</v>
      </c>
      <c r="J9" s="584" t="s">
        <v>831</v>
      </c>
      <c r="K9" s="582" t="s">
        <v>1973</v>
      </c>
      <c r="L9" s="583" t="s">
        <v>832</v>
      </c>
      <c r="M9" s="583" t="s">
        <v>833</v>
      </c>
      <c r="N9" s="583" t="s">
        <v>834</v>
      </c>
      <c r="O9" s="583" t="s">
        <v>835</v>
      </c>
      <c r="P9" s="583" t="s">
        <v>836</v>
      </c>
      <c r="Q9" s="583"/>
      <c r="R9" s="585" t="s">
        <v>838</v>
      </c>
      <c r="S9" s="586" t="s">
        <v>839</v>
      </c>
      <c r="T9" s="1244"/>
      <c r="U9" s="1246"/>
    </row>
    <row r="10" spans="1:21">
      <c r="B10" s="587">
        <v>1</v>
      </c>
      <c r="C10" s="588" t="s">
        <v>3369</v>
      </c>
      <c r="D10" s="589" t="s">
        <v>1273</v>
      </c>
      <c r="E10" s="590"/>
      <c r="F10" s="588" t="s">
        <v>845</v>
      </c>
      <c r="G10" s="591">
        <v>4</v>
      </c>
      <c r="H10" s="636" t="s">
        <v>1274</v>
      </c>
      <c r="I10" s="592"/>
      <c r="J10" s="587">
        <v>1</v>
      </c>
      <c r="K10" s="593"/>
      <c r="L10" s="589" t="s">
        <v>2092</v>
      </c>
      <c r="M10" s="637"/>
      <c r="N10" s="638" t="s">
        <v>2579</v>
      </c>
      <c r="O10" s="637">
        <v>1000</v>
      </c>
      <c r="P10" s="636" t="s">
        <v>1274</v>
      </c>
      <c r="Q10" s="597"/>
      <c r="R10" s="598"/>
      <c r="S10" s="599"/>
      <c r="T10" s="600"/>
      <c r="U10" s="601"/>
    </row>
    <row r="11" spans="1:21">
      <c r="B11" s="602">
        <f>+B10+1</f>
        <v>2</v>
      </c>
      <c r="C11" s="588" t="s">
        <v>3370</v>
      </c>
      <c r="D11" s="590" t="s">
        <v>1068</v>
      </c>
      <c r="E11" s="589"/>
      <c r="F11" s="588" t="s">
        <v>845</v>
      </c>
      <c r="G11" s="588">
        <v>18</v>
      </c>
      <c r="H11" s="603" t="s">
        <v>1597</v>
      </c>
      <c r="I11" s="603"/>
      <c r="J11" s="602">
        <f>+J10+1</f>
        <v>2</v>
      </c>
      <c r="K11" s="593"/>
      <c r="L11" s="590" t="s">
        <v>2809</v>
      </c>
      <c r="M11" s="642"/>
      <c r="N11" s="638" t="s">
        <v>2579</v>
      </c>
      <c r="O11" s="637">
        <v>1000</v>
      </c>
      <c r="P11" s="603" t="s">
        <v>1597</v>
      </c>
      <c r="Q11" s="597"/>
      <c r="R11" s="598"/>
      <c r="S11" s="599"/>
      <c r="T11" s="600"/>
      <c r="U11" s="601"/>
    </row>
    <row r="12" spans="1:21">
      <c r="B12" s="602">
        <f t="shared" ref="B12:B43" si="0">+B11+1</f>
        <v>3</v>
      </c>
      <c r="C12" s="588" t="s">
        <v>3370</v>
      </c>
      <c r="D12" s="590" t="s">
        <v>1318</v>
      </c>
      <c r="E12" s="589"/>
      <c r="F12" s="591" t="s">
        <v>845</v>
      </c>
      <c r="G12" s="107">
        <v>40</v>
      </c>
      <c r="H12" s="592" t="s">
        <v>3311</v>
      </c>
      <c r="I12" s="592"/>
      <c r="J12" s="602">
        <f t="shared" ref="J12:J43" si="1">+J11+1</f>
        <v>3</v>
      </c>
      <c r="K12" s="593"/>
      <c r="L12" s="590" t="s">
        <v>3312</v>
      </c>
      <c r="M12" s="642"/>
      <c r="N12" s="638" t="s">
        <v>2579</v>
      </c>
      <c r="O12" s="637">
        <v>1000</v>
      </c>
      <c r="P12" s="592" t="s">
        <v>3311</v>
      </c>
      <c r="Q12" s="592"/>
      <c r="R12" s="598"/>
      <c r="S12" s="599"/>
      <c r="T12" s="600"/>
      <c r="U12" s="601"/>
    </row>
    <row r="13" spans="1:21">
      <c r="B13" s="602">
        <f t="shared" si="0"/>
        <v>4</v>
      </c>
      <c r="C13" s="588" t="s">
        <v>3370</v>
      </c>
      <c r="D13" s="590" t="s">
        <v>3371</v>
      </c>
      <c r="E13" s="589"/>
      <c r="F13" s="591" t="s">
        <v>845</v>
      </c>
      <c r="G13" s="591">
        <v>8</v>
      </c>
      <c r="H13" s="603" t="s">
        <v>3315</v>
      </c>
      <c r="I13" s="603"/>
      <c r="J13" s="602">
        <f t="shared" si="1"/>
        <v>4</v>
      </c>
      <c r="K13" s="593"/>
      <c r="L13" s="590" t="s">
        <v>3313</v>
      </c>
      <c r="M13" s="642"/>
      <c r="N13" s="638" t="s">
        <v>2579</v>
      </c>
      <c r="O13" s="637">
        <v>1000</v>
      </c>
      <c r="P13" s="603" t="s">
        <v>3314</v>
      </c>
      <c r="Q13" s="592"/>
      <c r="R13" s="605"/>
      <c r="S13" s="606"/>
      <c r="T13" s="607"/>
      <c r="U13" s="601"/>
    </row>
    <row r="14" spans="1:21">
      <c r="B14" s="602">
        <f t="shared" si="0"/>
        <v>5</v>
      </c>
      <c r="C14" s="588" t="s">
        <v>3370</v>
      </c>
      <c r="D14" s="590" t="s">
        <v>3322</v>
      </c>
      <c r="E14" s="589"/>
      <c r="F14" s="591" t="s">
        <v>845</v>
      </c>
      <c r="G14" s="591">
        <v>2</v>
      </c>
      <c r="H14" s="592" t="s">
        <v>3315</v>
      </c>
      <c r="I14" s="603"/>
      <c r="J14" s="602">
        <f t="shared" si="1"/>
        <v>5</v>
      </c>
      <c r="K14" s="593"/>
      <c r="L14" s="590" t="s">
        <v>3322</v>
      </c>
      <c r="M14" s="642"/>
      <c r="N14" s="638" t="s">
        <v>2579</v>
      </c>
      <c r="O14" s="637">
        <v>1000</v>
      </c>
      <c r="P14" s="592" t="s">
        <v>3323</v>
      </c>
      <c r="Q14" s="592"/>
      <c r="R14" s="605"/>
      <c r="S14" s="606"/>
      <c r="T14" s="607"/>
      <c r="U14" s="601"/>
    </row>
    <row r="15" spans="1:21">
      <c r="B15" s="602">
        <f t="shared" si="0"/>
        <v>6</v>
      </c>
      <c r="C15" s="588" t="s">
        <v>3370</v>
      </c>
      <c r="D15" s="590" t="s">
        <v>3372</v>
      </c>
      <c r="E15" s="589"/>
      <c r="F15" s="591" t="s">
        <v>845</v>
      </c>
      <c r="G15" s="591">
        <v>20</v>
      </c>
      <c r="H15" s="592" t="s">
        <v>3373</v>
      </c>
      <c r="I15" s="592"/>
      <c r="J15" s="602">
        <f t="shared" si="1"/>
        <v>6</v>
      </c>
      <c r="K15" s="593"/>
      <c r="L15" s="590" t="s">
        <v>3372</v>
      </c>
      <c r="M15" s="642"/>
      <c r="N15" s="638" t="s">
        <v>2579</v>
      </c>
      <c r="O15" s="637">
        <v>1000</v>
      </c>
      <c r="P15" s="592" t="s">
        <v>3373</v>
      </c>
      <c r="Q15" s="592"/>
      <c r="R15" s="605"/>
      <c r="S15" s="599"/>
      <c r="T15" s="600"/>
      <c r="U15" s="601"/>
    </row>
    <row r="16" spans="1:21">
      <c r="B16" s="602">
        <f t="shared" si="0"/>
        <v>7</v>
      </c>
      <c r="C16" s="588" t="s">
        <v>3370</v>
      </c>
      <c r="D16" s="590" t="s">
        <v>2181</v>
      </c>
      <c r="E16" s="589"/>
      <c r="F16" s="591" t="s">
        <v>845</v>
      </c>
      <c r="G16" s="591">
        <v>8</v>
      </c>
      <c r="H16" s="603" t="s">
        <v>2182</v>
      </c>
      <c r="I16" s="603"/>
      <c r="J16" s="602">
        <f t="shared" si="1"/>
        <v>7</v>
      </c>
      <c r="K16" s="593"/>
      <c r="L16" s="590" t="s">
        <v>2181</v>
      </c>
      <c r="M16" s="642"/>
      <c r="N16" s="638" t="s">
        <v>2579</v>
      </c>
      <c r="O16" s="637">
        <v>1000</v>
      </c>
      <c r="P16" s="603" t="s">
        <v>2182</v>
      </c>
      <c r="Q16" s="592"/>
      <c r="R16" s="605"/>
      <c r="S16" s="599"/>
      <c r="T16" s="600"/>
      <c r="U16" s="601"/>
    </row>
    <row r="17" spans="2:21">
      <c r="B17" s="602">
        <f t="shared" si="0"/>
        <v>8</v>
      </c>
      <c r="C17" s="588" t="s">
        <v>3370</v>
      </c>
      <c r="D17" s="590" t="s">
        <v>3374</v>
      </c>
      <c r="E17" s="589"/>
      <c r="F17" s="591" t="s">
        <v>845</v>
      </c>
      <c r="G17" s="591">
        <v>4</v>
      </c>
      <c r="H17" s="592" t="s">
        <v>3375</v>
      </c>
      <c r="I17" s="663"/>
      <c r="J17" s="602">
        <f t="shared" si="1"/>
        <v>8</v>
      </c>
      <c r="K17" s="593"/>
      <c r="L17" s="590" t="s">
        <v>3374</v>
      </c>
      <c r="M17" s="642"/>
      <c r="N17" s="638" t="s">
        <v>2579</v>
      </c>
      <c r="O17" s="637">
        <v>1000</v>
      </c>
      <c r="P17" s="592" t="s">
        <v>3375</v>
      </c>
      <c r="Q17" s="592"/>
      <c r="R17" s="605"/>
      <c r="S17" s="599"/>
      <c r="T17" s="600"/>
      <c r="U17" s="601"/>
    </row>
    <row r="18" spans="2:21">
      <c r="B18" s="602">
        <f t="shared" si="0"/>
        <v>9</v>
      </c>
      <c r="C18" s="588" t="s">
        <v>3370</v>
      </c>
      <c r="D18" s="590" t="s">
        <v>3376</v>
      </c>
      <c r="E18" s="589"/>
      <c r="F18" s="591" t="s">
        <v>845</v>
      </c>
      <c r="G18" s="591">
        <v>4</v>
      </c>
      <c r="H18" s="592" t="s">
        <v>3377</v>
      </c>
      <c r="I18" s="592"/>
      <c r="J18" s="602">
        <f t="shared" si="1"/>
        <v>9</v>
      </c>
      <c r="K18" s="593"/>
      <c r="L18" s="635" t="s">
        <v>3376</v>
      </c>
      <c r="M18" s="637" t="s">
        <v>1368</v>
      </c>
      <c r="N18" s="638" t="s">
        <v>2579</v>
      </c>
      <c r="O18" s="637">
        <v>1000</v>
      </c>
      <c r="P18" s="492" t="s">
        <v>3377</v>
      </c>
      <c r="Q18" s="597"/>
      <c r="R18" s="598"/>
      <c r="S18" s="599"/>
      <c r="T18" s="600"/>
      <c r="U18" s="601"/>
    </row>
    <row r="19" spans="2:21">
      <c r="B19" s="602">
        <f t="shared" si="0"/>
        <v>10</v>
      </c>
      <c r="C19" s="588" t="s">
        <v>3370</v>
      </c>
      <c r="D19" s="590" t="s">
        <v>3378</v>
      </c>
      <c r="E19" s="589"/>
      <c r="F19" s="591" t="s">
        <v>845</v>
      </c>
      <c r="G19" s="588">
        <v>4</v>
      </c>
      <c r="H19" s="592" t="s">
        <v>3379</v>
      </c>
      <c r="I19" s="609"/>
      <c r="J19" s="602">
        <f t="shared" si="1"/>
        <v>10</v>
      </c>
      <c r="K19" s="593"/>
      <c r="L19" s="493" t="s">
        <v>3378</v>
      </c>
      <c r="M19" s="642" t="s">
        <v>1368</v>
      </c>
      <c r="N19" s="639" t="s">
        <v>2579</v>
      </c>
      <c r="O19" s="641">
        <v>1000</v>
      </c>
      <c r="P19" s="492" t="s">
        <v>3379</v>
      </c>
      <c r="Q19" s="603"/>
      <c r="R19" s="598"/>
      <c r="S19" s="599"/>
      <c r="T19" s="600"/>
      <c r="U19" s="601"/>
    </row>
    <row r="20" spans="2:21">
      <c r="B20" s="602">
        <f t="shared" si="0"/>
        <v>11</v>
      </c>
      <c r="C20" s="588" t="s">
        <v>3370</v>
      </c>
      <c r="D20" s="622" t="s">
        <v>1580</v>
      </c>
      <c r="E20" s="623"/>
      <c r="F20" s="591" t="s">
        <v>845</v>
      </c>
      <c r="G20" s="621">
        <v>3</v>
      </c>
      <c r="H20" s="603" t="s">
        <v>3328</v>
      </c>
      <c r="I20" s="603"/>
      <c r="J20" s="602">
        <f t="shared" si="1"/>
        <v>11</v>
      </c>
      <c r="K20" s="593"/>
      <c r="L20" s="493"/>
      <c r="M20" s="642"/>
      <c r="N20" s="639"/>
      <c r="O20" s="641"/>
      <c r="P20" s="492"/>
      <c r="Q20" s="603"/>
      <c r="R20" s="598"/>
      <c r="S20" s="599"/>
      <c r="T20" s="600"/>
      <c r="U20" s="601"/>
    </row>
    <row r="21" spans="2:21">
      <c r="B21" s="602">
        <f t="shared" si="0"/>
        <v>12</v>
      </c>
      <c r="C21" s="588" t="s">
        <v>3370</v>
      </c>
      <c r="D21" s="590" t="s">
        <v>3324</v>
      </c>
      <c r="E21" s="623"/>
      <c r="F21" s="591" t="s">
        <v>845</v>
      </c>
      <c r="G21" s="588">
        <v>6</v>
      </c>
      <c r="H21" s="603" t="s">
        <v>3325</v>
      </c>
      <c r="I21" s="603"/>
      <c r="J21" s="602">
        <f t="shared" si="1"/>
        <v>12</v>
      </c>
      <c r="K21" s="593"/>
      <c r="L21" s="493" t="s">
        <v>3324</v>
      </c>
      <c r="M21" s="642" t="s">
        <v>1368</v>
      </c>
      <c r="N21" s="639" t="s">
        <v>2579</v>
      </c>
      <c r="O21" s="641">
        <v>1000</v>
      </c>
      <c r="P21" s="492" t="s">
        <v>3325</v>
      </c>
      <c r="Q21" s="603"/>
      <c r="R21" s="598"/>
      <c r="S21" s="599"/>
      <c r="T21" s="600"/>
      <c r="U21" s="601"/>
    </row>
    <row r="22" spans="2:21">
      <c r="B22" s="602">
        <f t="shared" si="0"/>
        <v>13</v>
      </c>
      <c r="C22" s="588" t="s">
        <v>3370</v>
      </c>
      <c r="D22" s="590" t="s">
        <v>3320</v>
      </c>
      <c r="E22" s="680"/>
      <c r="F22" s="591" t="s">
        <v>845</v>
      </c>
      <c r="G22" s="588">
        <v>8</v>
      </c>
      <c r="H22" s="603" t="s">
        <v>2170</v>
      </c>
      <c r="I22" s="662"/>
      <c r="J22" s="602">
        <f t="shared" si="1"/>
        <v>13</v>
      </c>
      <c r="K22" s="593"/>
      <c r="L22" s="493" t="s">
        <v>2169</v>
      </c>
      <c r="M22" s="642" t="s">
        <v>1368</v>
      </c>
      <c r="N22" s="639" t="s">
        <v>2579</v>
      </c>
      <c r="O22" s="641">
        <v>1000</v>
      </c>
      <c r="P22" s="492" t="s">
        <v>2170</v>
      </c>
      <c r="Q22" s="592"/>
      <c r="R22" s="598"/>
      <c r="S22" s="599"/>
      <c r="T22" s="600"/>
      <c r="U22" s="601"/>
    </row>
    <row r="23" spans="2:21">
      <c r="B23" s="602">
        <f t="shared" si="0"/>
        <v>14</v>
      </c>
      <c r="C23" s="588" t="s">
        <v>3370</v>
      </c>
      <c r="D23" s="590" t="s">
        <v>3380</v>
      </c>
      <c r="E23" s="623"/>
      <c r="F23" s="591" t="s">
        <v>845</v>
      </c>
      <c r="G23" s="588">
        <v>3</v>
      </c>
      <c r="H23" s="603" t="s">
        <v>3381</v>
      </c>
      <c r="I23" s="603"/>
      <c r="J23" s="602">
        <f t="shared" si="1"/>
        <v>14</v>
      </c>
      <c r="K23" s="593"/>
      <c r="L23" s="493" t="s">
        <v>3380</v>
      </c>
      <c r="M23" s="642" t="s">
        <v>1368</v>
      </c>
      <c r="N23" s="639" t="s">
        <v>2579</v>
      </c>
      <c r="O23" s="641">
        <v>1000</v>
      </c>
      <c r="P23" s="492" t="s">
        <v>3381</v>
      </c>
      <c r="Q23" s="592"/>
      <c r="R23" s="598"/>
      <c r="S23" s="599"/>
      <c r="T23" s="600"/>
      <c r="U23" s="601"/>
    </row>
    <row r="24" spans="2:21">
      <c r="B24" s="602">
        <f t="shared" si="0"/>
        <v>15</v>
      </c>
      <c r="C24" s="588" t="s">
        <v>3370</v>
      </c>
      <c r="D24" s="590" t="s">
        <v>3318</v>
      </c>
      <c r="E24" s="623"/>
      <c r="F24" s="591" t="s">
        <v>845</v>
      </c>
      <c r="G24" s="588">
        <v>40</v>
      </c>
      <c r="H24" s="592" t="s">
        <v>3382</v>
      </c>
      <c r="I24" s="603"/>
      <c r="J24" s="602">
        <f t="shared" si="1"/>
        <v>15</v>
      </c>
      <c r="K24" s="593"/>
      <c r="L24" s="493" t="s">
        <v>3318</v>
      </c>
      <c r="M24" s="642" t="s">
        <v>1368</v>
      </c>
      <c r="N24" s="639" t="s">
        <v>2579</v>
      </c>
      <c r="O24" s="641">
        <v>1000</v>
      </c>
      <c r="P24" s="492" t="s">
        <v>3382</v>
      </c>
      <c r="Q24" s="603"/>
      <c r="R24" s="598"/>
      <c r="S24" s="599"/>
      <c r="T24" s="600"/>
      <c r="U24" s="601"/>
    </row>
    <row r="25" spans="2:21">
      <c r="B25" s="602">
        <f t="shared" si="0"/>
        <v>16</v>
      </c>
      <c r="C25" s="588" t="s">
        <v>3370</v>
      </c>
      <c r="D25" s="590" t="s">
        <v>3326</v>
      </c>
      <c r="E25" s="623"/>
      <c r="F25" s="107" t="s">
        <v>1421</v>
      </c>
      <c r="G25" s="107">
        <v>13.3</v>
      </c>
      <c r="H25" s="592" t="s">
        <v>3327</v>
      </c>
      <c r="I25" s="603"/>
      <c r="J25" s="602">
        <f t="shared" si="1"/>
        <v>16</v>
      </c>
      <c r="K25" s="593"/>
      <c r="L25" s="493" t="s">
        <v>3326</v>
      </c>
      <c r="M25" s="642" t="s">
        <v>1368</v>
      </c>
      <c r="N25" s="639" t="s">
        <v>2579</v>
      </c>
      <c r="O25" s="641">
        <v>1000</v>
      </c>
      <c r="P25" s="492" t="s">
        <v>3327</v>
      </c>
      <c r="Q25" s="603"/>
      <c r="R25" s="598"/>
      <c r="S25" s="599"/>
      <c r="T25" s="600"/>
      <c r="U25" s="601"/>
    </row>
    <row r="26" spans="2:21">
      <c r="B26" s="602">
        <f t="shared" si="0"/>
        <v>17</v>
      </c>
      <c r="C26" s="588" t="s">
        <v>3370</v>
      </c>
      <c r="D26" s="590" t="s">
        <v>3348</v>
      </c>
      <c r="E26" s="623"/>
      <c r="F26" s="107" t="s">
        <v>1421</v>
      </c>
      <c r="G26" s="107">
        <v>13.3</v>
      </c>
      <c r="H26" s="636" t="s">
        <v>3349</v>
      </c>
      <c r="I26" s="603"/>
      <c r="J26" s="602">
        <f t="shared" si="1"/>
        <v>17</v>
      </c>
      <c r="K26" s="593"/>
      <c r="L26" s="493" t="s">
        <v>3348</v>
      </c>
      <c r="M26" s="642" t="s">
        <v>1368</v>
      </c>
      <c r="N26" s="639" t="s">
        <v>2579</v>
      </c>
      <c r="O26" s="641">
        <v>1000</v>
      </c>
      <c r="P26" s="642" t="s">
        <v>3349</v>
      </c>
      <c r="Q26" s="603"/>
      <c r="R26" s="598"/>
      <c r="S26" s="599"/>
      <c r="T26" s="600"/>
      <c r="U26" s="601"/>
    </row>
    <row r="27" spans="2:21">
      <c r="B27" s="602">
        <f t="shared" si="0"/>
        <v>18</v>
      </c>
      <c r="C27" s="588" t="s">
        <v>3370</v>
      </c>
      <c r="D27" s="590" t="s">
        <v>3347</v>
      </c>
      <c r="E27" s="621"/>
      <c r="F27" s="107" t="s">
        <v>1421</v>
      </c>
      <c r="G27" s="107">
        <v>6</v>
      </c>
      <c r="H27" s="603" t="s">
        <v>3346</v>
      </c>
      <c r="I27" s="603"/>
      <c r="J27" s="602">
        <f t="shared" si="1"/>
        <v>18</v>
      </c>
      <c r="K27" s="593"/>
      <c r="L27" s="493" t="s">
        <v>3347</v>
      </c>
      <c r="M27" s="642" t="s">
        <v>1368</v>
      </c>
      <c r="N27" s="639" t="s">
        <v>2579</v>
      </c>
      <c r="O27" s="641">
        <v>1000</v>
      </c>
      <c r="P27" s="492" t="s">
        <v>3346</v>
      </c>
      <c r="Q27" s="603"/>
      <c r="R27" s="598"/>
      <c r="S27" s="599"/>
      <c r="T27" s="600"/>
      <c r="U27" s="601"/>
    </row>
    <row r="28" spans="2:21">
      <c r="B28" s="602">
        <f t="shared" si="0"/>
        <v>19</v>
      </c>
      <c r="C28" s="588" t="s">
        <v>3370</v>
      </c>
      <c r="D28" s="590" t="s">
        <v>3329</v>
      </c>
      <c r="E28" s="623"/>
      <c r="F28" s="107" t="s">
        <v>1421</v>
      </c>
      <c r="G28" s="588">
        <v>9.3000000000000007</v>
      </c>
      <c r="H28" s="603" t="s">
        <v>3330</v>
      </c>
      <c r="I28" s="603"/>
      <c r="J28" s="602">
        <f t="shared" si="1"/>
        <v>19</v>
      </c>
      <c r="K28" s="593"/>
      <c r="L28" s="493" t="s">
        <v>3329</v>
      </c>
      <c r="M28" s="642" t="s">
        <v>1368</v>
      </c>
      <c r="N28" s="639" t="s">
        <v>2579</v>
      </c>
      <c r="O28" s="641">
        <v>1000</v>
      </c>
      <c r="P28" s="492" t="s">
        <v>3330</v>
      </c>
      <c r="Q28" s="603"/>
      <c r="R28" s="598"/>
      <c r="S28" s="599"/>
      <c r="T28" s="600"/>
      <c r="U28" s="601"/>
    </row>
    <row r="29" spans="2:21">
      <c r="B29" s="602">
        <f t="shared" si="0"/>
        <v>20</v>
      </c>
      <c r="C29" s="588" t="s">
        <v>3370</v>
      </c>
      <c r="D29" s="590" t="s">
        <v>3331</v>
      </c>
      <c r="E29" s="623"/>
      <c r="F29" s="591" t="s">
        <v>845</v>
      </c>
      <c r="G29" s="588">
        <v>3</v>
      </c>
      <c r="H29" s="592" t="s">
        <v>3332</v>
      </c>
      <c r="I29" s="592"/>
      <c r="J29" s="602">
        <f t="shared" si="1"/>
        <v>20</v>
      </c>
      <c r="K29" s="593"/>
      <c r="L29" s="643" t="s">
        <v>3331</v>
      </c>
      <c r="M29" s="642" t="s">
        <v>1368</v>
      </c>
      <c r="N29" s="639" t="s">
        <v>2579</v>
      </c>
      <c r="O29" s="641">
        <v>1000</v>
      </c>
      <c r="P29" s="492" t="s">
        <v>3332</v>
      </c>
      <c r="Q29" s="592"/>
      <c r="R29" s="598"/>
      <c r="S29" s="599"/>
      <c r="T29" s="600"/>
      <c r="U29" s="601"/>
    </row>
    <row r="30" spans="2:21">
      <c r="B30" s="602">
        <f t="shared" si="0"/>
        <v>21</v>
      </c>
      <c r="C30" s="588" t="s">
        <v>3370</v>
      </c>
      <c r="D30" s="590" t="s">
        <v>3333</v>
      </c>
      <c r="E30" s="589"/>
      <c r="F30" s="107" t="s">
        <v>1421</v>
      </c>
      <c r="G30" s="588">
        <v>9.3000000000000007</v>
      </c>
      <c r="H30" s="592" t="s">
        <v>3334</v>
      </c>
      <c r="I30" s="592"/>
      <c r="J30" s="602">
        <f t="shared" si="1"/>
        <v>21</v>
      </c>
      <c r="K30" s="593"/>
      <c r="L30" s="644" t="s">
        <v>3333</v>
      </c>
      <c r="M30" s="642" t="s">
        <v>1368</v>
      </c>
      <c r="N30" s="639" t="s">
        <v>2579</v>
      </c>
      <c r="O30" s="641">
        <v>1000</v>
      </c>
      <c r="P30" s="492" t="s">
        <v>3334</v>
      </c>
      <c r="Q30" s="592"/>
      <c r="R30" s="598"/>
      <c r="S30" s="599"/>
      <c r="T30" s="600"/>
      <c r="U30" s="601"/>
    </row>
    <row r="31" spans="2:21">
      <c r="B31" s="602">
        <f t="shared" si="0"/>
        <v>22</v>
      </c>
      <c r="C31" s="588" t="s">
        <v>3370</v>
      </c>
      <c r="D31" s="590" t="s">
        <v>3335</v>
      </c>
      <c r="E31" s="623"/>
      <c r="F31" s="591" t="s">
        <v>845</v>
      </c>
      <c r="G31" s="588">
        <v>3</v>
      </c>
      <c r="H31" s="592" t="s">
        <v>3336</v>
      </c>
      <c r="I31" s="592"/>
      <c r="J31" s="602">
        <f t="shared" si="1"/>
        <v>22</v>
      </c>
      <c r="K31" s="593"/>
      <c r="L31" s="644" t="s">
        <v>3335</v>
      </c>
      <c r="M31" s="642" t="s">
        <v>1368</v>
      </c>
      <c r="N31" s="639" t="s">
        <v>2579</v>
      </c>
      <c r="O31" s="641">
        <v>1000</v>
      </c>
      <c r="P31" s="492" t="s">
        <v>3336</v>
      </c>
      <c r="Q31" s="592"/>
      <c r="R31" s="598"/>
      <c r="S31" s="599"/>
      <c r="T31" s="600"/>
      <c r="U31" s="601"/>
    </row>
    <row r="32" spans="2:21">
      <c r="B32" s="602">
        <f t="shared" si="0"/>
        <v>23</v>
      </c>
      <c r="C32" s="588" t="s">
        <v>3370</v>
      </c>
      <c r="D32" s="590" t="s">
        <v>3337</v>
      </c>
      <c r="E32" s="623"/>
      <c r="F32" s="107" t="s">
        <v>1421</v>
      </c>
      <c r="G32" s="588">
        <v>9.3000000000000007</v>
      </c>
      <c r="H32" s="592" t="s">
        <v>3338</v>
      </c>
      <c r="I32" s="592"/>
      <c r="J32" s="602">
        <f t="shared" si="1"/>
        <v>23</v>
      </c>
      <c r="K32" s="593"/>
      <c r="L32" s="644" t="s">
        <v>3337</v>
      </c>
      <c r="M32" s="642" t="s">
        <v>1368</v>
      </c>
      <c r="N32" s="639" t="s">
        <v>2579</v>
      </c>
      <c r="O32" s="641">
        <v>1000</v>
      </c>
      <c r="P32" s="492" t="s">
        <v>3338</v>
      </c>
      <c r="Q32" s="592"/>
      <c r="R32" s="598"/>
      <c r="S32" s="599"/>
      <c r="T32" s="600"/>
      <c r="U32" s="601"/>
    </row>
    <row r="33" spans="2:21">
      <c r="B33" s="602">
        <f t="shared" si="0"/>
        <v>24</v>
      </c>
      <c r="C33" s="588" t="s">
        <v>3370</v>
      </c>
      <c r="D33" s="590" t="s">
        <v>3339</v>
      </c>
      <c r="E33" s="623"/>
      <c r="F33" s="591" t="s">
        <v>845</v>
      </c>
      <c r="G33" s="588">
        <v>3</v>
      </c>
      <c r="H33" s="592" t="s">
        <v>3340</v>
      </c>
      <c r="I33" s="592"/>
      <c r="J33" s="602">
        <f t="shared" si="1"/>
        <v>24</v>
      </c>
      <c r="K33" s="593"/>
      <c r="L33" s="644" t="s">
        <v>3339</v>
      </c>
      <c r="M33" s="642" t="s">
        <v>1368</v>
      </c>
      <c r="N33" s="639" t="s">
        <v>2579</v>
      </c>
      <c r="O33" s="641">
        <v>1000</v>
      </c>
      <c r="P33" s="492" t="s">
        <v>3340</v>
      </c>
      <c r="Q33" s="592"/>
      <c r="R33" s="598"/>
      <c r="S33" s="599"/>
      <c r="T33" s="600"/>
      <c r="U33" s="601"/>
    </row>
    <row r="34" spans="2:21">
      <c r="B34" s="602">
        <f t="shared" si="0"/>
        <v>25</v>
      </c>
      <c r="C34" s="588" t="s">
        <v>3370</v>
      </c>
      <c r="D34" s="590" t="s">
        <v>3341</v>
      </c>
      <c r="E34" s="623"/>
      <c r="F34" s="107" t="s">
        <v>1421</v>
      </c>
      <c r="G34" s="588">
        <v>9.3000000000000007</v>
      </c>
      <c r="H34" s="592" t="s">
        <v>3342</v>
      </c>
      <c r="I34" s="592"/>
      <c r="J34" s="602">
        <f t="shared" si="1"/>
        <v>25</v>
      </c>
      <c r="K34" s="593"/>
      <c r="L34" s="644" t="s">
        <v>3341</v>
      </c>
      <c r="M34" s="642" t="s">
        <v>1368</v>
      </c>
      <c r="N34" s="639" t="s">
        <v>2579</v>
      </c>
      <c r="O34" s="641">
        <v>1000</v>
      </c>
      <c r="P34" s="492" t="s">
        <v>3342</v>
      </c>
      <c r="Q34" s="592"/>
      <c r="R34" s="598"/>
      <c r="S34" s="599"/>
      <c r="T34" s="600"/>
      <c r="U34" s="601"/>
    </row>
    <row r="35" spans="2:21">
      <c r="B35" s="602">
        <f t="shared" si="0"/>
        <v>26</v>
      </c>
      <c r="C35" s="588" t="s">
        <v>3370</v>
      </c>
      <c r="D35" s="590" t="s">
        <v>3343</v>
      </c>
      <c r="E35" s="589"/>
      <c r="F35" s="591" t="s">
        <v>845</v>
      </c>
      <c r="G35" s="588">
        <v>3</v>
      </c>
      <c r="H35" s="592" t="s">
        <v>3344</v>
      </c>
      <c r="I35" s="592"/>
      <c r="J35" s="602">
        <f t="shared" si="1"/>
        <v>26</v>
      </c>
      <c r="K35" s="593"/>
      <c r="L35" s="644" t="s">
        <v>3343</v>
      </c>
      <c r="M35" s="642" t="s">
        <v>1368</v>
      </c>
      <c r="N35" s="639" t="s">
        <v>2579</v>
      </c>
      <c r="O35" s="641">
        <v>1000</v>
      </c>
      <c r="P35" s="492" t="s">
        <v>3344</v>
      </c>
      <c r="Q35" s="592"/>
      <c r="R35" s="598"/>
      <c r="S35" s="599"/>
      <c r="T35" s="600"/>
      <c r="U35" s="601"/>
    </row>
    <row r="36" spans="2:21">
      <c r="B36" s="602">
        <f t="shared" si="0"/>
        <v>27</v>
      </c>
      <c r="C36" s="588" t="s">
        <v>3370</v>
      </c>
      <c r="D36" s="590" t="s">
        <v>3383</v>
      </c>
      <c r="E36" s="589"/>
      <c r="F36" s="107" t="s">
        <v>1421</v>
      </c>
      <c r="G36" s="588">
        <v>9.3000000000000007</v>
      </c>
      <c r="H36" s="592" t="s">
        <v>3384</v>
      </c>
      <c r="I36" s="592"/>
      <c r="J36" s="602">
        <f t="shared" si="1"/>
        <v>27</v>
      </c>
      <c r="K36" s="593"/>
      <c r="L36" s="644" t="s">
        <v>3383</v>
      </c>
      <c r="M36" s="642" t="s">
        <v>1368</v>
      </c>
      <c r="N36" s="639" t="s">
        <v>2579</v>
      </c>
      <c r="O36" s="641">
        <v>1000</v>
      </c>
      <c r="P36" s="492" t="s">
        <v>3384</v>
      </c>
      <c r="Q36" s="592"/>
      <c r="R36" s="598"/>
      <c r="S36" s="599"/>
      <c r="T36" s="600"/>
      <c r="U36" s="601"/>
    </row>
    <row r="37" spans="2:21">
      <c r="B37" s="602">
        <f t="shared" si="0"/>
        <v>28</v>
      </c>
      <c r="C37" s="588" t="s">
        <v>3370</v>
      </c>
      <c r="D37" s="590" t="s">
        <v>3385</v>
      </c>
      <c r="E37" s="589"/>
      <c r="F37" s="591" t="s">
        <v>845</v>
      </c>
      <c r="G37" s="588">
        <v>3</v>
      </c>
      <c r="H37" s="592" t="s">
        <v>3386</v>
      </c>
      <c r="I37" s="592"/>
      <c r="J37" s="602">
        <f t="shared" si="1"/>
        <v>28</v>
      </c>
      <c r="K37" s="593"/>
      <c r="L37" s="644" t="s">
        <v>3385</v>
      </c>
      <c r="M37" s="642" t="s">
        <v>1368</v>
      </c>
      <c r="N37" s="639" t="s">
        <v>2579</v>
      </c>
      <c r="O37" s="641">
        <v>1000</v>
      </c>
      <c r="P37" s="492" t="s">
        <v>3386</v>
      </c>
      <c r="Q37" s="592"/>
      <c r="R37" s="598"/>
      <c r="S37" s="599"/>
      <c r="T37" s="600"/>
      <c r="U37" s="601"/>
    </row>
    <row r="38" spans="2:21">
      <c r="B38" s="602">
        <f t="shared" si="0"/>
        <v>29</v>
      </c>
      <c r="C38" s="588" t="s">
        <v>3370</v>
      </c>
      <c r="D38" s="590" t="s">
        <v>3387</v>
      </c>
      <c r="E38" s="589"/>
      <c r="F38" s="591" t="s">
        <v>845</v>
      </c>
      <c r="G38" s="588">
        <v>7</v>
      </c>
      <c r="H38" s="592" t="s">
        <v>3388</v>
      </c>
      <c r="I38" s="592"/>
      <c r="J38" s="602">
        <f t="shared" si="1"/>
        <v>29</v>
      </c>
      <c r="K38" s="593"/>
      <c r="L38" s="644" t="s">
        <v>3387</v>
      </c>
      <c r="M38" s="642" t="s">
        <v>1368</v>
      </c>
      <c r="N38" s="639" t="s">
        <v>2579</v>
      </c>
      <c r="O38" s="641">
        <v>1000</v>
      </c>
      <c r="P38" s="492" t="s">
        <v>3388</v>
      </c>
      <c r="Q38" s="592"/>
      <c r="R38" s="598"/>
      <c r="S38" s="599"/>
      <c r="T38" s="600"/>
      <c r="U38" s="601"/>
    </row>
    <row r="39" spans="2:21">
      <c r="B39" s="602">
        <f t="shared" si="0"/>
        <v>30</v>
      </c>
      <c r="C39" s="588" t="s">
        <v>3370</v>
      </c>
      <c r="D39" s="590" t="s">
        <v>1585</v>
      </c>
      <c r="E39" s="589"/>
      <c r="F39" s="107" t="s">
        <v>1421</v>
      </c>
      <c r="G39" s="588">
        <v>5</v>
      </c>
      <c r="H39" s="592" t="s">
        <v>3389</v>
      </c>
      <c r="I39" s="592"/>
      <c r="J39" s="602">
        <f t="shared" si="1"/>
        <v>30</v>
      </c>
      <c r="K39" s="593"/>
      <c r="L39" s="644" t="s">
        <v>1585</v>
      </c>
      <c r="M39" s="642" t="s">
        <v>1368</v>
      </c>
      <c r="N39" s="639" t="s">
        <v>2579</v>
      </c>
      <c r="O39" s="641">
        <v>1000</v>
      </c>
      <c r="P39" s="492" t="s">
        <v>3389</v>
      </c>
      <c r="Q39" s="592"/>
      <c r="R39" s="598"/>
      <c r="S39" s="599"/>
      <c r="T39" s="600"/>
      <c r="U39" s="601"/>
    </row>
    <row r="40" spans="2:21" ht="17.25" customHeight="1">
      <c r="B40" s="602">
        <f t="shared" si="0"/>
        <v>31</v>
      </c>
      <c r="C40" s="588" t="s">
        <v>3370</v>
      </c>
      <c r="D40" s="590" t="s">
        <v>1590</v>
      </c>
      <c r="E40" s="589"/>
      <c r="F40" s="107" t="s">
        <v>1421</v>
      </c>
      <c r="G40" s="588">
        <v>5</v>
      </c>
      <c r="H40" s="592" t="s">
        <v>3390</v>
      </c>
      <c r="I40" s="592"/>
      <c r="J40" s="602">
        <f t="shared" si="1"/>
        <v>31</v>
      </c>
      <c r="K40" s="593"/>
      <c r="L40" s="644" t="s">
        <v>1590</v>
      </c>
      <c r="M40" s="642" t="s">
        <v>1368</v>
      </c>
      <c r="N40" s="639" t="s">
        <v>2579</v>
      </c>
      <c r="O40" s="641">
        <v>1000</v>
      </c>
      <c r="P40" s="492" t="s">
        <v>3390</v>
      </c>
      <c r="Q40" s="592"/>
      <c r="R40" s="598"/>
      <c r="S40" s="599"/>
      <c r="T40" s="600"/>
      <c r="U40" s="601"/>
    </row>
    <row r="41" spans="2:21">
      <c r="B41" s="602">
        <f t="shared" si="0"/>
        <v>32</v>
      </c>
      <c r="C41" s="588" t="s">
        <v>3370</v>
      </c>
      <c r="D41" s="590" t="s">
        <v>3391</v>
      </c>
      <c r="E41" s="623"/>
      <c r="F41" s="591" t="s">
        <v>845</v>
      </c>
      <c r="G41" s="588">
        <v>6</v>
      </c>
      <c r="H41" s="592" t="s">
        <v>3392</v>
      </c>
      <c r="I41" s="592"/>
      <c r="J41" s="602">
        <f t="shared" si="1"/>
        <v>32</v>
      </c>
      <c r="K41" s="593"/>
      <c r="L41" s="644" t="s">
        <v>3391</v>
      </c>
      <c r="M41" s="642" t="s">
        <v>1368</v>
      </c>
      <c r="N41" s="639" t="s">
        <v>2579</v>
      </c>
      <c r="O41" s="641">
        <v>1000</v>
      </c>
      <c r="P41" s="492" t="s">
        <v>3392</v>
      </c>
      <c r="Q41" s="592"/>
      <c r="R41" s="598"/>
      <c r="S41" s="599"/>
      <c r="T41" s="600"/>
      <c r="U41" s="601"/>
    </row>
    <row r="42" spans="2:21">
      <c r="B42" s="602">
        <f t="shared" si="0"/>
        <v>33</v>
      </c>
      <c r="C42" s="588" t="s">
        <v>3370</v>
      </c>
      <c r="D42" s="590" t="s">
        <v>3393</v>
      </c>
      <c r="E42" s="623"/>
      <c r="F42" s="591" t="s">
        <v>845</v>
      </c>
      <c r="G42" s="588">
        <v>6</v>
      </c>
      <c r="H42" s="592" t="s">
        <v>3394</v>
      </c>
      <c r="I42" s="592"/>
      <c r="J42" s="602">
        <f t="shared" si="1"/>
        <v>33</v>
      </c>
      <c r="K42" s="593"/>
      <c r="L42" s="644" t="s">
        <v>3393</v>
      </c>
      <c r="M42" s="642" t="s">
        <v>1368</v>
      </c>
      <c r="N42" s="639" t="s">
        <v>2579</v>
      </c>
      <c r="O42" s="641">
        <v>1000</v>
      </c>
      <c r="P42" s="492" t="s">
        <v>3394</v>
      </c>
      <c r="Q42" s="592"/>
      <c r="R42" s="598"/>
      <c r="S42" s="599"/>
      <c r="T42" s="600"/>
      <c r="U42" s="601"/>
    </row>
    <row r="43" spans="2:21">
      <c r="B43" s="602">
        <f t="shared" si="0"/>
        <v>34</v>
      </c>
      <c r="C43" s="588" t="s">
        <v>3370</v>
      </c>
      <c r="D43" s="590" t="s">
        <v>3395</v>
      </c>
      <c r="E43" s="623"/>
      <c r="F43" s="591" t="s">
        <v>845</v>
      </c>
      <c r="G43" s="588">
        <v>6</v>
      </c>
      <c r="H43" s="592" t="s">
        <v>3396</v>
      </c>
      <c r="I43" s="592"/>
      <c r="J43" s="602">
        <f t="shared" si="1"/>
        <v>34</v>
      </c>
      <c r="K43" s="593"/>
      <c r="L43" s="644" t="s">
        <v>3395</v>
      </c>
      <c r="M43" s="642" t="s">
        <v>1368</v>
      </c>
      <c r="N43" s="639" t="s">
        <v>2579</v>
      </c>
      <c r="O43" s="641">
        <v>1000</v>
      </c>
      <c r="P43" s="492" t="s">
        <v>3396</v>
      </c>
      <c r="Q43" s="592"/>
      <c r="R43" s="598"/>
      <c r="S43" s="599"/>
      <c r="T43" s="600"/>
      <c r="U43" s="601"/>
    </row>
    <row r="44" spans="2:21">
      <c r="B44" s="602"/>
      <c r="C44" s="588"/>
      <c r="D44" s="590"/>
      <c r="E44" s="623"/>
      <c r="F44" s="591"/>
      <c r="G44" s="621"/>
      <c r="H44" s="592"/>
      <c r="I44" s="592"/>
      <c r="J44" s="602"/>
      <c r="K44" s="593"/>
      <c r="L44" s="644"/>
      <c r="M44" s="642"/>
      <c r="N44" s="639"/>
      <c r="O44" s="641"/>
      <c r="P44" s="492"/>
      <c r="Q44" s="592"/>
      <c r="R44" s="598"/>
      <c r="S44" s="599"/>
      <c r="T44" s="600"/>
      <c r="U44" s="601"/>
    </row>
    <row r="45" spans="2:21">
      <c r="B45" s="602"/>
      <c r="C45" s="588"/>
      <c r="D45" s="590"/>
      <c r="E45" s="623"/>
      <c r="F45" s="591"/>
      <c r="G45" s="621"/>
      <c r="H45" s="592"/>
      <c r="I45" s="592"/>
      <c r="J45" s="602"/>
      <c r="K45" s="593"/>
      <c r="L45" s="644"/>
      <c r="M45" s="642"/>
      <c r="N45" s="639"/>
      <c r="O45" s="641"/>
      <c r="P45" s="492"/>
      <c r="Q45" s="592"/>
      <c r="R45" s="598"/>
      <c r="S45" s="599"/>
      <c r="T45" s="600"/>
      <c r="U45" s="601"/>
    </row>
    <row r="46" spans="2:21">
      <c r="B46" s="602"/>
      <c r="C46" s="588"/>
      <c r="D46" s="590"/>
      <c r="E46" s="623"/>
      <c r="F46" s="591"/>
      <c r="G46" s="621"/>
      <c r="H46" s="592"/>
      <c r="I46" s="592"/>
      <c r="J46" s="602"/>
      <c r="K46" s="593"/>
      <c r="L46" s="628"/>
      <c r="M46" s="589"/>
      <c r="N46" s="604"/>
      <c r="O46" s="588"/>
      <c r="P46" s="592"/>
      <c r="Q46" s="592"/>
      <c r="R46" s="598"/>
      <c r="S46" s="599"/>
      <c r="T46" s="600"/>
      <c r="U46" s="601"/>
    </row>
    <row r="47" spans="2:21">
      <c r="B47" s="602"/>
      <c r="C47" s="588"/>
      <c r="D47" s="590"/>
      <c r="E47" s="623"/>
      <c r="F47" s="591"/>
      <c r="G47" s="621"/>
      <c r="H47" s="592"/>
      <c r="I47" s="592"/>
      <c r="J47" s="602"/>
      <c r="K47" s="593"/>
      <c r="L47" s="628"/>
      <c r="M47" s="589"/>
      <c r="N47" s="604"/>
      <c r="O47" s="588"/>
      <c r="P47" s="592"/>
      <c r="Q47" s="592"/>
      <c r="R47" s="598"/>
      <c r="S47" s="599"/>
      <c r="T47" s="600"/>
      <c r="U47" s="601"/>
    </row>
    <row r="48" spans="2:21">
      <c r="B48" s="602"/>
      <c r="C48" s="621"/>
      <c r="D48" s="622"/>
      <c r="E48" s="623"/>
      <c r="F48" s="621"/>
      <c r="G48" s="621"/>
      <c r="H48" s="625"/>
      <c r="I48" s="592"/>
      <c r="J48" s="602"/>
      <c r="K48" s="593"/>
      <c r="L48" s="628"/>
      <c r="M48" s="589"/>
      <c r="N48" s="604"/>
      <c r="O48" s="588"/>
      <c r="P48" s="592"/>
      <c r="Q48" s="592"/>
      <c r="R48" s="598"/>
      <c r="S48" s="599"/>
      <c r="T48" s="600"/>
      <c r="U48" s="601"/>
    </row>
    <row r="49" spans="2:21">
      <c r="B49" s="602"/>
      <c r="C49" s="621"/>
      <c r="D49" s="622"/>
      <c r="E49" s="623"/>
      <c r="F49" s="621"/>
      <c r="G49" s="621"/>
      <c r="H49" s="625"/>
      <c r="I49" s="592"/>
      <c r="J49" s="602"/>
      <c r="K49" s="593"/>
      <c r="L49" s="628"/>
      <c r="M49" s="589"/>
      <c r="N49" s="604"/>
      <c r="O49" s="588"/>
      <c r="P49" s="592"/>
      <c r="Q49" s="592"/>
      <c r="R49" s="598"/>
      <c r="S49" s="599"/>
      <c r="T49" s="600"/>
      <c r="U49" s="601"/>
    </row>
    <row r="50" spans="2:21">
      <c r="B50" s="602"/>
      <c r="C50" s="621"/>
      <c r="D50" s="622"/>
      <c r="E50" s="623"/>
      <c r="F50" s="621"/>
      <c r="G50" s="621"/>
      <c r="H50" s="625"/>
      <c r="I50" s="592"/>
      <c r="J50" s="602"/>
      <c r="K50" s="593"/>
      <c r="L50" s="628"/>
      <c r="M50" s="589"/>
      <c r="N50" s="604"/>
      <c r="O50" s="588"/>
      <c r="P50" s="592"/>
      <c r="Q50" s="592"/>
      <c r="R50" s="598"/>
      <c r="S50" s="599"/>
      <c r="T50" s="600"/>
      <c r="U50" s="601"/>
    </row>
    <row r="51" spans="2:21">
      <c r="B51" s="629"/>
      <c r="C51" s="630"/>
      <c r="D51" s="631"/>
      <c r="E51" s="630"/>
      <c r="F51" s="630"/>
      <c r="G51" s="630"/>
      <c r="H51" s="630"/>
      <c r="I51" s="631"/>
      <c r="J51" s="629"/>
      <c r="K51" s="632"/>
      <c r="L51" s="631"/>
      <c r="M51" s="630"/>
      <c r="N51" s="604"/>
      <c r="O51" s="588"/>
      <c r="P51" s="631"/>
      <c r="Q51" s="631"/>
      <c r="R51" s="630"/>
      <c r="S51" s="633"/>
      <c r="T51" s="633"/>
      <c r="U51" s="634"/>
    </row>
    <row r="52" spans="2:21">
      <c r="B52" s="578"/>
      <c r="C52" s="579"/>
      <c r="D52" s="578"/>
      <c r="E52" s="578"/>
      <c r="F52" s="578"/>
      <c r="G52" s="578"/>
      <c r="H52" s="578"/>
      <c r="I52" s="578"/>
      <c r="J52" s="578"/>
      <c r="K52" s="578"/>
      <c r="L52" s="578"/>
      <c r="M52" s="578"/>
      <c r="N52" s="578"/>
      <c r="O52" s="578"/>
      <c r="P52" s="579"/>
      <c r="Q52" s="579"/>
      <c r="R52" s="578"/>
      <c r="S52" s="579"/>
      <c r="T52" s="579"/>
      <c r="U52" s="578"/>
    </row>
    <row r="53" spans="2:21">
      <c r="B53" s="576" t="s">
        <v>1988</v>
      </c>
      <c r="C53" s="580"/>
      <c r="P53" s="580"/>
      <c r="Q53" s="580"/>
      <c r="S53" s="580"/>
      <c r="T53" s="580"/>
    </row>
    <row r="54" spans="2:21">
      <c r="B54" s="1253" t="s">
        <v>826</v>
      </c>
      <c r="C54" s="1254"/>
      <c r="D54" s="1255" t="s">
        <v>1029</v>
      </c>
      <c r="E54" s="1256"/>
      <c r="F54" s="1256"/>
      <c r="G54" s="1256"/>
      <c r="H54" s="1256"/>
      <c r="I54" s="1256"/>
      <c r="J54" s="1256"/>
      <c r="K54" s="1256"/>
      <c r="L54" s="1256"/>
      <c r="M54" s="1256"/>
      <c r="N54" s="1256"/>
      <c r="O54" s="1256"/>
      <c r="P54" s="1256"/>
      <c r="Q54" s="1256"/>
      <c r="R54" s="1256"/>
      <c r="S54" s="1256"/>
      <c r="T54" s="1256"/>
      <c r="U54" s="1257"/>
    </row>
    <row r="55" spans="2:21">
      <c r="B55" s="1258" t="s">
        <v>1033</v>
      </c>
      <c r="C55" s="1259"/>
      <c r="D55" s="1260"/>
      <c r="E55" s="1248"/>
      <c r="F55" s="1248"/>
      <c r="G55" s="1248"/>
      <c r="H55" s="1248"/>
      <c r="I55" s="1248"/>
      <c r="J55" s="1248"/>
      <c r="K55" s="1248"/>
      <c r="L55" s="1248"/>
      <c r="M55" s="1248"/>
      <c r="N55" s="1248"/>
      <c r="O55" s="1248"/>
      <c r="P55" s="1248"/>
      <c r="Q55" s="1248"/>
      <c r="R55" s="1248"/>
      <c r="S55" s="1248"/>
      <c r="T55" s="1248"/>
      <c r="U55" s="1261"/>
    </row>
    <row r="56" spans="2:21">
      <c r="B56" s="1272" t="s">
        <v>1038</v>
      </c>
      <c r="C56" s="1268"/>
      <c r="D56" s="1273"/>
      <c r="E56" s="1270"/>
      <c r="F56" s="1270"/>
      <c r="G56" s="1270"/>
      <c r="H56" s="1270"/>
      <c r="I56" s="1270"/>
      <c r="J56" s="1270"/>
      <c r="K56" s="1270"/>
      <c r="L56" s="1270"/>
      <c r="M56" s="1270"/>
      <c r="N56" s="1270"/>
      <c r="O56" s="1270"/>
      <c r="P56" s="1270"/>
      <c r="Q56" s="1270"/>
      <c r="R56" s="1270"/>
      <c r="S56" s="1270"/>
      <c r="T56" s="1270"/>
      <c r="U56" s="1271"/>
    </row>
    <row r="57" spans="2:21">
      <c r="B57" s="580"/>
      <c r="C57" s="580"/>
      <c r="D57" s="580"/>
      <c r="E57" s="580"/>
      <c r="F57" s="580"/>
      <c r="G57" s="580"/>
      <c r="H57" s="580"/>
      <c r="I57" s="580"/>
      <c r="J57" s="580"/>
      <c r="K57" s="580"/>
      <c r="L57" s="580"/>
      <c r="M57" s="580"/>
      <c r="N57" s="580"/>
      <c r="O57" s="580"/>
      <c r="P57" s="580"/>
      <c r="Q57" s="580"/>
      <c r="R57" s="580"/>
      <c r="S57" s="580"/>
      <c r="T57" s="580"/>
      <c r="U57" s="580"/>
    </row>
    <row r="58" spans="2:21">
      <c r="B58" s="576" t="s">
        <v>1989</v>
      </c>
      <c r="C58" s="580"/>
      <c r="P58" s="580"/>
      <c r="Q58" s="580"/>
      <c r="S58" s="580"/>
      <c r="T58" s="580"/>
    </row>
    <row r="59" spans="2:21">
      <c r="B59" s="1274" t="s">
        <v>1049</v>
      </c>
      <c r="C59" s="1254"/>
      <c r="D59" s="1275"/>
      <c r="E59" s="1256"/>
      <c r="F59" s="1256"/>
      <c r="G59" s="1256"/>
      <c r="H59" s="1256"/>
      <c r="I59" s="1256"/>
      <c r="J59" s="1256"/>
      <c r="K59" s="1256"/>
      <c r="L59" s="1256"/>
      <c r="M59" s="1256"/>
      <c r="N59" s="1256"/>
      <c r="O59" s="1256"/>
      <c r="P59" s="1256"/>
      <c r="Q59" s="1256"/>
      <c r="R59" s="1256"/>
      <c r="S59" s="1256"/>
      <c r="T59" s="1256"/>
      <c r="U59" s="1257"/>
    </row>
    <row r="60" spans="2:21">
      <c r="B60" s="1276" t="s">
        <v>1053</v>
      </c>
      <c r="C60" s="1259"/>
      <c r="D60" s="1260"/>
      <c r="E60" s="1248"/>
      <c r="F60" s="1248"/>
      <c r="G60" s="1248"/>
      <c r="H60" s="1248"/>
      <c r="I60" s="1248"/>
      <c r="J60" s="1248"/>
      <c r="K60" s="1248"/>
      <c r="L60" s="1248"/>
      <c r="M60" s="1248"/>
      <c r="N60" s="1248"/>
      <c r="O60" s="1248"/>
      <c r="P60" s="1248"/>
      <c r="Q60" s="1248"/>
      <c r="R60" s="1248"/>
      <c r="S60" s="1248"/>
      <c r="T60" s="1248"/>
      <c r="U60" s="1261"/>
    </row>
    <row r="61" spans="2:21">
      <c r="B61" s="1262" t="s">
        <v>1057</v>
      </c>
      <c r="C61" s="1263"/>
      <c r="D61" s="1264" t="s">
        <v>3217</v>
      </c>
      <c r="E61" s="1265"/>
      <c r="F61" s="1265"/>
      <c r="G61" s="1265"/>
      <c r="H61" s="1265"/>
      <c r="I61" s="1265"/>
      <c r="J61" s="1265"/>
      <c r="K61" s="1265"/>
      <c r="L61" s="1265"/>
      <c r="M61" s="1265"/>
      <c r="N61" s="1265"/>
      <c r="O61" s="1265"/>
      <c r="P61" s="1265"/>
      <c r="Q61" s="1265"/>
      <c r="R61" s="1265"/>
      <c r="S61" s="1265"/>
      <c r="T61" s="1265"/>
      <c r="U61" s="1266"/>
    </row>
    <row r="62" spans="2:21">
      <c r="B62" s="1267" t="s">
        <v>1061</v>
      </c>
      <c r="C62" s="1268"/>
      <c r="D62" s="1269"/>
      <c r="E62" s="1270"/>
      <c r="F62" s="1270"/>
      <c r="G62" s="1270"/>
      <c r="H62" s="1270"/>
      <c r="I62" s="1270"/>
      <c r="J62" s="1270"/>
      <c r="K62" s="1270"/>
      <c r="L62" s="1270"/>
      <c r="M62" s="1270"/>
      <c r="N62" s="1270"/>
      <c r="O62" s="1270"/>
      <c r="P62" s="1270"/>
      <c r="Q62" s="1270"/>
      <c r="R62" s="1270"/>
      <c r="S62" s="1270"/>
      <c r="T62" s="1270"/>
      <c r="U62" s="1271"/>
    </row>
  </sheetData>
  <mergeCells count="26">
    <mergeCell ref="B62:C62"/>
    <mergeCell ref="D62:U62"/>
    <mergeCell ref="B56:C56"/>
    <mergeCell ref="D56:U56"/>
    <mergeCell ref="B59:C59"/>
    <mergeCell ref="D59:U59"/>
    <mergeCell ref="B60:C60"/>
    <mergeCell ref="D60:U60"/>
    <mergeCell ref="B54:C54"/>
    <mergeCell ref="D54:U54"/>
    <mergeCell ref="B55:C55"/>
    <mergeCell ref="D55:U55"/>
    <mergeCell ref="B61:C61"/>
    <mergeCell ref="D61:U61"/>
    <mergeCell ref="B1:C1"/>
    <mergeCell ref="B2:O4"/>
    <mergeCell ref="P2:U2"/>
    <mergeCell ref="P3:U4"/>
    <mergeCell ref="B7:I7"/>
    <mergeCell ref="J7:S7"/>
    <mergeCell ref="T7:T9"/>
    <mergeCell ref="U7:U9"/>
    <mergeCell ref="B8:C8"/>
    <mergeCell ref="D8:I8"/>
    <mergeCell ref="J8:K8"/>
    <mergeCell ref="L8:S8"/>
  </mergeCells>
  <phoneticPr fontId="4" type="noConversion"/>
  <hyperlinks>
    <hyperlink ref="A1" location="List!A1" display="Top" xr:uid="{473D3894-70F4-4F5E-9407-917D81443484}"/>
  </hyperlinks>
  <pageMargins left="0.3" right="0.37" top="0.75" bottom="0.75" header="0" footer="0"/>
  <pageSetup paperSize="9" orientation="portrait"/>
  <customProperties>
    <customPr name="_pios_id" r:id="rId1"/>
  </customPropertie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7132F-90F2-4564-A4F0-DC2F6CB5013F}">
  <sheetPr>
    <pageSetUpPr fitToPage="1"/>
  </sheetPr>
  <dimension ref="A1:U61"/>
  <sheetViews>
    <sheetView showGridLines="0" zoomScaleNormal="100" workbookViewId="0">
      <pane xSplit="9" ySplit="9" topLeftCell="O10" activePane="bottomRight" state="frozen"/>
      <selection pane="topRight" activeCell="Z22" sqref="Z22"/>
      <selection pane="bottomLeft" activeCell="Z22" sqref="Z22"/>
      <selection pane="bottomRight" activeCell="C15" sqref="C15"/>
    </sheetView>
  </sheetViews>
  <sheetFormatPr defaultColWidth="13" defaultRowHeight="13.5"/>
  <cols>
    <col min="1" max="1" width="2.25" style="576" customWidth="1"/>
    <col min="2" max="2" width="4" style="576" customWidth="1"/>
    <col min="3" max="3" width="24.75" style="576" customWidth="1"/>
    <col min="4" max="4" width="15.75" style="576" customWidth="1"/>
    <col min="5" max="5" width="4" style="576" customWidth="1"/>
    <col min="6" max="6" width="9.625" style="576" customWidth="1"/>
    <col min="7" max="7" width="6.625" style="576" customWidth="1"/>
    <col min="8" max="8" width="27.875" style="576" bestFit="1" customWidth="1"/>
    <col min="9" max="9" width="23.5" style="576" customWidth="1"/>
    <col min="10" max="10" width="4" style="576" customWidth="1"/>
    <col min="11" max="11" width="18.25" style="576" customWidth="1"/>
    <col min="12" max="12" width="16.625" style="576" customWidth="1"/>
    <col min="13" max="13" width="4.75" style="576" customWidth="1"/>
    <col min="14" max="14" width="11.375" style="576" customWidth="1"/>
    <col min="15" max="15" width="5.75" style="576" customWidth="1"/>
    <col min="16" max="17" width="24.875" style="576" customWidth="1"/>
    <col min="18" max="18" width="4.5" style="576" customWidth="1"/>
    <col min="19" max="19" width="4" style="576" customWidth="1"/>
    <col min="20" max="20" width="11.75" style="576" customWidth="1"/>
    <col min="21" max="21" width="7.75" style="576" customWidth="1"/>
    <col min="22" max="22" width="18.375" style="576" customWidth="1"/>
    <col min="23" max="26" width="2.25" style="576" customWidth="1"/>
    <col min="27" max="16384" width="13" style="576"/>
  </cols>
  <sheetData>
    <row r="1" spans="1:21">
      <c r="A1" s="575" t="s">
        <v>814</v>
      </c>
      <c r="B1" s="1224"/>
      <c r="C1" s="1224"/>
    </row>
    <row r="2" spans="1:21">
      <c r="B2" s="1225" t="s">
        <v>3397</v>
      </c>
      <c r="C2" s="1226"/>
      <c r="D2" s="1226"/>
      <c r="E2" s="1226"/>
      <c r="F2" s="1226"/>
      <c r="G2" s="1226"/>
      <c r="H2" s="1226"/>
      <c r="I2" s="1226"/>
      <c r="J2" s="1226"/>
      <c r="K2" s="1226"/>
      <c r="L2" s="1226"/>
      <c r="M2" s="1226"/>
      <c r="N2" s="1226"/>
      <c r="O2" s="1226"/>
      <c r="P2" s="1232"/>
      <c r="Q2" s="1233"/>
      <c r="R2" s="1233"/>
      <c r="S2" s="1233"/>
      <c r="T2" s="1233"/>
      <c r="U2" s="1234"/>
    </row>
    <row r="3" spans="1:21">
      <c r="B3" s="1227"/>
      <c r="C3" s="1228"/>
      <c r="D3" s="1228"/>
      <c r="E3" s="1228"/>
      <c r="F3" s="1228"/>
      <c r="G3" s="1228"/>
      <c r="H3" s="1228"/>
      <c r="I3" s="1228"/>
      <c r="J3" s="1228"/>
      <c r="K3" s="1228"/>
      <c r="L3" s="1228"/>
      <c r="M3" s="1228"/>
      <c r="N3" s="1228"/>
      <c r="O3" s="1229"/>
      <c r="P3" s="1235"/>
      <c r="Q3" s="1236"/>
      <c r="R3" s="1236"/>
      <c r="S3" s="1236"/>
      <c r="T3" s="1236"/>
      <c r="U3" s="1237"/>
    </row>
    <row r="4" spans="1:21">
      <c r="B4" s="1230"/>
      <c r="C4" s="1231"/>
      <c r="D4" s="1231"/>
      <c r="E4" s="1231"/>
      <c r="F4" s="1231"/>
      <c r="G4" s="1231"/>
      <c r="H4" s="1231"/>
      <c r="I4" s="1231"/>
      <c r="J4" s="1231"/>
      <c r="K4" s="1231"/>
      <c r="L4" s="1231"/>
      <c r="M4" s="1231"/>
      <c r="N4" s="1231"/>
      <c r="O4" s="1231"/>
      <c r="P4" s="1238"/>
      <c r="Q4" s="1231"/>
      <c r="R4" s="1231"/>
      <c r="S4" s="1231"/>
      <c r="T4" s="1231"/>
      <c r="U4" s="1239"/>
    </row>
    <row r="5" spans="1:21">
      <c r="B5" s="578"/>
      <c r="C5" s="579"/>
      <c r="D5" s="578"/>
      <c r="E5" s="578"/>
      <c r="F5" s="578"/>
      <c r="G5" s="578"/>
      <c r="H5" s="578"/>
      <c r="I5" s="578"/>
      <c r="J5" s="578"/>
      <c r="K5" s="578"/>
      <c r="L5" s="578"/>
      <c r="M5" s="578"/>
      <c r="N5" s="578"/>
      <c r="O5" s="578"/>
      <c r="P5" s="579"/>
      <c r="Q5" s="579"/>
      <c r="R5" s="578"/>
      <c r="S5" s="579"/>
      <c r="T5" s="579"/>
      <c r="U5" s="578"/>
    </row>
    <row r="6" spans="1:21">
      <c r="B6" s="576" t="s">
        <v>1967</v>
      </c>
      <c r="C6" s="580"/>
      <c r="P6" s="580"/>
      <c r="Q6" s="580"/>
      <c r="S6" s="580"/>
      <c r="T6" s="580"/>
    </row>
    <row r="7" spans="1:21">
      <c r="B7" s="1240" t="s">
        <v>1968</v>
      </c>
      <c r="C7" s="1226"/>
      <c r="D7" s="1226"/>
      <c r="E7" s="1226"/>
      <c r="F7" s="1226"/>
      <c r="G7" s="1226"/>
      <c r="H7" s="1226"/>
      <c r="I7" s="1226"/>
      <c r="J7" s="1241" t="s">
        <v>3200</v>
      </c>
      <c r="K7" s="1226"/>
      <c r="L7" s="1226"/>
      <c r="M7" s="1226"/>
      <c r="N7" s="1226"/>
      <c r="O7" s="1226"/>
      <c r="P7" s="1226"/>
      <c r="Q7" s="1226"/>
      <c r="R7" s="1226"/>
      <c r="S7" s="1226"/>
      <c r="T7" s="1242" t="s">
        <v>825</v>
      </c>
      <c r="U7" s="1245" t="s">
        <v>826</v>
      </c>
    </row>
    <row r="8" spans="1:21">
      <c r="B8" s="1247" t="s">
        <v>828</v>
      </c>
      <c r="C8" s="1248"/>
      <c r="D8" s="1249" t="s">
        <v>3398</v>
      </c>
      <c r="E8" s="1250"/>
      <c r="F8" s="1250"/>
      <c r="G8" s="1250"/>
      <c r="H8" s="1250"/>
      <c r="I8" s="1251"/>
      <c r="J8" s="1252" t="s">
        <v>1971</v>
      </c>
      <c r="K8" s="1248"/>
      <c r="L8" s="1249"/>
      <c r="M8" s="1250"/>
      <c r="N8" s="1250"/>
      <c r="O8" s="1250"/>
      <c r="P8" s="1250"/>
      <c r="Q8" s="1250"/>
      <c r="R8" s="1250"/>
      <c r="S8" s="1250"/>
      <c r="T8" s="1243"/>
      <c r="U8" s="1246"/>
    </row>
    <row r="9" spans="1:21" ht="27">
      <c r="B9" s="581" t="s">
        <v>831</v>
      </c>
      <c r="C9" s="582" t="s">
        <v>1973</v>
      </c>
      <c r="D9" s="583" t="s">
        <v>832</v>
      </c>
      <c r="E9" s="583" t="s">
        <v>833</v>
      </c>
      <c r="F9" s="583" t="s">
        <v>834</v>
      </c>
      <c r="G9" s="583" t="s">
        <v>835</v>
      </c>
      <c r="H9" s="583" t="s">
        <v>836</v>
      </c>
      <c r="I9" s="583" t="s">
        <v>3255</v>
      </c>
      <c r="J9" s="584" t="s">
        <v>831</v>
      </c>
      <c r="K9" s="582" t="s">
        <v>1973</v>
      </c>
      <c r="L9" s="583" t="s">
        <v>832</v>
      </c>
      <c r="M9" s="583" t="s">
        <v>833</v>
      </c>
      <c r="N9" s="583" t="s">
        <v>834</v>
      </c>
      <c r="O9" s="583" t="s">
        <v>835</v>
      </c>
      <c r="P9" s="583" t="s">
        <v>836</v>
      </c>
      <c r="Q9" s="583"/>
      <c r="R9" s="585" t="s">
        <v>838</v>
      </c>
      <c r="S9" s="586" t="s">
        <v>839</v>
      </c>
      <c r="T9" s="1244"/>
      <c r="U9" s="1246"/>
    </row>
    <row r="10" spans="1:21">
      <c r="B10" s="602">
        <v>1</v>
      </c>
      <c r="C10" s="588" t="s">
        <v>3399</v>
      </c>
      <c r="D10" s="590" t="s">
        <v>861</v>
      </c>
      <c r="E10" s="589"/>
      <c r="F10" s="588" t="s">
        <v>845</v>
      </c>
      <c r="G10" s="588">
        <v>4</v>
      </c>
      <c r="H10" s="603" t="s">
        <v>862</v>
      </c>
      <c r="I10" s="603"/>
      <c r="J10" s="602" t="e">
        <f>+#REF!+1</f>
        <v>#REF!</v>
      </c>
      <c r="K10" s="593"/>
      <c r="L10" s="493" t="s">
        <v>2862</v>
      </c>
      <c r="M10" s="641" t="s">
        <v>1368</v>
      </c>
      <c r="N10" s="639" t="s">
        <v>1188</v>
      </c>
      <c r="O10" s="641">
        <v>1000</v>
      </c>
      <c r="P10" s="492" t="s">
        <v>862</v>
      </c>
      <c r="Q10" s="597"/>
      <c r="R10" s="598"/>
      <c r="S10" s="599"/>
      <c r="T10" s="600"/>
      <c r="U10" s="601"/>
    </row>
    <row r="11" spans="1:21">
      <c r="B11" s="602">
        <v>2</v>
      </c>
      <c r="C11" s="588" t="s">
        <v>3399</v>
      </c>
      <c r="D11" s="590" t="s">
        <v>1674</v>
      </c>
      <c r="E11" s="589"/>
      <c r="F11" s="591" t="s">
        <v>1225</v>
      </c>
      <c r="G11" s="591">
        <v>10</v>
      </c>
      <c r="H11" s="592" t="s">
        <v>1922</v>
      </c>
      <c r="I11" s="592"/>
      <c r="J11" s="602" t="e">
        <f t="shared" ref="J11:J49" si="0">+J10+1</f>
        <v>#REF!</v>
      </c>
      <c r="K11" s="593"/>
      <c r="L11" s="493" t="s">
        <v>2903</v>
      </c>
      <c r="M11" s="642" t="s">
        <v>1368</v>
      </c>
      <c r="N11" s="639" t="s">
        <v>1188</v>
      </c>
      <c r="O11" s="641">
        <v>1000</v>
      </c>
      <c r="P11" s="492" t="s">
        <v>1922</v>
      </c>
      <c r="Q11" s="592"/>
      <c r="R11" s="598"/>
      <c r="S11" s="599"/>
      <c r="T11" s="600"/>
      <c r="U11" s="601"/>
    </row>
    <row r="12" spans="1:21">
      <c r="B12" s="602">
        <v>3</v>
      </c>
      <c r="C12" s="588" t="s">
        <v>3399</v>
      </c>
      <c r="D12" s="590" t="s">
        <v>3400</v>
      </c>
      <c r="E12" s="589"/>
      <c r="F12" s="591" t="s">
        <v>845</v>
      </c>
      <c r="G12" s="588">
        <v>4</v>
      </c>
      <c r="H12" s="603" t="s">
        <v>3401</v>
      </c>
      <c r="I12" s="603"/>
      <c r="J12" s="602" t="e">
        <f t="shared" si="0"/>
        <v>#REF!</v>
      </c>
      <c r="K12" s="593"/>
      <c r="L12" s="493" t="s">
        <v>3400</v>
      </c>
      <c r="M12" s="642" t="s">
        <v>1368</v>
      </c>
      <c r="N12" s="639" t="s">
        <v>1188</v>
      </c>
      <c r="O12" s="641">
        <v>1000</v>
      </c>
      <c r="P12" s="492" t="s">
        <v>3401</v>
      </c>
      <c r="Q12" s="592"/>
      <c r="R12" s="605"/>
      <c r="S12" s="606"/>
      <c r="T12" s="607"/>
      <c r="U12" s="601"/>
    </row>
    <row r="13" spans="1:21">
      <c r="B13" s="602">
        <v>4</v>
      </c>
      <c r="C13" s="588" t="s">
        <v>3399</v>
      </c>
      <c r="D13" s="590" t="s">
        <v>3402</v>
      </c>
      <c r="E13" s="589"/>
      <c r="F13" s="591" t="s">
        <v>845</v>
      </c>
      <c r="G13" s="591">
        <v>4</v>
      </c>
      <c r="H13" s="592" t="s">
        <v>3403</v>
      </c>
      <c r="I13" s="592"/>
      <c r="J13" s="602" t="e">
        <f t="shared" si="0"/>
        <v>#REF!</v>
      </c>
      <c r="K13" s="593"/>
      <c r="L13" s="493" t="s">
        <v>3402</v>
      </c>
      <c r="M13" s="642" t="s">
        <v>1368</v>
      </c>
      <c r="N13" s="639" t="s">
        <v>1188</v>
      </c>
      <c r="O13" s="641">
        <v>1000</v>
      </c>
      <c r="P13" s="492" t="s">
        <v>3403</v>
      </c>
      <c r="Q13" s="592"/>
      <c r="R13" s="605"/>
      <c r="S13" s="606"/>
      <c r="T13" s="607"/>
      <c r="U13" s="601"/>
    </row>
    <row r="14" spans="1:21">
      <c r="B14" s="602">
        <v>5</v>
      </c>
      <c r="C14" s="588" t="s">
        <v>3399</v>
      </c>
      <c r="D14" s="590" t="s">
        <v>1817</v>
      </c>
      <c r="E14" s="589"/>
      <c r="F14" s="591" t="s">
        <v>845</v>
      </c>
      <c r="G14" s="591">
        <v>4</v>
      </c>
      <c r="H14" s="592" t="s">
        <v>3404</v>
      </c>
      <c r="I14" s="592"/>
      <c r="J14" s="602" t="e">
        <f t="shared" si="0"/>
        <v>#REF!</v>
      </c>
      <c r="K14" s="593"/>
      <c r="L14" s="493" t="s">
        <v>1817</v>
      </c>
      <c r="M14" s="642" t="s">
        <v>1368</v>
      </c>
      <c r="N14" s="639" t="s">
        <v>1188</v>
      </c>
      <c r="O14" s="641">
        <v>1000</v>
      </c>
      <c r="P14" s="492" t="s">
        <v>3404</v>
      </c>
      <c r="Q14" s="592"/>
      <c r="R14" s="605"/>
      <c r="S14" s="599"/>
      <c r="T14" s="600"/>
      <c r="U14" s="601"/>
    </row>
    <row r="15" spans="1:21">
      <c r="B15" s="602">
        <v>6</v>
      </c>
      <c r="C15" s="588" t="s">
        <v>3399</v>
      </c>
      <c r="D15" s="590" t="s">
        <v>1821</v>
      </c>
      <c r="E15" s="589"/>
      <c r="F15" s="591" t="s">
        <v>845</v>
      </c>
      <c r="G15" s="588">
        <v>4</v>
      </c>
      <c r="H15" s="603" t="s">
        <v>3405</v>
      </c>
      <c r="I15" s="603"/>
      <c r="J15" s="602" t="e">
        <f t="shared" si="0"/>
        <v>#REF!</v>
      </c>
      <c r="K15" s="593"/>
      <c r="L15" s="493" t="s">
        <v>1821</v>
      </c>
      <c r="M15" s="642" t="s">
        <v>1368</v>
      </c>
      <c r="N15" s="639" t="s">
        <v>1188</v>
      </c>
      <c r="O15" s="641">
        <v>1000</v>
      </c>
      <c r="P15" s="492" t="s">
        <v>3405</v>
      </c>
      <c r="Q15" s="592"/>
      <c r="R15" s="605"/>
      <c r="S15" s="599"/>
      <c r="T15" s="600"/>
      <c r="U15" s="601"/>
    </row>
    <row r="16" spans="1:21">
      <c r="B16" s="602"/>
      <c r="C16" s="588"/>
      <c r="D16" s="590"/>
      <c r="E16" s="589"/>
      <c r="F16" s="591"/>
      <c r="G16" s="591"/>
      <c r="H16" s="592"/>
      <c r="I16" s="592"/>
      <c r="J16" s="602" t="e">
        <f t="shared" si="0"/>
        <v>#REF!</v>
      </c>
      <c r="K16" s="593"/>
      <c r="L16" s="590"/>
      <c r="M16" s="589"/>
      <c r="N16" s="604"/>
      <c r="O16" s="588"/>
      <c r="P16" s="592"/>
      <c r="Q16" s="592"/>
      <c r="R16" s="605"/>
      <c r="S16" s="599"/>
      <c r="T16" s="600"/>
      <c r="U16" s="601"/>
    </row>
    <row r="17" spans="2:21">
      <c r="B17" s="602"/>
      <c r="C17" s="588"/>
      <c r="D17" s="590"/>
      <c r="E17" s="589"/>
      <c r="F17" s="591"/>
      <c r="G17" s="591"/>
      <c r="H17" s="592"/>
      <c r="I17" s="592"/>
      <c r="J17" s="602" t="e">
        <f t="shared" si="0"/>
        <v>#REF!</v>
      </c>
      <c r="K17" s="593"/>
      <c r="L17" s="594"/>
      <c r="M17" s="608"/>
      <c r="N17" s="596"/>
      <c r="O17" s="595"/>
      <c r="P17" s="597"/>
      <c r="Q17" s="597"/>
      <c r="R17" s="598"/>
      <c r="S17" s="599"/>
      <c r="T17" s="600"/>
      <c r="U17" s="601"/>
    </row>
    <row r="18" spans="2:21">
      <c r="B18" s="602"/>
      <c r="C18" s="588"/>
      <c r="D18" s="590"/>
      <c r="E18" s="589"/>
      <c r="F18" s="591"/>
      <c r="G18" s="588"/>
      <c r="H18" s="592"/>
      <c r="I18" s="609"/>
      <c r="J18" s="602" t="e">
        <f t="shared" si="0"/>
        <v>#REF!</v>
      </c>
      <c r="K18" s="593"/>
      <c r="L18" s="590"/>
      <c r="M18" s="589"/>
      <c r="N18" s="604"/>
      <c r="O18" s="588"/>
      <c r="P18" s="603"/>
      <c r="Q18" s="603"/>
      <c r="R18" s="598"/>
      <c r="S18" s="599"/>
      <c r="T18" s="600"/>
      <c r="U18" s="601"/>
    </row>
    <row r="19" spans="2:21">
      <c r="B19" s="602"/>
      <c r="C19" s="588"/>
      <c r="D19" s="622"/>
      <c r="E19" s="623"/>
      <c r="F19" s="591"/>
      <c r="G19" s="621"/>
      <c r="H19" s="603"/>
      <c r="I19" s="603"/>
      <c r="J19" s="602" t="e">
        <f t="shared" si="0"/>
        <v>#REF!</v>
      </c>
      <c r="K19" s="593"/>
      <c r="L19" s="590"/>
      <c r="M19" s="589"/>
      <c r="N19" s="604"/>
      <c r="O19" s="588"/>
      <c r="P19" s="603"/>
      <c r="Q19" s="603"/>
      <c r="R19" s="598"/>
      <c r="S19" s="599"/>
      <c r="T19" s="600"/>
      <c r="U19" s="601"/>
    </row>
    <row r="20" spans="2:21">
      <c r="B20" s="602"/>
      <c r="C20" s="588"/>
      <c r="D20" s="590"/>
      <c r="E20" s="623"/>
      <c r="F20" s="591"/>
      <c r="G20" s="621"/>
      <c r="H20" s="603"/>
      <c r="I20" s="603"/>
      <c r="J20" s="602" t="e">
        <f t="shared" si="0"/>
        <v>#REF!</v>
      </c>
      <c r="K20" s="593"/>
      <c r="L20" s="590"/>
      <c r="M20" s="589"/>
      <c r="N20" s="604"/>
      <c r="O20" s="588"/>
      <c r="P20" s="603"/>
      <c r="Q20" s="603"/>
      <c r="R20" s="598"/>
      <c r="S20" s="599"/>
      <c r="T20" s="600"/>
      <c r="U20" s="601"/>
    </row>
    <row r="21" spans="2:21">
      <c r="B21" s="602"/>
      <c r="C21" s="588"/>
      <c r="D21" s="590"/>
      <c r="E21" s="623"/>
      <c r="F21" s="591"/>
      <c r="G21" s="621"/>
      <c r="H21" s="603"/>
      <c r="I21" s="603"/>
      <c r="J21" s="602" t="e">
        <f t="shared" si="0"/>
        <v>#REF!</v>
      </c>
      <c r="K21" s="593"/>
      <c r="L21" s="590"/>
      <c r="M21" s="589"/>
      <c r="N21" s="604"/>
      <c r="O21" s="588"/>
      <c r="P21" s="592"/>
      <c r="Q21" s="592"/>
      <c r="R21" s="598"/>
      <c r="S21" s="599"/>
      <c r="T21" s="600"/>
      <c r="U21" s="601"/>
    </row>
    <row r="22" spans="2:21">
      <c r="B22" s="602"/>
      <c r="C22" s="588"/>
      <c r="D22" s="590"/>
      <c r="E22" s="623"/>
      <c r="F22" s="591"/>
      <c r="G22" s="621"/>
      <c r="H22" s="603"/>
      <c r="I22" s="603"/>
      <c r="J22" s="602" t="e">
        <f t="shared" si="0"/>
        <v>#REF!</v>
      </c>
      <c r="K22" s="593"/>
      <c r="L22" s="590"/>
      <c r="M22" s="588"/>
      <c r="N22" s="604"/>
      <c r="O22" s="588"/>
      <c r="P22" s="592"/>
      <c r="Q22" s="592"/>
      <c r="R22" s="598"/>
      <c r="S22" s="599"/>
      <c r="T22" s="600"/>
      <c r="U22" s="601"/>
    </row>
    <row r="23" spans="2:21">
      <c r="B23" s="602"/>
      <c r="C23" s="588"/>
      <c r="D23" s="590"/>
      <c r="E23" s="623"/>
      <c r="F23" s="591"/>
      <c r="G23" s="621"/>
      <c r="H23" s="592"/>
      <c r="I23" s="603"/>
      <c r="J23" s="602" t="e">
        <f t="shared" si="0"/>
        <v>#REF!</v>
      </c>
      <c r="K23" s="593"/>
      <c r="L23" s="590"/>
      <c r="M23" s="589"/>
      <c r="N23" s="604"/>
      <c r="O23" s="588"/>
      <c r="P23" s="603"/>
      <c r="Q23" s="603"/>
      <c r="R23" s="598"/>
      <c r="S23" s="599"/>
      <c r="T23" s="600"/>
      <c r="U23" s="601"/>
    </row>
    <row r="24" spans="2:21">
      <c r="B24" s="602"/>
      <c r="C24" s="588"/>
      <c r="D24" s="590"/>
      <c r="E24" s="623"/>
      <c r="F24" s="591"/>
      <c r="G24" s="621"/>
      <c r="H24" s="592"/>
      <c r="I24" s="603"/>
      <c r="J24" s="602" t="e">
        <f t="shared" si="0"/>
        <v>#REF!</v>
      </c>
      <c r="K24" s="593"/>
      <c r="L24" s="590"/>
      <c r="M24" s="589"/>
      <c r="N24" s="604"/>
      <c r="O24" s="588"/>
      <c r="P24" s="603"/>
      <c r="Q24" s="603"/>
      <c r="R24" s="598"/>
      <c r="S24" s="599"/>
      <c r="T24" s="600"/>
      <c r="U24" s="601"/>
    </row>
    <row r="25" spans="2:21">
      <c r="B25" s="602"/>
      <c r="C25" s="588"/>
      <c r="D25" s="590"/>
      <c r="E25" s="623"/>
      <c r="F25" s="591"/>
      <c r="G25" s="621"/>
      <c r="H25" s="636"/>
      <c r="I25" s="603"/>
      <c r="J25" s="602" t="e">
        <f t="shared" si="0"/>
        <v>#REF!</v>
      </c>
      <c r="K25" s="593"/>
      <c r="L25" s="590"/>
      <c r="M25" s="589"/>
      <c r="N25" s="604"/>
      <c r="O25" s="588"/>
      <c r="P25" s="603"/>
      <c r="Q25" s="603"/>
      <c r="R25" s="598"/>
      <c r="S25" s="599"/>
      <c r="T25" s="600"/>
      <c r="U25" s="601"/>
    </row>
    <row r="26" spans="2:21">
      <c r="B26" s="602"/>
      <c r="C26" s="588"/>
      <c r="D26" s="590"/>
      <c r="E26" s="621"/>
      <c r="F26" s="591"/>
      <c r="G26" s="627"/>
      <c r="H26" s="603"/>
      <c r="I26" s="603"/>
      <c r="J26" s="602" t="e">
        <f t="shared" si="0"/>
        <v>#REF!</v>
      </c>
      <c r="K26" s="593"/>
      <c r="L26" s="590"/>
      <c r="M26" s="589"/>
      <c r="N26" s="604"/>
      <c r="O26" s="588"/>
      <c r="P26" s="603"/>
      <c r="Q26" s="603"/>
      <c r="R26" s="598"/>
      <c r="S26" s="599"/>
      <c r="T26" s="600"/>
      <c r="U26" s="601"/>
    </row>
    <row r="27" spans="2:21">
      <c r="B27" s="602"/>
      <c r="C27" s="588"/>
      <c r="D27" s="590"/>
      <c r="E27" s="623"/>
      <c r="F27" s="591"/>
      <c r="G27" s="621"/>
      <c r="H27" s="603"/>
      <c r="I27" s="603"/>
      <c r="J27" s="602" t="e">
        <f t="shared" si="0"/>
        <v>#REF!</v>
      </c>
      <c r="K27" s="593"/>
      <c r="L27" s="590"/>
      <c r="M27" s="589"/>
      <c r="N27" s="604"/>
      <c r="O27" s="588"/>
      <c r="P27" s="603"/>
      <c r="Q27" s="603"/>
      <c r="R27" s="598"/>
      <c r="S27" s="599"/>
      <c r="T27" s="600"/>
      <c r="U27" s="601"/>
    </row>
    <row r="28" spans="2:21">
      <c r="B28" s="602"/>
      <c r="C28" s="588"/>
      <c r="D28" s="590"/>
      <c r="E28" s="623"/>
      <c r="F28" s="591"/>
      <c r="G28" s="621"/>
      <c r="H28" s="592"/>
      <c r="I28" s="592"/>
      <c r="J28" s="602" t="e">
        <f t="shared" si="0"/>
        <v>#REF!</v>
      </c>
      <c r="K28" s="593"/>
      <c r="L28" s="628"/>
      <c r="M28" s="589"/>
      <c r="N28" s="604"/>
      <c r="O28" s="588"/>
      <c r="P28" s="592"/>
      <c r="Q28" s="592"/>
      <c r="R28" s="598"/>
      <c r="S28" s="599"/>
      <c r="T28" s="600"/>
      <c r="U28" s="601"/>
    </row>
    <row r="29" spans="2:21">
      <c r="B29" s="602"/>
      <c r="C29" s="588"/>
      <c r="D29" s="590"/>
      <c r="E29" s="589"/>
      <c r="F29" s="591"/>
      <c r="G29" s="588"/>
      <c r="H29" s="592"/>
      <c r="I29" s="592"/>
      <c r="J29" s="602" t="e">
        <f t="shared" si="0"/>
        <v>#REF!</v>
      </c>
      <c r="K29" s="593"/>
      <c r="L29" s="628"/>
      <c r="M29" s="589"/>
      <c r="N29" s="604"/>
      <c r="O29" s="588"/>
      <c r="P29" s="592"/>
      <c r="Q29" s="592"/>
      <c r="R29" s="598"/>
      <c r="S29" s="599"/>
      <c r="T29" s="600"/>
      <c r="U29" s="601"/>
    </row>
    <row r="30" spans="2:21">
      <c r="B30" s="602"/>
      <c r="C30" s="588"/>
      <c r="D30" s="590"/>
      <c r="E30" s="623"/>
      <c r="F30" s="591"/>
      <c r="G30" s="621"/>
      <c r="H30" s="592"/>
      <c r="I30" s="592"/>
      <c r="J30" s="602" t="e">
        <f t="shared" si="0"/>
        <v>#REF!</v>
      </c>
      <c r="K30" s="593"/>
      <c r="L30" s="628"/>
      <c r="M30" s="589"/>
      <c r="N30" s="604"/>
      <c r="O30" s="588"/>
      <c r="P30" s="592"/>
      <c r="Q30" s="592"/>
      <c r="R30" s="598"/>
      <c r="S30" s="599"/>
      <c r="T30" s="600"/>
      <c r="U30" s="601"/>
    </row>
    <row r="31" spans="2:21">
      <c r="B31" s="602"/>
      <c r="C31" s="588"/>
      <c r="D31" s="590"/>
      <c r="E31" s="623"/>
      <c r="F31" s="591"/>
      <c r="G31" s="621"/>
      <c r="H31" s="592"/>
      <c r="I31" s="592"/>
      <c r="J31" s="602" t="e">
        <f t="shared" si="0"/>
        <v>#REF!</v>
      </c>
      <c r="K31" s="593"/>
      <c r="L31" s="628"/>
      <c r="M31" s="589"/>
      <c r="N31" s="604"/>
      <c r="O31" s="588"/>
      <c r="P31" s="592"/>
      <c r="Q31" s="592"/>
      <c r="R31" s="598"/>
      <c r="S31" s="599"/>
      <c r="T31" s="600"/>
      <c r="U31" s="601"/>
    </row>
    <row r="32" spans="2:21">
      <c r="B32" s="602"/>
      <c r="C32" s="588"/>
      <c r="D32" s="590"/>
      <c r="E32" s="623"/>
      <c r="F32" s="591"/>
      <c r="G32" s="621"/>
      <c r="H32" s="592"/>
      <c r="I32" s="592"/>
      <c r="J32" s="602" t="e">
        <f t="shared" si="0"/>
        <v>#REF!</v>
      </c>
      <c r="K32" s="593"/>
      <c r="L32" s="628"/>
      <c r="M32" s="589"/>
      <c r="N32" s="604"/>
      <c r="O32" s="588"/>
      <c r="P32" s="592"/>
      <c r="Q32" s="592"/>
      <c r="R32" s="598"/>
      <c r="S32" s="599"/>
      <c r="T32" s="600"/>
      <c r="U32" s="601"/>
    </row>
    <row r="33" spans="2:21">
      <c r="B33" s="602"/>
      <c r="C33" s="588"/>
      <c r="D33" s="590"/>
      <c r="E33" s="623"/>
      <c r="F33" s="591"/>
      <c r="G33" s="621"/>
      <c r="H33" s="592"/>
      <c r="I33" s="592"/>
      <c r="J33" s="602" t="e">
        <f t="shared" si="0"/>
        <v>#REF!</v>
      </c>
      <c r="K33" s="593"/>
      <c r="L33" s="628"/>
      <c r="M33" s="589"/>
      <c r="N33" s="604"/>
      <c r="O33" s="588"/>
      <c r="P33" s="592"/>
      <c r="Q33" s="592"/>
      <c r="R33" s="598"/>
      <c r="S33" s="599"/>
      <c r="T33" s="600"/>
      <c r="U33" s="601"/>
    </row>
    <row r="34" spans="2:21">
      <c r="B34" s="602"/>
      <c r="C34" s="588"/>
      <c r="D34" s="590"/>
      <c r="E34" s="589"/>
      <c r="F34" s="591"/>
      <c r="G34" s="588"/>
      <c r="H34" s="592"/>
      <c r="I34" s="592"/>
      <c r="J34" s="602" t="e">
        <f t="shared" si="0"/>
        <v>#REF!</v>
      </c>
      <c r="K34" s="593"/>
      <c r="L34" s="628"/>
      <c r="M34" s="589"/>
      <c r="N34" s="604"/>
      <c r="O34" s="588"/>
      <c r="P34" s="592"/>
      <c r="Q34" s="592"/>
      <c r="R34" s="598"/>
      <c r="S34" s="599"/>
      <c r="T34" s="600"/>
      <c r="U34" s="601"/>
    </row>
    <row r="35" spans="2:21">
      <c r="B35" s="602"/>
      <c r="C35" s="588"/>
      <c r="D35" s="590"/>
      <c r="E35" s="589"/>
      <c r="F35" s="591"/>
      <c r="G35" s="588"/>
      <c r="H35" s="592"/>
      <c r="I35" s="592"/>
      <c r="J35" s="602" t="e">
        <f t="shared" si="0"/>
        <v>#REF!</v>
      </c>
      <c r="K35" s="593"/>
      <c r="L35" s="628"/>
      <c r="M35" s="589"/>
      <c r="N35" s="604"/>
      <c r="O35" s="588"/>
      <c r="P35" s="592"/>
      <c r="Q35" s="592"/>
      <c r="R35" s="598"/>
      <c r="S35" s="599"/>
      <c r="T35" s="600"/>
      <c r="U35" s="601"/>
    </row>
    <row r="36" spans="2:21">
      <c r="B36" s="602"/>
      <c r="C36" s="588"/>
      <c r="D36" s="590"/>
      <c r="E36" s="589"/>
      <c r="F36" s="591"/>
      <c r="G36" s="588"/>
      <c r="H36" s="592"/>
      <c r="I36" s="592"/>
      <c r="J36" s="602" t="e">
        <f t="shared" si="0"/>
        <v>#REF!</v>
      </c>
      <c r="K36" s="593"/>
      <c r="L36" s="628"/>
      <c r="M36" s="589"/>
      <c r="N36" s="604"/>
      <c r="O36" s="588"/>
      <c r="P36" s="592"/>
      <c r="Q36" s="592"/>
      <c r="R36" s="598"/>
      <c r="S36" s="599"/>
      <c r="T36" s="600"/>
      <c r="U36" s="601"/>
    </row>
    <row r="37" spans="2:21">
      <c r="B37" s="602"/>
      <c r="C37" s="588"/>
      <c r="D37" s="590"/>
      <c r="E37" s="589"/>
      <c r="F37" s="591"/>
      <c r="G37" s="591"/>
      <c r="H37" s="592"/>
      <c r="I37" s="592"/>
      <c r="J37" s="602" t="e">
        <f t="shared" si="0"/>
        <v>#REF!</v>
      </c>
      <c r="K37" s="593"/>
      <c r="L37" s="628"/>
      <c r="M37" s="589"/>
      <c r="N37" s="604"/>
      <c r="O37" s="588"/>
      <c r="P37" s="592"/>
      <c r="Q37" s="592"/>
      <c r="R37" s="598"/>
      <c r="S37" s="599"/>
      <c r="T37" s="600"/>
      <c r="U37" s="601"/>
    </row>
    <row r="38" spans="2:21">
      <c r="B38" s="602"/>
      <c r="C38" s="588"/>
      <c r="D38" s="590"/>
      <c r="E38" s="589"/>
      <c r="F38" s="591"/>
      <c r="G38" s="591"/>
      <c r="H38" s="592"/>
      <c r="I38" s="592"/>
      <c r="J38" s="602" t="e">
        <f t="shared" si="0"/>
        <v>#REF!</v>
      </c>
      <c r="K38" s="593"/>
      <c r="L38" s="628"/>
      <c r="M38" s="589"/>
      <c r="N38" s="604"/>
      <c r="O38" s="588"/>
      <c r="P38" s="592"/>
      <c r="Q38" s="592"/>
      <c r="R38" s="598"/>
      <c r="S38" s="599"/>
      <c r="T38" s="600"/>
      <c r="U38" s="601"/>
    </row>
    <row r="39" spans="2:21" ht="17.25" customHeight="1">
      <c r="B39" s="602"/>
      <c r="C39" s="588"/>
      <c r="D39" s="590"/>
      <c r="E39" s="589"/>
      <c r="F39" s="591"/>
      <c r="G39" s="591"/>
      <c r="H39" s="592"/>
      <c r="I39" s="592"/>
      <c r="J39" s="602" t="e">
        <f t="shared" si="0"/>
        <v>#REF!</v>
      </c>
      <c r="K39" s="593"/>
      <c r="L39" s="628"/>
      <c r="M39" s="589"/>
      <c r="N39" s="604"/>
      <c r="O39" s="588"/>
      <c r="P39" s="592"/>
      <c r="Q39" s="592"/>
      <c r="R39" s="598"/>
      <c r="S39" s="599"/>
      <c r="T39" s="600"/>
      <c r="U39" s="601"/>
    </row>
    <row r="40" spans="2:21">
      <c r="B40" s="602"/>
      <c r="C40" s="588"/>
      <c r="D40" s="590"/>
      <c r="E40" s="623"/>
      <c r="F40" s="591"/>
      <c r="G40" s="621"/>
      <c r="H40" s="592"/>
      <c r="I40" s="592"/>
      <c r="J40" s="602" t="e">
        <f t="shared" si="0"/>
        <v>#REF!</v>
      </c>
      <c r="K40" s="593"/>
      <c r="L40" s="628"/>
      <c r="M40" s="589"/>
      <c r="N40" s="604"/>
      <c r="O40" s="588"/>
      <c r="P40" s="592"/>
      <c r="Q40" s="592"/>
      <c r="R40" s="598"/>
      <c r="S40" s="599"/>
      <c r="T40" s="600"/>
      <c r="U40" s="601"/>
    </row>
    <row r="41" spans="2:21">
      <c r="B41" s="602"/>
      <c r="C41" s="588"/>
      <c r="D41" s="590"/>
      <c r="E41" s="623"/>
      <c r="F41" s="591"/>
      <c r="G41" s="621"/>
      <c r="H41" s="592"/>
      <c r="I41" s="592"/>
      <c r="J41" s="602"/>
      <c r="K41" s="593"/>
      <c r="L41" s="628"/>
      <c r="M41" s="589"/>
      <c r="N41" s="604"/>
      <c r="O41" s="588"/>
      <c r="P41" s="592"/>
      <c r="Q41" s="592"/>
      <c r="R41" s="598"/>
      <c r="S41" s="599"/>
      <c r="T41" s="600"/>
      <c r="U41" s="601"/>
    </row>
    <row r="42" spans="2:21">
      <c r="B42" s="602"/>
      <c r="C42" s="588"/>
      <c r="D42" s="590"/>
      <c r="E42" s="623"/>
      <c r="F42" s="591"/>
      <c r="G42" s="621"/>
      <c r="H42" s="592"/>
      <c r="I42" s="592"/>
      <c r="J42" s="602"/>
      <c r="K42" s="593"/>
      <c r="L42" s="628"/>
      <c r="M42" s="589"/>
      <c r="N42" s="604"/>
      <c r="O42" s="588"/>
      <c r="P42" s="592"/>
      <c r="Q42" s="592"/>
      <c r="R42" s="598"/>
      <c r="S42" s="599"/>
      <c r="T42" s="600"/>
      <c r="U42" s="601"/>
    </row>
    <row r="43" spans="2:21">
      <c r="B43" s="602"/>
      <c r="C43" s="588"/>
      <c r="D43" s="590"/>
      <c r="E43" s="623"/>
      <c r="F43" s="591"/>
      <c r="G43" s="621"/>
      <c r="H43" s="592"/>
      <c r="I43" s="592"/>
      <c r="J43" s="602"/>
      <c r="K43" s="593"/>
      <c r="L43" s="628"/>
      <c r="M43" s="589"/>
      <c r="N43" s="604"/>
      <c r="O43" s="588"/>
      <c r="P43" s="592"/>
      <c r="Q43" s="592"/>
      <c r="R43" s="598"/>
      <c r="S43" s="599"/>
      <c r="T43" s="600"/>
      <c r="U43" s="601"/>
    </row>
    <row r="44" spans="2:21">
      <c r="B44" s="602"/>
      <c r="C44" s="588"/>
      <c r="D44" s="590"/>
      <c r="E44" s="623"/>
      <c r="F44" s="591"/>
      <c r="G44" s="621"/>
      <c r="H44" s="592"/>
      <c r="I44" s="592"/>
      <c r="J44" s="602"/>
      <c r="K44" s="593"/>
      <c r="L44" s="628"/>
      <c r="M44" s="589"/>
      <c r="N44" s="604"/>
      <c r="O44" s="588"/>
      <c r="P44" s="592"/>
      <c r="Q44" s="592"/>
      <c r="R44" s="598"/>
      <c r="S44" s="599"/>
      <c r="T44" s="600"/>
      <c r="U44" s="601"/>
    </row>
    <row r="45" spans="2:21">
      <c r="B45" s="602">
        <f t="shared" ref="B45:B49" si="1">+B44+1</f>
        <v>1</v>
      </c>
      <c r="C45" s="588"/>
      <c r="D45" s="590"/>
      <c r="E45" s="623"/>
      <c r="F45" s="591"/>
      <c r="G45" s="621"/>
      <c r="H45" s="592"/>
      <c r="I45" s="592"/>
      <c r="J45" s="602"/>
      <c r="K45" s="593"/>
      <c r="L45" s="628"/>
      <c r="M45" s="589"/>
      <c r="N45" s="604"/>
      <c r="O45" s="588"/>
      <c r="P45" s="592"/>
      <c r="Q45" s="592"/>
      <c r="R45" s="598"/>
      <c r="S45" s="599"/>
      <c r="T45" s="600"/>
      <c r="U45" s="601"/>
    </row>
    <row r="46" spans="2:21">
      <c r="B46" s="602">
        <f t="shared" si="1"/>
        <v>2</v>
      </c>
      <c r="C46" s="588"/>
      <c r="D46" s="590"/>
      <c r="E46" s="623"/>
      <c r="F46" s="591"/>
      <c r="G46" s="621"/>
      <c r="H46" s="592"/>
      <c r="I46" s="592"/>
      <c r="J46" s="602"/>
      <c r="K46" s="593"/>
      <c r="L46" s="628"/>
      <c r="M46" s="589"/>
      <c r="N46" s="604"/>
      <c r="O46" s="588"/>
      <c r="P46" s="592"/>
      <c r="Q46" s="592"/>
      <c r="R46" s="598"/>
      <c r="S46" s="599"/>
      <c r="T46" s="600"/>
      <c r="U46" s="601"/>
    </row>
    <row r="47" spans="2:21">
      <c r="B47" s="602">
        <f t="shared" si="1"/>
        <v>3</v>
      </c>
      <c r="C47" s="621"/>
      <c r="D47" s="622"/>
      <c r="E47" s="623"/>
      <c r="F47" s="621"/>
      <c r="G47" s="621"/>
      <c r="H47" s="625"/>
      <c r="I47" s="592"/>
      <c r="J47" s="602" t="e">
        <f>+J40+1</f>
        <v>#REF!</v>
      </c>
      <c r="K47" s="593"/>
      <c r="L47" s="628"/>
      <c r="M47" s="589"/>
      <c r="N47" s="604"/>
      <c r="O47" s="588"/>
      <c r="P47" s="592"/>
      <c r="Q47" s="592"/>
      <c r="R47" s="598"/>
      <c r="S47" s="599"/>
      <c r="T47" s="600"/>
      <c r="U47" s="601"/>
    </row>
    <row r="48" spans="2:21">
      <c r="B48" s="602">
        <f t="shared" si="1"/>
        <v>4</v>
      </c>
      <c r="C48" s="621"/>
      <c r="D48" s="622"/>
      <c r="E48" s="623"/>
      <c r="F48" s="621"/>
      <c r="G48" s="621"/>
      <c r="H48" s="625"/>
      <c r="I48" s="592"/>
      <c r="J48" s="602" t="e">
        <f t="shared" si="0"/>
        <v>#REF!</v>
      </c>
      <c r="K48" s="593"/>
      <c r="L48" s="628"/>
      <c r="M48" s="589"/>
      <c r="N48" s="604"/>
      <c r="O48" s="588"/>
      <c r="P48" s="592"/>
      <c r="Q48" s="592"/>
      <c r="R48" s="598"/>
      <c r="S48" s="599"/>
      <c r="T48" s="600"/>
      <c r="U48" s="601"/>
    </row>
    <row r="49" spans="2:21">
      <c r="B49" s="602">
        <f t="shared" si="1"/>
        <v>5</v>
      </c>
      <c r="C49" s="621"/>
      <c r="D49" s="622"/>
      <c r="E49" s="623"/>
      <c r="F49" s="621"/>
      <c r="G49" s="621"/>
      <c r="H49" s="625"/>
      <c r="I49" s="592"/>
      <c r="J49" s="602" t="e">
        <f t="shared" si="0"/>
        <v>#REF!</v>
      </c>
      <c r="K49" s="593"/>
      <c r="L49" s="628"/>
      <c r="M49" s="589"/>
      <c r="N49" s="604"/>
      <c r="O49" s="588"/>
      <c r="P49" s="592"/>
      <c r="Q49" s="592"/>
      <c r="R49" s="598"/>
      <c r="S49" s="599"/>
      <c r="T49" s="600"/>
      <c r="U49" s="601"/>
    </row>
    <row r="50" spans="2:21">
      <c r="B50" s="629"/>
      <c r="C50" s="630"/>
      <c r="D50" s="631"/>
      <c r="E50" s="630"/>
      <c r="F50" s="630"/>
      <c r="G50" s="630"/>
      <c r="H50" s="630"/>
      <c r="I50" s="631"/>
      <c r="J50" s="629"/>
      <c r="K50" s="632"/>
      <c r="L50" s="631"/>
      <c r="M50" s="630"/>
      <c r="N50" s="604"/>
      <c r="O50" s="588"/>
      <c r="P50" s="631"/>
      <c r="Q50" s="631"/>
      <c r="R50" s="630"/>
      <c r="S50" s="633"/>
      <c r="T50" s="633"/>
      <c r="U50" s="634"/>
    </row>
    <row r="51" spans="2:21">
      <c r="B51" s="578"/>
      <c r="C51" s="579"/>
      <c r="D51" s="578"/>
      <c r="E51" s="578"/>
      <c r="F51" s="578"/>
      <c r="G51" s="578"/>
      <c r="H51" s="578"/>
      <c r="I51" s="578"/>
      <c r="J51" s="578"/>
      <c r="K51" s="578"/>
      <c r="L51" s="578"/>
      <c r="M51" s="578"/>
      <c r="N51" s="578"/>
      <c r="O51" s="578"/>
      <c r="P51" s="579"/>
      <c r="Q51" s="579"/>
      <c r="R51" s="578"/>
      <c r="S51" s="579"/>
      <c r="T51" s="579"/>
      <c r="U51" s="578"/>
    </row>
    <row r="52" spans="2:21">
      <c r="B52" s="576" t="s">
        <v>1988</v>
      </c>
      <c r="C52" s="580"/>
      <c r="P52" s="580"/>
      <c r="Q52" s="580"/>
      <c r="S52" s="580"/>
      <c r="T52" s="580"/>
    </row>
    <row r="53" spans="2:21">
      <c r="B53" s="1253" t="s">
        <v>826</v>
      </c>
      <c r="C53" s="1254"/>
      <c r="D53" s="1255" t="s">
        <v>1029</v>
      </c>
      <c r="E53" s="1256"/>
      <c r="F53" s="1256"/>
      <c r="G53" s="1256"/>
      <c r="H53" s="1256"/>
      <c r="I53" s="1256"/>
      <c r="J53" s="1256"/>
      <c r="K53" s="1256"/>
      <c r="L53" s="1256"/>
      <c r="M53" s="1256"/>
      <c r="N53" s="1256"/>
      <c r="O53" s="1256"/>
      <c r="P53" s="1256"/>
      <c r="Q53" s="1256"/>
      <c r="R53" s="1256"/>
      <c r="S53" s="1256"/>
      <c r="T53" s="1256"/>
      <c r="U53" s="1257"/>
    </row>
    <row r="54" spans="2:21">
      <c r="B54" s="1258" t="s">
        <v>1033</v>
      </c>
      <c r="C54" s="1259"/>
      <c r="D54" s="1260"/>
      <c r="E54" s="1248"/>
      <c r="F54" s="1248"/>
      <c r="G54" s="1248"/>
      <c r="H54" s="1248"/>
      <c r="I54" s="1248"/>
      <c r="J54" s="1248"/>
      <c r="K54" s="1248"/>
      <c r="L54" s="1248"/>
      <c r="M54" s="1248"/>
      <c r="N54" s="1248"/>
      <c r="O54" s="1248"/>
      <c r="P54" s="1248"/>
      <c r="Q54" s="1248"/>
      <c r="R54" s="1248"/>
      <c r="S54" s="1248"/>
      <c r="T54" s="1248"/>
      <c r="U54" s="1261"/>
    </row>
    <row r="55" spans="2:21">
      <c r="B55" s="1272" t="s">
        <v>1038</v>
      </c>
      <c r="C55" s="1268"/>
      <c r="D55" s="1273"/>
      <c r="E55" s="1270"/>
      <c r="F55" s="1270"/>
      <c r="G55" s="1270"/>
      <c r="H55" s="1270"/>
      <c r="I55" s="1270"/>
      <c r="J55" s="1270"/>
      <c r="K55" s="1270"/>
      <c r="L55" s="1270"/>
      <c r="M55" s="1270"/>
      <c r="N55" s="1270"/>
      <c r="O55" s="1270"/>
      <c r="P55" s="1270"/>
      <c r="Q55" s="1270"/>
      <c r="R55" s="1270"/>
      <c r="S55" s="1270"/>
      <c r="T55" s="1270"/>
      <c r="U55" s="1271"/>
    </row>
    <row r="56" spans="2:21">
      <c r="B56" s="580"/>
      <c r="C56" s="580"/>
      <c r="D56" s="580"/>
      <c r="E56" s="580"/>
      <c r="F56" s="580"/>
      <c r="G56" s="580"/>
      <c r="H56" s="580"/>
      <c r="I56" s="580"/>
      <c r="J56" s="580"/>
      <c r="K56" s="580"/>
      <c r="L56" s="580"/>
      <c r="M56" s="580"/>
      <c r="N56" s="580"/>
      <c r="O56" s="580"/>
      <c r="P56" s="580"/>
      <c r="Q56" s="580"/>
      <c r="R56" s="580"/>
      <c r="S56" s="580"/>
      <c r="T56" s="580"/>
      <c r="U56" s="580"/>
    </row>
    <row r="57" spans="2:21">
      <c r="B57" s="576" t="s">
        <v>1989</v>
      </c>
      <c r="C57" s="580"/>
      <c r="P57" s="580"/>
      <c r="Q57" s="580"/>
      <c r="S57" s="580"/>
      <c r="T57" s="580"/>
    </row>
    <row r="58" spans="2:21">
      <c r="B58" s="1274" t="s">
        <v>1049</v>
      </c>
      <c r="C58" s="1254"/>
      <c r="D58" s="1275"/>
      <c r="E58" s="1256"/>
      <c r="F58" s="1256"/>
      <c r="G58" s="1256"/>
      <c r="H58" s="1256"/>
      <c r="I58" s="1256"/>
      <c r="J58" s="1256"/>
      <c r="K58" s="1256"/>
      <c r="L58" s="1256"/>
      <c r="M58" s="1256"/>
      <c r="N58" s="1256"/>
      <c r="O58" s="1256"/>
      <c r="P58" s="1256"/>
      <c r="Q58" s="1256"/>
      <c r="R58" s="1256"/>
      <c r="S58" s="1256"/>
      <c r="T58" s="1256"/>
      <c r="U58" s="1257"/>
    </row>
    <row r="59" spans="2:21">
      <c r="B59" s="1276" t="s">
        <v>1053</v>
      </c>
      <c r="C59" s="1259"/>
      <c r="D59" s="1260"/>
      <c r="E59" s="1248"/>
      <c r="F59" s="1248"/>
      <c r="G59" s="1248"/>
      <c r="H59" s="1248"/>
      <c r="I59" s="1248"/>
      <c r="J59" s="1248"/>
      <c r="K59" s="1248"/>
      <c r="L59" s="1248"/>
      <c r="M59" s="1248"/>
      <c r="N59" s="1248"/>
      <c r="O59" s="1248"/>
      <c r="P59" s="1248"/>
      <c r="Q59" s="1248"/>
      <c r="R59" s="1248"/>
      <c r="S59" s="1248"/>
      <c r="T59" s="1248"/>
      <c r="U59" s="1261"/>
    </row>
    <row r="60" spans="2:21">
      <c r="B60" s="1262" t="s">
        <v>1057</v>
      </c>
      <c r="C60" s="1263"/>
      <c r="D60" s="1264" t="s">
        <v>3217</v>
      </c>
      <c r="E60" s="1265"/>
      <c r="F60" s="1265"/>
      <c r="G60" s="1265"/>
      <c r="H60" s="1265"/>
      <c r="I60" s="1265"/>
      <c r="J60" s="1265"/>
      <c r="K60" s="1265"/>
      <c r="L60" s="1265"/>
      <c r="M60" s="1265"/>
      <c r="N60" s="1265"/>
      <c r="O60" s="1265"/>
      <c r="P60" s="1265"/>
      <c r="Q60" s="1265"/>
      <c r="R60" s="1265"/>
      <c r="S60" s="1265"/>
      <c r="T60" s="1265"/>
      <c r="U60" s="1266"/>
    </row>
    <row r="61" spans="2:21">
      <c r="B61" s="1267" t="s">
        <v>1061</v>
      </c>
      <c r="C61" s="1268"/>
      <c r="D61" s="1269"/>
      <c r="E61" s="1270"/>
      <c r="F61" s="1270"/>
      <c r="G61" s="1270"/>
      <c r="H61" s="1270"/>
      <c r="I61" s="1270"/>
      <c r="J61" s="1270"/>
      <c r="K61" s="1270"/>
      <c r="L61" s="1270"/>
      <c r="M61" s="1270"/>
      <c r="N61" s="1270"/>
      <c r="O61" s="1270"/>
      <c r="P61" s="1270"/>
      <c r="Q61" s="1270"/>
      <c r="R61" s="1270"/>
      <c r="S61" s="1270"/>
      <c r="T61" s="1270"/>
      <c r="U61" s="1271"/>
    </row>
  </sheetData>
  <mergeCells count="26">
    <mergeCell ref="B61:C61"/>
    <mergeCell ref="D61:U61"/>
    <mergeCell ref="B55:C55"/>
    <mergeCell ref="D55:U55"/>
    <mergeCell ref="B58:C58"/>
    <mergeCell ref="D58:U58"/>
    <mergeCell ref="B59:C59"/>
    <mergeCell ref="D59:U59"/>
    <mergeCell ref="B53:C53"/>
    <mergeCell ref="D53:U53"/>
    <mergeCell ref="B54:C54"/>
    <mergeCell ref="D54:U54"/>
    <mergeCell ref="B60:C60"/>
    <mergeCell ref="D60:U60"/>
    <mergeCell ref="B1:C1"/>
    <mergeCell ref="B2:O4"/>
    <mergeCell ref="P2:U2"/>
    <mergeCell ref="P3:U4"/>
    <mergeCell ref="B7:I7"/>
    <mergeCell ref="J7:S7"/>
    <mergeCell ref="T7:T9"/>
    <mergeCell ref="U7:U9"/>
    <mergeCell ref="B8:C8"/>
    <mergeCell ref="D8:I8"/>
    <mergeCell ref="J8:K8"/>
    <mergeCell ref="L8:S8"/>
  </mergeCells>
  <phoneticPr fontId="4" type="noConversion"/>
  <hyperlinks>
    <hyperlink ref="A1" location="List!A1" display="Top" xr:uid="{E695F571-86E5-4556-9B19-97BBB1F23504}"/>
  </hyperlinks>
  <pageMargins left="0.3" right="0.37" top="0.75" bottom="0.75" header="0" footer="0"/>
  <pageSetup paperSize="9" orientation="portrait"/>
  <customProperties>
    <customPr name="_pios_id" r:id="rId1"/>
  </customPropertie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BD4FB-6783-440F-B37D-45065D3C5F97}">
  <sheetPr>
    <pageSetUpPr fitToPage="1"/>
  </sheetPr>
  <dimension ref="A1:V78"/>
  <sheetViews>
    <sheetView showGridLines="0" zoomScaleNormal="100" workbookViewId="0">
      <pane xSplit="9" ySplit="9" topLeftCell="K10" activePane="bottomRight" state="frozen"/>
      <selection pane="topRight" activeCell="Z22" sqref="Z22"/>
      <selection pane="bottomLeft" activeCell="Z22" sqref="Z22"/>
      <selection pane="bottomRight" activeCell="G21" sqref="G21"/>
    </sheetView>
  </sheetViews>
  <sheetFormatPr defaultColWidth="13" defaultRowHeight="13.5"/>
  <cols>
    <col min="1" max="1" width="2.25" style="576" customWidth="1"/>
    <col min="2" max="2" width="4" style="576" customWidth="1"/>
    <col min="3" max="3" width="24.75" style="576" customWidth="1"/>
    <col min="4" max="4" width="15.75" style="576" customWidth="1"/>
    <col min="5" max="5" width="4" style="576" customWidth="1"/>
    <col min="6" max="6" width="9.625" style="576" customWidth="1"/>
    <col min="7" max="7" width="6.625" style="576" customWidth="1"/>
    <col min="8" max="8" width="27.875" style="576" bestFit="1" customWidth="1"/>
    <col min="9" max="9" width="15.75" style="576" customWidth="1"/>
    <col min="10" max="10" width="4" style="576" customWidth="1"/>
    <col min="11" max="11" width="18.25" style="576" customWidth="1"/>
    <col min="12" max="12" width="16.625" style="576" customWidth="1"/>
    <col min="13" max="13" width="4.75" style="576" customWidth="1"/>
    <col min="14" max="14" width="11.375" style="576" customWidth="1"/>
    <col min="15" max="15" width="5.75" style="576" customWidth="1"/>
    <col min="16" max="16" width="21.125" style="576" bestFit="1" customWidth="1"/>
    <col min="17" max="17" width="12.125" style="576" customWidth="1"/>
    <col min="18" max="18" width="4.5" style="576" customWidth="1"/>
    <col min="19" max="19" width="4" style="576" customWidth="1"/>
    <col min="20" max="20" width="11.75" style="576" customWidth="1"/>
    <col min="21" max="21" width="7.75" style="576" customWidth="1"/>
    <col min="22" max="22" width="13" style="576" bestFit="1" customWidth="1"/>
    <col min="23" max="26" width="2.25" style="576" customWidth="1"/>
    <col min="27" max="16384" width="13" style="576"/>
  </cols>
  <sheetData>
    <row r="1" spans="1:21">
      <c r="A1" s="575" t="s">
        <v>814</v>
      </c>
      <c r="B1" s="1224"/>
      <c r="C1" s="1224"/>
    </row>
    <row r="2" spans="1:21">
      <c r="B2" s="1225" t="s">
        <v>3406</v>
      </c>
      <c r="C2" s="1226"/>
      <c r="D2" s="1226"/>
      <c r="E2" s="1226"/>
      <c r="F2" s="1226"/>
      <c r="G2" s="1226"/>
      <c r="H2" s="1226"/>
      <c r="I2" s="1226"/>
      <c r="J2" s="1226"/>
      <c r="K2" s="1226"/>
      <c r="L2" s="1226"/>
      <c r="M2" s="1226"/>
      <c r="N2" s="1226"/>
      <c r="O2" s="1226"/>
      <c r="P2" s="1232"/>
      <c r="Q2" s="1233"/>
      <c r="R2" s="1233"/>
      <c r="S2" s="1233"/>
      <c r="T2" s="1233"/>
      <c r="U2" s="1234"/>
    </row>
    <row r="3" spans="1:21">
      <c r="B3" s="1227"/>
      <c r="C3" s="1228"/>
      <c r="D3" s="1228"/>
      <c r="E3" s="1228"/>
      <c r="F3" s="1228"/>
      <c r="G3" s="1228"/>
      <c r="H3" s="1228"/>
      <c r="I3" s="1228"/>
      <c r="J3" s="1228"/>
      <c r="K3" s="1228"/>
      <c r="L3" s="1228"/>
      <c r="M3" s="1228"/>
      <c r="N3" s="1228"/>
      <c r="O3" s="1229"/>
      <c r="P3" s="1235"/>
      <c r="Q3" s="1236"/>
      <c r="R3" s="1236"/>
      <c r="S3" s="1236"/>
      <c r="T3" s="1236"/>
      <c r="U3" s="1237"/>
    </row>
    <row r="4" spans="1:21">
      <c r="B4" s="1230"/>
      <c r="C4" s="1231"/>
      <c r="D4" s="1231"/>
      <c r="E4" s="1231"/>
      <c r="F4" s="1231"/>
      <c r="G4" s="1231"/>
      <c r="H4" s="1231"/>
      <c r="I4" s="1231"/>
      <c r="J4" s="1231"/>
      <c r="K4" s="1231"/>
      <c r="L4" s="1231"/>
      <c r="M4" s="1231"/>
      <c r="N4" s="1231"/>
      <c r="O4" s="1231"/>
      <c r="P4" s="1238"/>
      <c r="Q4" s="1231"/>
      <c r="R4" s="1231"/>
      <c r="S4" s="1231"/>
      <c r="T4" s="1231"/>
      <c r="U4" s="1239"/>
    </row>
    <row r="5" spans="1:21">
      <c r="B5" s="578"/>
      <c r="C5" s="579"/>
      <c r="D5" s="578"/>
      <c r="E5" s="578"/>
      <c r="F5" s="578"/>
      <c r="G5" s="578"/>
      <c r="H5" s="578"/>
      <c r="I5" s="578"/>
      <c r="J5" s="578"/>
      <c r="K5" s="578"/>
      <c r="L5" s="578"/>
      <c r="M5" s="578"/>
      <c r="N5" s="578"/>
      <c r="O5" s="578"/>
      <c r="P5" s="579"/>
      <c r="Q5" s="579"/>
      <c r="R5" s="578"/>
      <c r="S5" s="579"/>
      <c r="T5" s="579"/>
      <c r="U5" s="578"/>
    </row>
    <row r="6" spans="1:21">
      <c r="B6" s="576" t="s">
        <v>1967</v>
      </c>
      <c r="C6" s="580"/>
      <c r="P6" s="580"/>
      <c r="Q6" s="580"/>
      <c r="S6" s="580"/>
      <c r="T6" s="580"/>
    </row>
    <row r="7" spans="1:21">
      <c r="B7" s="1240" t="s">
        <v>1968</v>
      </c>
      <c r="C7" s="1226"/>
      <c r="D7" s="1226"/>
      <c r="E7" s="1226"/>
      <c r="F7" s="1226"/>
      <c r="G7" s="1226"/>
      <c r="H7" s="1226"/>
      <c r="I7" s="1226"/>
      <c r="J7" s="1241" t="s">
        <v>3200</v>
      </c>
      <c r="K7" s="1226"/>
      <c r="L7" s="1226"/>
      <c r="M7" s="1226"/>
      <c r="N7" s="1226"/>
      <c r="O7" s="1226"/>
      <c r="P7" s="1226"/>
      <c r="Q7" s="1226"/>
      <c r="R7" s="1226"/>
      <c r="S7" s="1226"/>
      <c r="T7" s="1242" t="s">
        <v>825</v>
      </c>
      <c r="U7" s="1245" t="s">
        <v>826</v>
      </c>
    </row>
    <row r="8" spans="1:21">
      <c r="B8" s="1247" t="s">
        <v>828</v>
      </c>
      <c r="C8" s="1248"/>
      <c r="D8" s="1249"/>
      <c r="E8" s="1250"/>
      <c r="F8" s="1250"/>
      <c r="G8" s="1250"/>
      <c r="H8" s="1250"/>
      <c r="I8" s="1251"/>
      <c r="J8" s="1252" t="s">
        <v>1971</v>
      </c>
      <c r="K8" s="1248"/>
      <c r="L8" s="1249"/>
      <c r="M8" s="1250"/>
      <c r="N8" s="1250"/>
      <c r="O8" s="1250"/>
      <c r="P8" s="1250"/>
      <c r="Q8" s="1250"/>
      <c r="R8" s="1250"/>
      <c r="S8" s="1250"/>
      <c r="T8" s="1243"/>
      <c r="U8" s="1246"/>
    </row>
    <row r="9" spans="1:21" ht="27">
      <c r="B9" s="581" t="s">
        <v>831</v>
      </c>
      <c r="C9" s="582" t="s">
        <v>1973</v>
      </c>
      <c r="D9" s="583" t="s">
        <v>832</v>
      </c>
      <c r="E9" s="583" t="s">
        <v>833</v>
      </c>
      <c r="F9" s="583" t="s">
        <v>834</v>
      </c>
      <c r="G9" s="583" t="s">
        <v>835</v>
      </c>
      <c r="H9" s="583" t="s">
        <v>836</v>
      </c>
      <c r="I9" s="583" t="s">
        <v>3255</v>
      </c>
      <c r="J9" s="584" t="s">
        <v>831</v>
      </c>
      <c r="K9" s="582" t="s">
        <v>1973</v>
      </c>
      <c r="L9" s="583" t="s">
        <v>832</v>
      </c>
      <c r="M9" s="583" t="s">
        <v>833</v>
      </c>
      <c r="N9" s="583" t="s">
        <v>834</v>
      </c>
      <c r="O9" s="583" t="s">
        <v>835</v>
      </c>
      <c r="P9" s="583" t="s">
        <v>836</v>
      </c>
      <c r="Q9" s="583"/>
      <c r="R9" s="585" t="s">
        <v>838</v>
      </c>
      <c r="S9" s="586" t="s">
        <v>839</v>
      </c>
      <c r="T9" s="1244"/>
      <c r="U9" s="1246"/>
    </row>
    <row r="10" spans="1:21">
      <c r="B10" s="587">
        <v>1</v>
      </c>
      <c r="C10" s="588" t="s">
        <v>3407</v>
      </c>
      <c r="D10" s="589" t="s">
        <v>3408</v>
      </c>
      <c r="E10" s="590"/>
      <c r="F10" s="588" t="s">
        <v>845</v>
      </c>
      <c r="G10" s="591">
        <v>6</v>
      </c>
      <c r="H10" s="590" t="s">
        <v>3409</v>
      </c>
      <c r="I10" s="592"/>
      <c r="J10" s="587">
        <v>1</v>
      </c>
      <c r="K10" s="593"/>
      <c r="L10" s="645" t="s">
        <v>3408</v>
      </c>
      <c r="M10" s="637" t="s">
        <v>1368</v>
      </c>
      <c r="N10" s="638" t="s">
        <v>1188</v>
      </c>
      <c r="O10" s="637">
        <v>1000</v>
      </c>
      <c r="P10" s="502" t="s">
        <v>3409</v>
      </c>
      <c r="Q10" s="597"/>
      <c r="R10" s="598"/>
      <c r="S10" s="599"/>
      <c r="T10" s="600"/>
      <c r="U10" s="601"/>
    </row>
    <row r="11" spans="1:21">
      <c r="B11" s="602">
        <v>2</v>
      </c>
      <c r="C11" s="588" t="s">
        <v>3407</v>
      </c>
      <c r="D11" s="576" t="s">
        <v>1068</v>
      </c>
      <c r="E11" s="589"/>
      <c r="F11" s="588" t="s">
        <v>845</v>
      </c>
      <c r="G11" s="588">
        <v>18</v>
      </c>
      <c r="H11" s="589" t="s">
        <v>3410</v>
      </c>
      <c r="I11" s="603"/>
      <c r="J11" s="602">
        <v>2</v>
      </c>
      <c r="K11" s="593"/>
      <c r="L11" s="508" t="s">
        <v>2809</v>
      </c>
      <c r="M11" s="646" t="s">
        <v>1368</v>
      </c>
      <c r="N11" s="639" t="s">
        <v>1188</v>
      </c>
      <c r="O11" s="641">
        <v>1000</v>
      </c>
      <c r="P11" s="642" t="s">
        <v>1467</v>
      </c>
      <c r="Q11" s="597"/>
      <c r="R11" s="598"/>
      <c r="S11" s="599"/>
      <c r="T11" s="600"/>
      <c r="U11" s="601"/>
    </row>
    <row r="12" spans="1:21">
      <c r="B12" s="602">
        <f>+B11+1</f>
        <v>3</v>
      </c>
      <c r="C12" s="588" t="s">
        <v>3407</v>
      </c>
      <c r="D12" s="590" t="s">
        <v>1318</v>
      </c>
      <c r="E12" s="589"/>
      <c r="F12" s="591" t="s">
        <v>845</v>
      </c>
      <c r="G12" s="107">
        <v>40</v>
      </c>
      <c r="H12" s="589" t="s">
        <v>3411</v>
      </c>
      <c r="I12" s="592"/>
      <c r="J12" s="602">
        <f>+J11+1</f>
        <v>3</v>
      </c>
      <c r="K12" s="593"/>
      <c r="L12" s="647" t="s">
        <v>3312</v>
      </c>
      <c r="M12" s="642" t="s">
        <v>1368</v>
      </c>
      <c r="N12" s="639" t="s">
        <v>1188</v>
      </c>
      <c r="O12" s="641">
        <v>1000</v>
      </c>
      <c r="P12" s="642" t="s">
        <v>3412</v>
      </c>
      <c r="Q12" s="592"/>
      <c r="R12" s="598"/>
      <c r="S12" s="599"/>
      <c r="T12" s="600"/>
      <c r="U12" s="601"/>
    </row>
    <row r="13" spans="1:21">
      <c r="B13" s="602">
        <f t="shared" ref="B13:B32" si="0">+B12+1</f>
        <v>4</v>
      </c>
      <c r="C13" s="588" t="s">
        <v>3407</v>
      </c>
      <c r="D13" s="740" t="s">
        <v>861</v>
      </c>
      <c r="E13" s="741"/>
      <c r="F13" s="742" t="s">
        <v>845</v>
      </c>
      <c r="G13" s="743">
        <v>4</v>
      </c>
      <c r="H13" s="741" t="s">
        <v>862</v>
      </c>
      <c r="I13" s="744"/>
      <c r="J13" s="602">
        <f t="shared" ref="J13:J32" si="1">+J12+1</f>
        <v>4</v>
      </c>
      <c r="K13" s="593"/>
      <c r="L13" s="493" t="s">
        <v>2862</v>
      </c>
      <c r="M13" s="642" t="s">
        <v>1368</v>
      </c>
      <c r="N13" s="639" t="s">
        <v>1188</v>
      </c>
      <c r="O13" s="641">
        <v>1000</v>
      </c>
      <c r="P13" s="642" t="s">
        <v>862</v>
      </c>
      <c r="Q13" s="592"/>
      <c r="R13" s="605"/>
      <c r="S13" s="606"/>
      <c r="T13" s="607"/>
      <c r="U13" s="601"/>
    </row>
    <row r="14" spans="1:21">
      <c r="B14" s="602">
        <f t="shared" si="0"/>
        <v>5</v>
      </c>
      <c r="C14" s="588" t="s">
        <v>3407</v>
      </c>
      <c r="D14" s="590" t="s">
        <v>3413</v>
      </c>
      <c r="E14" s="589"/>
      <c r="F14" s="591" t="s">
        <v>845</v>
      </c>
      <c r="G14" s="588">
        <v>8</v>
      </c>
      <c r="H14" s="589" t="s">
        <v>3414</v>
      </c>
      <c r="I14" s="592"/>
      <c r="J14" s="602">
        <f t="shared" si="1"/>
        <v>5</v>
      </c>
      <c r="K14" s="593"/>
      <c r="L14" s="493" t="s">
        <v>3413</v>
      </c>
      <c r="M14" s="642" t="s">
        <v>1368</v>
      </c>
      <c r="N14" s="639" t="s">
        <v>1188</v>
      </c>
      <c r="O14" s="641">
        <v>1000</v>
      </c>
      <c r="P14" s="642" t="s">
        <v>3414</v>
      </c>
      <c r="Q14" s="592"/>
      <c r="R14" s="605"/>
      <c r="S14" s="606"/>
      <c r="T14" s="607"/>
      <c r="U14" s="601"/>
    </row>
    <row r="15" spans="1:21">
      <c r="B15" s="602">
        <f t="shared" si="0"/>
        <v>6</v>
      </c>
      <c r="C15" s="588" t="s">
        <v>3407</v>
      </c>
      <c r="D15" s="590" t="s">
        <v>3415</v>
      </c>
      <c r="E15" s="589"/>
      <c r="F15" s="591" t="s">
        <v>845</v>
      </c>
      <c r="G15" s="591">
        <v>8</v>
      </c>
      <c r="H15" s="589" t="s">
        <v>3416</v>
      </c>
      <c r="I15" s="592"/>
      <c r="J15" s="602">
        <f t="shared" si="1"/>
        <v>6</v>
      </c>
      <c r="K15" s="593"/>
      <c r="L15" s="493" t="s">
        <v>3415</v>
      </c>
      <c r="M15" s="642" t="s">
        <v>1368</v>
      </c>
      <c r="N15" s="639" t="s">
        <v>1188</v>
      </c>
      <c r="O15" s="641">
        <v>1000</v>
      </c>
      <c r="P15" s="642" t="s">
        <v>3416</v>
      </c>
      <c r="Q15" s="592"/>
      <c r="R15" s="605"/>
      <c r="S15" s="599"/>
      <c r="T15" s="600"/>
      <c r="U15" s="601"/>
    </row>
    <row r="16" spans="1:21">
      <c r="B16" s="602">
        <f t="shared" si="0"/>
        <v>7</v>
      </c>
      <c r="C16" s="588" t="s">
        <v>3417</v>
      </c>
      <c r="D16" s="612" t="s">
        <v>3418</v>
      </c>
      <c r="E16" s="589"/>
      <c r="F16" s="591" t="s">
        <v>845</v>
      </c>
      <c r="G16" s="588">
        <v>1</v>
      </c>
      <c r="H16" s="613" t="s">
        <v>3419</v>
      </c>
      <c r="I16" s="603"/>
      <c r="J16" s="602">
        <f t="shared" si="1"/>
        <v>7</v>
      </c>
      <c r="K16" s="593"/>
      <c r="L16" s="648" t="s">
        <v>1533</v>
      </c>
      <c r="M16" s="642" t="s">
        <v>1368</v>
      </c>
      <c r="N16" s="639" t="s">
        <v>1188</v>
      </c>
      <c r="O16" s="641">
        <v>1000</v>
      </c>
      <c r="P16" s="649" t="s">
        <v>3420</v>
      </c>
      <c r="Q16" s="592"/>
      <c r="R16" s="605"/>
      <c r="S16" s="599"/>
      <c r="T16" s="600"/>
      <c r="U16" s="601"/>
    </row>
    <row r="17" spans="2:22">
      <c r="B17" s="602">
        <f t="shared" si="0"/>
        <v>8</v>
      </c>
      <c r="C17" s="588"/>
      <c r="D17" s="612"/>
      <c r="E17" s="589"/>
      <c r="F17" s="591"/>
      <c r="G17" s="591"/>
      <c r="H17" s="613" t="s">
        <v>3421</v>
      </c>
      <c r="I17" s="592"/>
      <c r="J17" s="602">
        <f t="shared" si="1"/>
        <v>8</v>
      </c>
      <c r="K17" s="593"/>
      <c r="L17" s="590"/>
      <c r="M17" s="589"/>
      <c r="N17" s="604"/>
      <c r="O17" s="588"/>
      <c r="P17" s="592"/>
      <c r="Q17" s="592"/>
      <c r="R17" s="605"/>
      <c r="S17" s="599"/>
      <c r="T17" s="600"/>
      <c r="U17" s="601"/>
    </row>
    <row r="18" spans="2:22">
      <c r="B18" s="602">
        <f t="shared" si="0"/>
        <v>9</v>
      </c>
      <c r="C18" s="588"/>
      <c r="D18" s="612"/>
      <c r="E18" s="589"/>
      <c r="F18" s="591"/>
      <c r="G18" s="591"/>
      <c r="H18" s="613" t="s">
        <v>3422</v>
      </c>
      <c r="I18" s="592"/>
      <c r="J18" s="602">
        <f t="shared" si="1"/>
        <v>9</v>
      </c>
      <c r="K18" s="593"/>
      <c r="L18" s="594"/>
      <c r="M18" s="608"/>
      <c r="N18" s="596"/>
      <c r="O18" s="595"/>
      <c r="P18" s="597"/>
      <c r="Q18" s="597"/>
      <c r="R18" s="598"/>
      <c r="S18" s="599"/>
      <c r="T18" s="600"/>
      <c r="U18" s="601"/>
    </row>
    <row r="19" spans="2:22">
      <c r="B19" s="602">
        <f t="shared" si="0"/>
        <v>10</v>
      </c>
      <c r="C19" s="588"/>
      <c r="D19" s="612"/>
      <c r="E19" s="589"/>
      <c r="F19" s="591"/>
      <c r="G19" s="950"/>
      <c r="H19" s="613"/>
      <c r="I19" s="609"/>
      <c r="J19" s="602">
        <f t="shared" si="1"/>
        <v>10</v>
      </c>
      <c r="K19" s="593"/>
      <c r="L19" s="590"/>
      <c r="M19" s="589"/>
      <c r="N19" s="604"/>
      <c r="O19" s="588"/>
      <c r="P19" s="603"/>
      <c r="Q19" s="603"/>
      <c r="R19" s="598"/>
      <c r="S19" s="599"/>
      <c r="T19" s="600"/>
      <c r="U19" s="601"/>
    </row>
    <row r="20" spans="2:22">
      <c r="B20" s="602">
        <f t="shared" si="0"/>
        <v>11</v>
      </c>
      <c r="C20" s="588"/>
      <c r="D20" s="951"/>
      <c r="E20" s="953"/>
      <c r="F20" s="954"/>
      <c r="G20" s="954">
        <v>35</v>
      </c>
      <c r="H20" s="952" t="s">
        <v>3423</v>
      </c>
      <c r="I20" s="955"/>
      <c r="J20" s="602">
        <f t="shared" si="1"/>
        <v>11</v>
      </c>
      <c r="K20" s="593"/>
      <c r="L20" s="590" t="s">
        <v>3424</v>
      </c>
      <c r="M20" s="589"/>
      <c r="N20" s="639" t="s">
        <v>1188</v>
      </c>
      <c r="O20" s="641">
        <v>1000</v>
      </c>
      <c r="P20" s="603" t="s">
        <v>3425</v>
      </c>
      <c r="Q20" s="603"/>
      <c r="R20" s="598"/>
      <c r="S20" s="599"/>
      <c r="T20" s="600"/>
      <c r="U20" s="601"/>
      <c r="V20" s="744" t="s">
        <v>1371</v>
      </c>
    </row>
    <row r="21" spans="2:22">
      <c r="B21" s="602">
        <f t="shared" si="0"/>
        <v>12</v>
      </c>
      <c r="C21" s="588"/>
      <c r="D21" s="951"/>
      <c r="E21" s="953"/>
      <c r="F21" s="954"/>
      <c r="G21" s="954">
        <v>6</v>
      </c>
      <c r="H21" s="952" t="s">
        <v>3426</v>
      </c>
      <c r="I21" s="955"/>
      <c r="J21" s="602">
        <f t="shared" si="1"/>
        <v>12</v>
      </c>
      <c r="K21" s="593"/>
      <c r="L21" s="590" t="s">
        <v>3427</v>
      </c>
      <c r="M21" s="589"/>
      <c r="N21" s="639" t="s">
        <v>1188</v>
      </c>
      <c r="O21" s="641">
        <v>1000</v>
      </c>
      <c r="P21" s="603" t="s">
        <v>3428</v>
      </c>
      <c r="Q21" s="603"/>
      <c r="R21" s="598"/>
      <c r="S21" s="599"/>
      <c r="T21" s="600"/>
      <c r="U21" s="601"/>
      <c r="V21" s="744" t="s">
        <v>1371</v>
      </c>
    </row>
    <row r="22" spans="2:22">
      <c r="B22" s="602">
        <f t="shared" si="0"/>
        <v>13</v>
      </c>
      <c r="C22" s="588"/>
      <c r="D22" s="612"/>
      <c r="E22" s="623"/>
      <c r="F22" s="591"/>
      <c r="G22" s="621"/>
      <c r="H22" s="613"/>
      <c r="I22" s="603"/>
      <c r="J22" s="602">
        <f t="shared" si="1"/>
        <v>13</v>
      </c>
      <c r="K22" s="593"/>
      <c r="L22" s="590"/>
      <c r="M22" s="589"/>
      <c r="N22" s="604"/>
      <c r="O22" s="588"/>
      <c r="P22" s="592"/>
      <c r="Q22" s="592"/>
      <c r="R22" s="598"/>
      <c r="S22" s="599"/>
      <c r="T22" s="600"/>
      <c r="U22" s="601"/>
    </row>
    <row r="23" spans="2:22">
      <c r="B23" s="602">
        <f t="shared" si="0"/>
        <v>14</v>
      </c>
      <c r="C23" s="588"/>
      <c r="D23" s="612"/>
      <c r="E23" s="623"/>
      <c r="F23" s="591"/>
      <c r="G23" s="621"/>
      <c r="H23" s="613"/>
      <c r="I23" s="603"/>
      <c r="J23" s="602">
        <f t="shared" si="1"/>
        <v>14</v>
      </c>
      <c r="K23" s="593"/>
      <c r="L23" s="590"/>
      <c r="M23" s="588"/>
      <c r="N23" s="604"/>
      <c r="O23" s="588"/>
      <c r="P23" s="592"/>
      <c r="Q23" s="592"/>
      <c r="R23" s="598"/>
      <c r="S23" s="599"/>
      <c r="T23" s="600"/>
      <c r="U23" s="601"/>
    </row>
    <row r="24" spans="2:22">
      <c r="B24" s="602">
        <f t="shared" si="0"/>
        <v>15</v>
      </c>
      <c r="C24" s="588"/>
      <c r="D24" s="590"/>
      <c r="E24" s="589"/>
      <c r="F24" s="591"/>
      <c r="G24" s="588"/>
      <c r="H24" s="589"/>
      <c r="I24" s="603"/>
      <c r="J24" s="602">
        <f t="shared" si="1"/>
        <v>15</v>
      </c>
      <c r="K24" s="593"/>
      <c r="L24" s="590"/>
      <c r="M24" s="589"/>
      <c r="N24" s="604"/>
      <c r="O24" s="588"/>
      <c r="P24" s="603"/>
      <c r="Q24" s="603"/>
      <c r="R24" s="598"/>
      <c r="S24" s="599"/>
      <c r="T24" s="600"/>
      <c r="U24" s="601"/>
    </row>
    <row r="25" spans="2:22">
      <c r="B25" s="602">
        <f t="shared" si="0"/>
        <v>16</v>
      </c>
      <c r="C25" s="588"/>
      <c r="D25" s="590"/>
      <c r="E25" s="589"/>
      <c r="F25" s="591"/>
      <c r="G25" s="591"/>
      <c r="H25" s="589"/>
      <c r="I25" s="603"/>
      <c r="J25" s="602">
        <f t="shared" si="1"/>
        <v>16</v>
      </c>
      <c r="K25" s="593"/>
      <c r="L25" s="590"/>
      <c r="M25" s="589"/>
      <c r="N25" s="604"/>
      <c r="O25" s="588"/>
      <c r="P25" s="603"/>
      <c r="Q25" s="603"/>
      <c r="R25" s="598"/>
      <c r="S25" s="599"/>
      <c r="T25" s="600"/>
      <c r="U25" s="601"/>
    </row>
    <row r="26" spans="2:22">
      <c r="B26" s="602">
        <f t="shared" si="0"/>
        <v>17</v>
      </c>
      <c r="C26" s="588"/>
      <c r="D26" s="590"/>
      <c r="E26" s="589"/>
      <c r="F26" s="591"/>
      <c r="G26" s="591"/>
      <c r="H26" s="613"/>
      <c r="I26" s="603"/>
      <c r="J26" s="602">
        <f t="shared" si="1"/>
        <v>17</v>
      </c>
      <c r="K26" s="593"/>
      <c r="L26" s="590"/>
      <c r="M26" s="589"/>
      <c r="N26" s="604"/>
      <c r="O26" s="588"/>
      <c r="P26" s="603"/>
      <c r="Q26" s="603"/>
      <c r="R26" s="598"/>
      <c r="S26" s="599"/>
      <c r="T26" s="600"/>
      <c r="U26" s="601"/>
    </row>
    <row r="27" spans="2:22">
      <c r="B27" s="602">
        <f t="shared" si="0"/>
        <v>18</v>
      </c>
      <c r="C27" s="588"/>
      <c r="D27" s="612"/>
      <c r="E27" s="589"/>
      <c r="F27" s="591"/>
      <c r="G27" s="588"/>
      <c r="H27" s="613"/>
      <c r="I27" s="603"/>
      <c r="J27" s="602">
        <f t="shared" si="1"/>
        <v>18</v>
      </c>
      <c r="K27" s="593"/>
      <c r="L27" s="590"/>
      <c r="M27" s="589"/>
      <c r="N27" s="604"/>
      <c r="O27" s="588"/>
      <c r="P27" s="603"/>
      <c r="Q27" s="603"/>
      <c r="R27" s="598"/>
      <c r="S27" s="599"/>
      <c r="T27" s="600"/>
      <c r="U27" s="601"/>
    </row>
    <row r="28" spans="2:22">
      <c r="B28" s="602">
        <f t="shared" si="0"/>
        <v>19</v>
      </c>
      <c r="C28" s="588"/>
      <c r="D28" s="612"/>
      <c r="E28" s="589"/>
      <c r="F28" s="591"/>
      <c r="G28" s="591"/>
      <c r="H28" s="613"/>
      <c r="I28" s="603"/>
      <c r="J28" s="602">
        <f t="shared" si="1"/>
        <v>19</v>
      </c>
      <c r="K28" s="593"/>
      <c r="L28" s="590"/>
      <c r="M28" s="589"/>
      <c r="N28" s="604"/>
      <c r="O28" s="588"/>
      <c r="P28" s="603"/>
      <c r="Q28" s="603"/>
      <c r="R28" s="598"/>
      <c r="S28" s="599"/>
      <c r="T28" s="600"/>
      <c r="U28" s="601"/>
    </row>
    <row r="29" spans="2:22">
      <c r="B29" s="602">
        <f t="shared" si="0"/>
        <v>20</v>
      </c>
      <c r="C29" s="588"/>
      <c r="D29" s="612"/>
      <c r="E29" s="589"/>
      <c r="F29" s="591"/>
      <c r="G29" s="591"/>
      <c r="H29" s="613"/>
      <c r="I29" s="592"/>
      <c r="J29" s="602">
        <f t="shared" si="1"/>
        <v>20</v>
      </c>
      <c r="K29" s="593"/>
      <c r="L29" s="628"/>
      <c r="M29" s="589"/>
      <c r="N29" s="604"/>
      <c r="O29" s="588"/>
      <c r="P29" s="592"/>
      <c r="Q29" s="592"/>
      <c r="R29" s="598"/>
      <c r="S29" s="599"/>
      <c r="T29" s="600"/>
      <c r="U29" s="601"/>
    </row>
    <row r="30" spans="2:22">
      <c r="B30" s="602">
        <f t="shared" si="0"/>
        <v>21</v>
      </c>
      <c r="C30" s="588"/>
      <c r="D30" s="612"/>
      <c r="E30" s="589"/>
      <c r="F30" s="591"/>
      <c r="G30" s="588"/>
      <c r="H30" s="613"/>
      <c r="I30" s="592"/>
      <c r="J30" s="602">
        <f t="shared" si="1"/>
        <v>21</v>
      </c>
      <c r="K30" s="593"/>
      <c r="L30" s="628"/>
      <c r="M30" s="589"/>
      <c r="N30" s="604"/>
      <c r="O30" s="588"/>
      <c r="P30" s="592"/>
      <c r="Q30" s="592"/>
      <c r="R30" s="598"/>
      <c r="S30" s="599"/>
      <c r="T30" s="600"/>
      <c r="U30" s="601"/>
    </row>
    <row r="31" spans="2:22">
      <c r="B31" s="602">
        <f t="shared" si="0"/>
        <v>22</v>
      </c>
      <c r="C31" s="588"/>
      <c r="D31" s="612"/>
      <c r="E31" s="623"/>
      <c r="F31" s="591"/>
      <c r="G31" s="621"/>
      <c r="H31" s="613"/>
      <c r="I31" s="592"/>
      <c r="J31" s="602">
        <f t="shared" si="1"/>
        <v>22</v>
      </c>
      <c r="K31" s="593"/>
      <c r="L31" s="628"/>
      <c r="M31" s="589"/>
      <c r="N31" s="604"/>
      <c r="O31" s="588"/>
      <c r="P31" s="592"/>
      <c r="Q31" s="592"/>
      <c r="R31" s="598"/>
      <c r="S31" s="599"/>
      <c r="T31" s="600"/>
      <c r="U31" s="601"/>
    </row>
    <row r="32" spans="2:22">
      <c r="B32" s="602">
        <f t="shared" si="0"/>
        <v>23</v>
      </c>
      <c r="C32" s="588"/>
      <c r="D32" s="612"/>
      <c r="E32" s="623"/>
      <c r="F32" s="591"/>
      <c r="G32" s="621"/>
      <c r="H32" s="613"/>
      <c r="I32" s="592"/>
      <c r="J32" s="602">
        <f t="shared" si="1"/>
        <v>23</v>
      </c>
      <c r="K32" s="593"/>
      <c r="L32" s="628"/>
      <c r="M32" s="589"/>
      <c r="N32" s="604"/>
      <c r="O32" s="588"/>
      <c r="P32" s="592"/>
      <c r="Q32" s="592"/>
      <c r="R32" s="598"/>
      <c r="S32" s="599"/>
      <c r="T32" s="600"/>
      <c r="U32" s="601"/>
    </row>
    <row r="33" spans="2:21">
      <c r="B33" s="602">
        <v>24</v>
      </c>
      <c r="C33" s="588"/>
      <c r="D33" s="650"/>
      <c r="E33" s="651"/>
      <c r="F33" s="652"/>
      <c r="G33" s="653"/>
      <c r="H33" s="654"/>
      <c r="I33" s="592"/>
      <c r="J33" s="602">
        <v>24</v>
      </c>
      <c r="K33" s="593"/>
      <c r="L33" s="628"/>
      <c r="M33" s="589"/>
      <c r="N33" s="604"/>
      <c r="O33" s="588"/>
      <c r="P33" s="592"/>
      <c r="Q33" s="592"/>
      <c r="R33" s="598"/>
      <c r="S33" s="599"/>
      <c r="T33" s="600"/>
      <c r="U33" s="601"/>
    </row>
    <row r="34" spans="2:21">
      <c r="B34" s="602">
        <f t="shared" ref="B34:B57" si="2">+B33+1</f>
        <v>25</v>
      </c>
      <c r="C34" s="588"/>
      <c r="D34" s="650"/>
      <c r="E34" s="651"/>
      <c r="F34" s="652"/>
      <c r="G34" s="653"/>
      <c r="H34" s="654"/>
      <c r="I34" s="592"/>
      <c r="J34" s="602">
        <f t="shared" ref="J34:J57" si="3">+J33+1</f>
        <v>25</v>
      </c>
      <c r="K34" s="593"/>
      <c r="L34" s="628"/>
      <c r="M34" s="589"/>
      <c r="N34" s="604"/>
      <c r="O34" s="588"/>
      <c r="P34" s="592"/>
      <c r="Q34" s="592"/>
      <c r="R34" s="598"/>
      <c r="S34" s="599"/>
      <c r="T34" s="600"/>
      <c r="U34" s="601"/>
    </row>
    <row r="35" spans="2:21">
      <c r="B35" s="602">
        <f t="shared" si="2"/>
        <v>26</v>
      </c>
      <c r="C35" s="588"/>
      <c r="D35" s="650"/>
      <c r="E35" s="651"/>
      <c r="F35" s="652"/>
      <c r="G35" s="653"/>
      <c r="H35" s="654"/>
      <c r="I35" s="592"/>
      <c r="J35" s="602">
        <f t="shared" si="3"/>
        <v>26</v>
      </c>
      <c r="K35" s="593"/>
      <c r="L35" s="628"/>
      <c r="M35" s="589"/>
      <c r="N35" s="604"/>
      <c r="O35" s="588"/>
      <c r="P35" s="592"/>
      <c r="Q35" s="592"/>
      <c r="R35" s="598"/>
      <c r="S35" s="599"/>
      <c r="T35" s="600"/>
      <c r="U35" s="601"/>
    </row>
    <row r="36" spans="2:21">
      <c r="B36" s="602">
        <f t="shared" si="2"/>
        <v>27</v>
      </c>
      <c r="C36" s="588"/>
      <c r="D36" s="650"/>
      <c r="E36" s="651"/>
      <c r="F36" s="652"/>
      <c r="G36" s="653"/>
      <c r="H36" s="654"/>
      <c r="I36" s="592"/>
      <c r="J36" s="602">
        <f t="shared" si="3"/>
        <v>27</v>
      </c>
      <c r="K36" s="593"/>
      <c r="L36" s="628"/>
      <c r="M36" s="589"/>
      <c r="N36" s="604"/>
      <c r="O36" s="588"/>
      <c r="P36" s="592"/>
      <c r="Q36" s="592"/>
      <c r="R36" s="598"/>
      <c r="S36" s="599"/>
      <c r="T36" s="600"/>
      <c r="U36" s="601"/>
    </row>
    <row r="37" spans="2:21">
      <c r="B37" s="602">
        <f t="shared" si="2"/>
        <v>28</v>
      </c>
      <c r="C37" s="588"/>
      <c r="D37" s="650"/>
      <c r="E37" s="651"/>
      <c r="F37" s="652"/>
      <c r="G37" s="653"/>
      <c r="H37" s="654"/>
      <c r="I37" s="592"/>
      <c r="J37" s="602">
        <f t="shared" si="3"/>
        <v>28</v>
      </c>
      <c r="K37" s="593"/>
      <c r="L37" s="628"/>
      <c r="M37" s="589"/>
      <c r="N37" s="604"/>
      <c r="O37" s="588"/>
      <c r="P37" s="592"/>
      <c r="Q37" s="592"/>
      <c r="R37" s="598"/>
      <c r="S37" s="599"/>
      <c r="T37" s="600"/>
      <c r="U37" s="601"/>
    </row>
    <row r="38" spans="2:21">
      <c r="B38" s="602">
        <f t="shared" si="2"/>
        <v>29</v>
      </c>
      <c r="C38" s="588"/>
      <c r="D38" s="650"/>
      <c r="E38" s="651"/>
      <c r="F38" s="652"/>
      <c r="G38" s="653"/>
      <c r="H38" s="654"/>
      <c r="I38" s="592"/>
      <c r="J38" s="602">
        <f t="shared" si="3"/>
        <v>29</v>
      </c>
      <c r="K38" s="593"/>
      <c r="L38" s="628"/>
      <c r="M38" s="589"/>
      <c r="N38" s="604"/>
      <c r="O38" s="588"/>
      <c r="P38" s="592"/>
      <c r="Q38" s="592"/>
      <c r="R38" s="598"/>
      <c r="S38" s="599"/>
      <c r="T38" s="600"/>
      <c r="U38" s="601"/>
    </row>
    <row r="39" spans="2:21">
      <c r="B39" s="602">
        <f t="shared" si="2"/>
        <v>30</v>
      </c>
      <c r="C39" s="588"/>
      <c r="D39" s="650"/>
      <c r="E39" s="651"/>
      <c r="F39" s="652"/>
      <c r="G39" s="653"/>
      <c r="H39" s="654"/>
      <c r="I39" s="592"/>
      <c r="J39" s="602">
        <f t="shared" si="3"/>
        <v>30</v>
      </c>
      <c r="K39" s="593"/>
      <c r="L39" s="628"/>
      <c r="M39" s="589"/>
      <c r="N39" s="604"/>
      <c r="O39" s="588"/>
      <c r="P39" s="592"/>
      <c r="Q39" s="592"/>
      <c r="R39" s="598"/>
      <c r="S39" s="599"/>
      <c r="T39" s="600"/>
      <c r="U39" s="601"/>
    </row>
    <row r="40" spans="2:21">
      <c r="B40" s="602">
        <f t="shared" si="2"/>
        <v>31</v>
      </c>
      <c r="C40" s="588"/>
      <c r="D40" s="650"/>
      <c r="E40" s="651"/>
      <c r="F40" s="652"/>
      <c r="G40" s="653"/>
      <c r="H40" s="654"/>
      <c r="I40" s="592"/>
      <c r="J40" s="602">
        <f t="shared" si="3"/>
        <v>31</v>
      </c>
      <c r="K40" s="593"/>
      <c r="L40" s="628"/>
      <c r="M40" s="589"/>
      <c r="N40" s="604"/>
      <c r="O40" s="588"/>
      <c r="P40" s="592"/>
      <c r="Q40" s="592"/>
      <c r="R40" s="598"/>
      <c r="S40" s="599"/>
      <c r="T40" s="600"/>
      <c r="U40" s="601"/>
    </row>
    <row r="41" spans="2:21">
      <c r="B41" s="602">
        <f t="shared" si="2"/>
        <v>32</v>
      </c>
      <c r="C41" s="588"/>
      <c r="D41" s="650"/>
      <c r="E41" s="651"/>
      <c r="F41" s="652"/>
      <c r="G41" s="653"/>
      <c r="H41" s="654"/>
      <c r="I41" s="592"/>
      <c r="J41" s="602">
        <f t="shared" si="3"/>
        <v>32</v>
      </c>
      <c r="K41" s="593"/>
      <c r="L41" s="628"/>
      <c r="M41" s="589"/>
      <c r="N41" s="604"/>
      <c r="O41" s="588"/>
      <c r="P41" s="592"/>
      <c r="Q41" s="592"/>
      <c r="R41" s="598"/>
      <c r="S41" s="599"/>
      <c r="T41" s="600"/>
      <c r="U41" s="601"/>
    </row>
    <row r="42" spans="2:21">
      <c r="B42" s="602">
        <f t="shared" si="2"/>
        <v>33</v>
      </c>
      <c r="C42" s="588"/>
      <c r="D42" s="650"/>
      <c r="E42" s="651"/>
      <c r="F42" s="652"/>
      <c r="G42" s="653"/>
      <c r="H42" s="654"/>
      <c r="I42" s="592"/>
      <c r="J42" s="602">
        <f t="shared" si="3"/>
        <v>33</v>
      </c>
      <c r="K42" s="593"/>
      <c r="L42" s="628"/>
      <c r="M42" s="589"/>
      <c r="N42" s="604"/>
      <c r="O42" s="588"/>
      <c r="P42" s="592"/>
      <c r="Q42" s="592"/>
      <c r="R42" s="598"/>
      <c r="S42" s="599"/>
      <c r="T42" s="600"/>
      <c r="U42" s="601"/>
    </row>
    <row r="43" spans="2:21">
      <c r="B43" s="602">
        <f t="shared" si="2"/>
        <v>34</v>
      </c>
      <c r="C43" s="588"/>
      <c r="D43" s="650"/>
      <c r="E43" s="651"/>
      <c r="F43" s="652"/>
      <c r="G43" s="653"/>
      <c r="H43" s="654"/>
      <c r="I43" s="592"/>
      <c r="J43" s="602">
        <f t="shared" si="3"/>
        <v>34</v>
      </c>
      <c r="K43" s="593"/>
      <c r="L43" s="628"/>
      <c r="M43" s="589"/>
      <c r="N43" s="604"/>
      <c r="O43" s="588"/>
      <c r="P43" s="592"/>
      <c r="Q43" s="592"/>
      <c r="R43" s="598"/>
      <c r="S43" s="599"/>
      <c r="T43" s="600"/>
      <c r="U43" s="601"/>
    </row>
    <row r="44" spans="2:21">
      <c r="B44" s="602">
        <f t="shared" si="2"/>
        <v>35</v>
      </c>
      <c r="C44" s="588"/>
      <c r="D44" s="650"/>
      <c r="E44" s="651"/>
      <c r="F44" s="652"/>
      <c r="G44" s="653"/>
      <c r="H44" s="654"/>
      <c r="I44" s="592"/>
      <c r="J44" s="602">
        <f t="shared" si="3"/>
        <v>35</v>
      </c>
      <c r="K44" s="593"/>
      <c r="L44" s="628"/>
      <c r="M44" s="589"/>
      <c r="N44" s="604"/>
      <c r="O44" s="588"/>
      <c r="P44" s="592"/>
      <c r="Q44" s="592"/>
      <c r="R44" s="598"/>
      <c r="S44" s="599"/>
      <c r="T44" s="600"/>
      <c r="U44" s="601"/>
    </row>
    <row r="45" spans="2:21">
      <c r="B45" s="602">
        <f t="shared" si="2"/>
        <v>36</v>
      </c>
      <c r="C45" s="588"/>
      <c r="D45" s="650"/>
      <c r="E45" s="651"/>
      <c r="F45" s="652"/>
      <c r="G45" s="653"/>
      <c r="H45" s="654"/>
      <c r="I45" s="592"/>
      <c r="J45" s="602">
        <f t="shared" si="3"/>
        <v>36</v>
      </c>
      <c r="K45" s="593"/>
      <c r="L45" s="628"/>
      <c r="M45" s="589"/>
      <c r="N45" s="604"/>
      <c r="O45" s="588"/>
      <c r="P45" s="592"/>
      <c r="Q45" s="592"/>
      <c r="R45" s="598"/>
      <c r="S45" s="599"/>
      <c r="T45" s="600"/>
      <c r="U45" s="601"/>
    </row>
    <row r="46" spans="2:21">
      <c r="B46" s="602">
        <f t="shared" si="2"/>
        <v>37</v>
      </c>
      <c r="C46" s="588"/>
      <c r="D46" s="650"/>
      <c r="E46" s="651"/>
      <c r="F46" s="652"/>
      <c r="G46" s="653"/>
      <c r="H46" s="654"/>
      <c r="I46" s="592"/>
      <c r="J46" s="602">
        <f t="shared" si="3"/>
        <v>37</v>
      </c>
      <c r="K46" s="593"/>
      <c r="L46" s="628"/>
      <c r="M46" s="589"/>
      <c r="N46" s="604"/>
      <c r="O46" s="588"/>
      <c r="P46" s="592"/>
      <c r="Q46" s="592"/>
      <c r="R46" s="598"/>
      <c r="S46" s="599"/>
      <c r="T46" s="600"/>
      <c r="U46" s="601"/>
    </row>
    <row r="47" spans="2:21">
      <c r="B47" s="602">
        <f t="shared" si="2"/>
        <v>38</v>
      </c>
      <c r="C47" s="588"/>
      <c r="D47" s="650"/>
      <c r="E47" s="651"/>
      <c r="F47" s="652"/>
      <c r="G47" s="653"/>
      <c r="H47" s="654"/>
      <c r="I47" s="592"/>
      <c r="J47" s="602">
        <f t="shared" si="3"/>
        <v>38</v>
      </c>
      <c r="K47" s="593"/>
      <c r="L47" s="628"/>
      <c r="M47" s="589"/>
      <c r="N47" s="604"/>
      <c r="O47" s="588"/>
      <c r="P47" s="592"/>
      <c r="Q47" s="592"/>
      <c r="R47" s="598"/>
      <c r="S47" s="599"/>
      <c r="T47" s="600"/>
      <c r="U47" s="601"/>
    </row>
    <row r="48" spans="2:21">
      <c r="B48" s="602">
        <f t="shared" si="2"/>
        <v>39</v>
      </c>
      <c r="C48" s="588"/>
      <c r="D48" s="650"/>
      <c r="E48" s="651"/>
      <c r="F48" s="652"/>
      <c r="G48" s="653"/>
      <c r="H48" s="654"/>
      <c r="I48" s="592"/>
      <c r="J48" s="602">
        <f t="shared" si="3"/>
        <v>39</v>
      </c>
      <c r="K48" s="593"/>
      <c r="L48" s="628"/>
      <c r="M48" s="589"/>
      <c r="N48" s="604"/>
      <c r="O48" s="588"/>
      <c r="P48" s="592"/>
      <c r="Q48" s="592"/>
      <c r="R48" s="598"/>
      <c r="S48" s="599"/>
      <c r="T48" s="600"/>
      <c r="U48" s="601"/>
    </row>
    <row r="49" spans="2:21">
      <c r="B49" s="602">
        <f t="shared" si="2"/>
        <v>40</v>
      </c>
      <c r="C49" s="588"/>
      <c r="D49" s="650"/>
      <c r="E49" s="651"/>
      <c r="F49" s="652"/>
      <c r="G49" s="653"/>
      <c r="H49" s="654"/>
      <c r="I49" s="592"/>
      <c r="J49" s="602">
        <f t="shared" si="3"/>
        <v>40</v>
      </c>
      <c r="K49" s="593"/>
      <c r="L49" s="628"/>
      <c r="M49" s="589"/>
      <c r="N49" s="604"/>
      <c r="O49" s="588"/>
      <c r="P49" s="592"/>
      <c r="Q49" s="592"/>
      <c r="R49" s="598"/>
      <c r="S49" s="599"/>
      <c r="T49" s="600"/>
      <c r="U49" s="601"/>
    </row>
    <row r="50" spans="2:21">
      <c r="B50" s="602">
        <f t="shared" si="2"/>
        <v>41</v>
      </c>
      <c r="C50" s="588"/>
      <c r="D50" s="650"/>
      <c r="E50" s="651"/>
      <c r="F50" s="652"/>
      <c r="G50" s="653"/>
      <c r="H50" s="654"/>
      <c r="I50" s="592"/>
      <c r="J50" s="602">
        <f t="shared" si="3"/>
        <v>41</v>
      </c>
      <c r="K50" s="593"/>
      <c r="L50" s="628"/>
      <c r="M50" s="589"/>
      <c r="N50" s="604"/>
      <c r="O50" s="588"/>
      <c r="P50" s="592"/>
      <c r="Q50" s="592"/>
      <c r="R50" s="598"/>
      <c r="S50" s="599"/>
      <c r="T50" s="600"/>
      <c r="U50" s="601"/>
    </row>
    <row r="51" spans="2:21">
      <c r="B51" s="602">
        <f t="shared" si="2"/>
        <v>42</v>
      </c>
      <c r="C51" s="588"/>
      <c r="D51" s="650"/>
      <c r="E51" s="651"/>
      <c r="F51" s="652"/>
      <c r="G51" s="655"/>
      <c r="H51" s="654"/>
      <c r="I51" s="592"/>
      <c r="J51" s="602">
        <f t="shared" si="3"/>
        <v>42</v>
      </c>
      <c r="K51" s="593"/>
      <c r="L51" s="628"/>
      <c r="M51" s="589"/>
      <c r="N51" s="604"/>
      <c r="O51" s="588"/>
      <c r="P51" s="592"/>
      <c r="Q51" s="592"/>
      <c r="R51" s="598"/>
      <c r="S51" s="599"/>
      <c r="T51" s="600"/>
      <c r="U51" s="601"/>
    </row>
    <row r="52" spans="2:21">
      <c r="B52" s="602">
        <f t="shared" si="2"/>
        <v>43</v>
      </c>
      <c r="C52" s="588"/>
      <c r="D52" s="650"/>
      <c r="E52" s="651"/>
      <c r="F52" s="652"/>
      <c r="G52" s="655"/>
      <c r="H52" s="654"/>
      <c r="I52" s="592"/>
      <c r="J52" s="602">
        <f t="shared" si="3"/>
        <v>43</v>
      </c>
      <c r="K52" s="593"/>
      <c r="L52" s="628"/>
      <c r="M52" s="589"/>
      <c r="N52" s="604"/>
      <c r="O52" s="588"/>
      <c r="P52" s="592"/>
      <c r="Q52" s="592"/>
      <c r="R52" s="598"/>
      <c r="S52" s="599"/>
      <c r="T52" s="600"/>
      <c r="U52" s="601"/>
    </row>
    <row r="53" spans="2:21">
      <c r="B53" s="602">
        <f t="shared" si="2"/>
        <v>44</v>
      </c>
      <c r="C53" s="588"/>
      <c r="D53" s="650"/>
      <c r="E53" s="651"/>
      <c r="F53" s="652"/>
      <c r="G53" s="655"/>
      <c r="H53" s="654"/>
      <c r="I53" s="592"/>
      <c r="J53" s="602">
        <f t="shared" si="3"/>
        <v>44</v>
      </c>
      <c r="K53" s="593"/>
      <c r="L53" s="628"/>
      <c r="M53" s="589"/>
      <c r="N53" s="604"/>
      <c r="O53" s="588"/>
      <c r="P53" s="592"/>
      <c r="Q53" s="592"/>
      <c r="R53" s="598"/>
      <c r="S53" s="599"/>
      <c r="T53" s="600"/>
      <c r="U53" s="601"/>
    </row>
    <row r="54" spans="2:21">
      <c r="B54" s="602">
        <f t="shared" si="2"/>
        <v>45</v>
      </c>
      <c r="C54" s="588"/>
      <c r="D54" s="650"/>
      <c r="E54" s="651"/>
      <c r="F54" s="652"/>
      <c r="G54" s="652"/>
      <c r="H54" s="654"/>
      <c r="I54" s="592"/>
      <c r="J54" s="602">
        <f t="shared" si="3"/>
        <v>45</v>
      </c>
      <c r="K54" s="593"/>
      <c r="L54" s="628"/>
      <c r="M54" s="589"/>
      <c r="N54" s="604"/>
      <c r="O54" s="588"/>
      <c r="P54" s="592"/>
      <c r="Q54" s="592"/>
      <c r="R54" s="598"/>
      <c r="S54" s="599"/>
      <c r="T54" s="600"/>
      <c r="U54" s="601"/>
    </row>
    <row r="55" spans="2:21">
      <c r="B55" s="602">
        <f t="shared" si="2"/>
        <v>46</v>
      </c>
      <c r="C55" s="588"/>
      <c r="D55" s="650"/>
      <c r="E55" s="651"/>
      <c r="F55" s="652"/>
      <c r="G55" s="652"/>
      <c r="H55" s="654"/>
      <c r="I55" s="592"/>
      <c r="J55" s="602">
        <f t="shared" si="3"/>
        <v>46</v>
      </c>
      <c r="K55" s="593"/>
      <c r="L55" s="628"/>
      <c r="M55" s="589"/>
      <c r="N55" s="604"/>
      <c r="O55" s="588"/>
      <c r="P55" s="592"/>
      <c r="Q55" s="592"/>
      <c r="R55" s="598"/>
      <c r="S55" s="599"/>
      <c r="T55" s="600"/>
      <c r="U55" s="601"/>
    </row>
    <row r="56" spans="2:21" ht="17.25" customHeight="1">
      <c r="B56" s="602">
        <f t="shared" si="2"/>
        <v>47</v>
      </c>
      <c r="C56" s="588"/>
      <c r="D56" s="650"/>
      <c r="E56" s="651"/>
      <c r="F56" s="652"/>
      <c r="G56" s="652"/>
      <c r="H56" s="654"/>
      <c r="I56" s="592"/>
      <c r="J56" s="602">
        <f t="shared" si="3"/>
        <v>47</v>
      </c>
      <c r="K56" s="593"/>
      <c r="L56" s="628"/>
      <c r="M56" s="589"/>
      <c r="N56" s="604"/>
      <c r="O56" s="588"/>
      <c r="P56" s="592"/>
      <c r="Q56" s="592"/>
      <c r="R56" s="598"/>
      <c r="S56" s="599"/>
      <c r="T56" s="600"/>
      <c r="U56" s="601"/>
    </row>
    <row r="57" spans="2:21">
      <c r="B57" s="602">
        <f t="shared" si="2"/>
        <v>48</v>
      </c>
      <c r="C57" s="588"/>
      <c r="D57" s="650"/>
      <c r="E57" s="651"/>
      <c r="F57" s="652"/>
      <c r="G57" s="653"/>
      <c r="H57" s="654"/>
      <c r="I57" s="592"/>
      <c r="J57" s="602">
        <f t="shared" si="3"/>
        <v>48</v>
      </c>
      <c r="K57" s="593"/>
      <c r="L57" s="628"/>
      <c r="M57" s="589"/>
      <c r="N57" s="604"/>
      <c r="O57" s="588"/>
      <c r="P57" s="592"/>
      <c r="Q57" s="592"/>
      <c r="R57" s="598"/>
      <c r="S57" s="599"/>
      <c r="T57" s="600"/>
      <c r="U57" s="601"/>
    </row>
    <row r="58" spans="2:21">
      <c r="B58" s="602"/>
      <c r="C58" s="588"/>
      <c r="D58" s="656"/>
      <c r="E58" s="657"/>
      <c r="F58" s="658"/>
      <c r="G58" s="627"/>
      <c r="H58" s="592"/>
      <c r="I58" s="592"/>
      <c r="J58" s="602"/>
      <c r="K58" s="593"/>
      <c r="L58" s="628"/>
      <c r="M58" s="589"/>
      <c r="N58" s="604"/>
      <c r="O58" s="588"/>
      <c r="P58" s="592"/>
      <c r="Q58" s="592"/>
      <c r="R58" s="598"/>
      <c r="S58" s="599"/>
      <c r="T58" s="600"/>
      <c r="U58" s="601"/>
    </row>
    <row r="59" spans="2:21">
      <c r="B59" s="602"/>
      <c r="C59" s="588"/>
      <c r="D59" s="590"/>
      <c r="E59" s="623"/>
      <c r="F59" s="591"/>
      <c r="G59" s="621"/>
      <c r="H59" s="592"/>
      <c r="I59" s="592"/>
      <c r="J59" s="602"/>
      <c r="K59" s="593"/>
      <c r="L59" s="628"/>
      <c r="M59" s="589"/>
      <c r="N59" s="604"/>
      <c r="O59" s="588"/>
      <c r="P59" s="592"/>
      <c r="Q59" s="592"/>
      <c r="R59" s="598"/>
      <c r="S59" s="599"/>
      <c r="T59" s="600"/>
      <c r="U59" s="601"/>
    </row>
    <row r="60" spans="2:21">
      <c r="B60" s="602"/>
      <c r="C60" s="588"/>
      <c r="D60" s="590"/>
      <c r="E60" s="623"/>
      <c r="F60" s="591"/>
      <c r="G60" s="621"/>
      <c r="H60" s="592"/>
      <c r="I60" s="592"/>
      <c r="J60" s="602"/>
      <c r="K60" s="593"/>
      <c r="L60" s="628"/>
      <c r="M60" s="589"/>
      <c r="N60" s="604"/>
      <c r="O60" s="588"/>
      <c r="P60" s="592"/>
      <c r="Q60" s="592"/>
      <c r="R60" s="598"/>
      <c r="S60" s="599"/>
      <c r="T60" s="600"/>
      <c r="U60" s="601"/>
    </row>
    <row r="61" spans="2:21">
      <c r="B61" s="602"/>
      <c r="C61" s="588"/>
      <c r="D61" s="590"/>
      <c r="E61" s="623"/>
      <c r="F61" s="591"/>
      <c r="G61" s="621"/>
      <c r="H61" s="592"/>
      <c r="I61" s="592"/>
      <c r="J61" s="602"/>
      <c r="K61" s="593"/>
      <c r="L61" s="628"/>
      <c r="M61" s="589"/>
      <c r="N61" s="604"/>
      <c r="O61" s="588"/>
      <c r="P61" s="592"/>
      <c r="Q61" s="592"/>
      <c r="R61" s="598"/>
      <c r="S61" s="599"/>
      <c r="T61" s="600"/>
      <c r="U61" s="601"/>
    </row>
    <row r="62" spans="2:21">
      <c r="B62" s="602"/>
      <c r="C62" s="588"/>
      <c r="D62" s="590"/>
      <c r="E62" s="623"/>
      <c r="F62" s="591"/>
      <c r="G62" s="621"/>
      <c r="H62" s="592"/>
      <c r="I62" s="592"/>
      <c r="J62" s="602"/>
      <c r="K62" s="593"/>
      <c r="L62" s="628"/>
      <c r="M62" s="589"/>
      <c r="N62" s="604"/>
      <c r="O62" s="588"/>
      <c r="P62" s="592"/>
      <c r="Q62" s="592"/>
      <c r="R62" s="598"/>
      <c r="S62" s="599"/>
      <c r="T62" s="600"/>
      <c r="U62" s="601"/>
    </row>
    <row r="63" spans="2:21">
      <c r="B63" s="602"/>
      <c r="C63" s="588"/>
      <c r="D63" s="590"/>
      <c r="E63" s="623"/>
      <c r="F63" s="591"/>
      <c r="G63" s="621"/>
      <c r="H63" s="592"/>
      <c r="I63" s="592"/>
      <c r="J63" s="602"/>
      <c r="K63" s="593"/>
      <c r="L63" s="628"/>
      <c r="M63" s="589"/>
      <c r="N63" s="604"/>
      <c r="O63" s="588"/>
      <c r="P63" s="592"/>
      <c r="Q63" s="592"/>
      <c r="R63" s="598"/>
      <c r="S63" s="599"/>
      <c r="T63" s="600"/>
      <c r="U63" s="601"/>
    </row>
    <row r="64" spans="2:21">
      <c r="B64" s="602"/>
      <c r="C64" s="621"/>
      <c r="D64" s="622"/>
      <c r="E64" s="623"/>
      <c r="F64" s="621"/>
      <c r="G64" s="621"/>
      <c r="H64" s="625"/>
      <c r="I64" s="592"/>
      <c r="J64" s="602"/>
      <c r="K64" s="593"/>
      <c r="L64" s="628"/>
      <c r="M64" s="589"/>
      <c r="N64" s="604"/>
      <c r="O64" s="588"/>
      <c r="P64" s="592"/>
      <c r="Q64" s="592"/>
      <c r="R64" s="598"/>
      <c r="S64" s="599"/>
      <c r="T64" s="600"/>
      <c r="U64" s="601"/>
    </row>
    <row r="65" spans="2:21">
      <c r="B65" s="602"/>
      <c r="C65" s="621"/>
      <c r="D65" s="622"/>
      <c r="E65" s="623"/>
      <c r="F65" s="621"/>
      <c r="G65" s="621"/>
      <c r="H65" s="625"/>
      <c r="I65" s="592"/>
      <c r="J65" s="602"/>
      <c r="K65" s="593"/>
      <c r="L65" s="628"/>
      <c r="M65" s="589"/>
      <c r="N65" s="604"/>
      <c r="O65" s="588"/>
      <c r="P65" s="592"/>
      <c r="Q65" s="592"/>
      <c r="R65" s="598"/>
      <c r="S65" s="599"/>
      <c r="T65" s="600"/>
      <c r="U65" s="601"/>
    </row>
    <row r="66" spans="2:21">
      <c r="B66" s="602"/>
      <c r="C66" s="621"/>
      <c r="D66" s="622"/>
      <c r="E66" s="623"/>
      <c r="F66" s="621"/>
      <c r="G66" s="621"/>
      <c r="H66" s="625"/>
      <c r="I66" s="592"/>
      <c r="J66" s="602"/>
      <c r="K66" s="593"/>
      <c r="L66" s="628"/>
      <c r="M66" s="589"/>
      <c r="N66" s="604"/>
      <c r="O66" s="588"/>
      <c r="P66" s="592"/>
      <c r="Q66" s="592"/>
      <c r="R66" s="598"/>
      <c r="S66" s="599"/>
      <c r="T66" s="600"/>
      <c r="U66" s="601"/>
    </row>
    <row r="67" spans="2:21">
      <c r="B67" s="629"/>
      <c r="C67" s="630"/>
      <c r="D67" s="631"/>
      <c r="E67" s="630"/>
      <c r="F67" s="630"/>
      <c r="G67" s="630"/>
      <c r="H67" s="630"/>
      <c r="I67" s="631"/>
      <c r="J67" s="629"/>
      <c r="K67" s="632"/>
      <c r="L67" s="631"/>
      <c r="M67" s="630"/>
      <c r="N67" s="604"/>
      <c r="O67" s="588"/>
      <c r="P67" s="631"/>
      <c r="Q67" s="631"/>
      <c r="R67" s="630"/>
      <c r="S67" s="633"/>
      <c r="T67" s="633"/>
      <c r="U67" s="634"/>
    </row>
    <row r="68" spans="2:21">
      <c r="B68" s="578"/>
      <c r="C68" s="579"/>
      <c r="D68" s="578"/>
      <c r="E68" s="578"/>
      <c r="F68" s="578"/>
      <c r="G68" s="578"/>
      <c r="H68" s="578"/>
      <c r="I68" s="578"/>
      <c r="J68" s="578"/>
      <c r="K68" s="578"/>
      <c r="L68" s="578"/>
      <c r="M68" s="578"/>
      <c r="N68" s="578"/>
      <c r="O68" s="578"/>
      <c r="P68" s="579"/>
      <c r="Q68" s="579"/>
      <c r="R68" s="578"/>
      <c r="S68" s="579"/>
      <c r="T68" s="579"/>
      <c r="U68" s="578"/>
    </row>
    <row r="69" spans="2:21">
      <c r="B69" s="576" t="s">
        <v>1988</v>
      </c>
      <c r="C69" s="580"/>
      <c r="P69" s="580"/>
      <c r="Q69" s="580"/>
      <c r="S69" s="580"/>
      <c r="T69" s="580"/>
    </row>
    <row r="70" spans="2:21">
      <c r="B70" s="1253" t="s">
        <v>826</v>
      </c>
      <c r="C70" s="1254"/>
      <c r="D70" s="1255" t="s">
        <v>1029</v>
      </c>
      <c r="E70" s="1256"/>
      <c r="F70" s="1256"/>
      <c r="G70" s="1256"/>
      <c r="H70" s="1256"/>
      <c r="I70" s="1256"/>
      <c r="J70" s="1256"/>
      <c r="K70" s="1256"/>
      <c r="L70" s="1256"/>
      <c r="M70" s="1256"/>
      <c r="N70" s="1256"/>
      <c r="O70" s="1256"/>
      <c r="P70" s="1256"/>
      <c r="Q70" s="1256"/>
      <c r="R70" s="1256"/>
      <c r="S70" s="1256"/>
      <c r="T70" s="1256"/>
      <c r="U70" s="1257"/>
    </row>
    <row r="71" spans="2:21">
      <c r="B71" s="1258" t="s">
        <v>1033</v>
      </c>
      <c r="C71" s="1259"/>
      <c r="D71" s="1260"/>
      <c r="E71" s="1248"/>
      <c r="F71" s="1248"/>
      <c r="G71" s="1248"/>
      <c r="H71" s="1248"/>
      <c r="I71" s="1248"/>
      <c r="J71" s="1248"/>
      <c r="K71" s="1248"/>
      <c r="L71" s="1248"/>
      <c r="M71" s="1248"/>
      <c r="N71" s="1248"/>
      <c r="O71" s="1248"/>
      <c r="P71" s="1248"/>
      <c r="Q71" s="1248"/>
      <c r="R71" s="1248"/>
      <c r="S71" s="1248"/>
      <c r="T71" s="1248"/>
      <c r="U71" s="1261"/>
    </row>
    <row r="72" spans="2:21">
      <c r="B72" s="1272" t="s">
        <v>1038</v>
      </c>
      <c r="C72" s="1268"/>
      <c r="D72" s="1273"/>
      <c r="E72" s="1270"/>
      <c r="F72" s="1270"/>
      <c r="G72" s="1270"/>
      <c r="H72" s="1270"/>
      <c r="I72" s="1270"/>
      <c r="J72" s="1270"/>
      <c r="K72" s="1270"/>
      <c r="L72" s="1270"/>
      <c r="M72" s="1270"/>
      <c r="N72" s="1270"/>
      <c r="O72" s="1270"/>
      <c r="P72" s="1270"/>
      <c r="Q72" s="1270"/>
      <c r="R72" s="1270"/>
      <c r="S72" s="1270"/>
      <c r="T72" s="1270"/>
      <c r="U72" s="1271"/>
    </row>
    <row r="73" spans="2:21">
      <c r="B73" s="580"/>
      <c r="C73" s="580"/>
      <c r="D73" s="580"/>
      <c r="E73" s="580"/>
      <c r="F73" s="580"/>
      <c r="G73" s="580"/>
      <c r="H73" s="580"/>
      <c r="I73" s="580"/>
      <c r="J73" s="580"/>
      <c r="K73" s="580"/>
      <c r="L73" s="580"/>
      <c r="M73" s="580"/>
      <c r="N73" s="580"/>
      <c r="O73" s="580"/>
      <c r="P73" s="580"/>
      <c r="Q73" s="580"/>
      <c r="R73" s="580"/>
      <c r="S73" s="580"/>
      <c r="T73" s="580"/>
      <c r="U73" s="580"/>
    </row>
    <row r="74" spans="2:21">
      <c r="B74" s="576" t="s">
        <v>1989</v>
      </c>
      <c r="C74" s="580"/>
      <c r="P74" s="580"/>
      <c r="Q74" s="580"/>
      <c r="S74" s="580"/>
      <c r="T74" s="580"/>
    </row>
    <row r="75" spans="2:21">
      <c r="B75" s="1274" t="s">
        <v>1049</v>
      </c>
      <c r="C75" s="1254"/>
      <c r="D75" s="1275"/>
      <c r="E75" s="1256"/>
      <c r="F75" s="1256"/>
      <c r="G75" s="1256"/>
      <c r="H75" s="1256"/>
      <c r="I75" s="1256"/>
      <c r="J75" s="1256"/>
      <c r="K75" s="1256"/>
      <c r="L75" s="1256"/>
      <c r="M75" s="1256"/>
      <c r="N75" s="1256"/>
      <c r="O75" s="1256"/>
      <c r="P75" s="1256"/>
      <c r="Q75" s="1256"/>
      <c r="R75" s="1256"/>
      <c r="S75" s="1256"/>
      <c r="T75" s="1256"/>
      <c r="U75" s="1257"/>
    </row>
    <row r="76" spans="2:21">
      <c r="B76" s="1276" t="s">
        <v>1053</v>
      </c>
      <c r="C76" s="1259"/>
      <c r="D76" s="1260"/>
      <c r="E76" s="1248"/>
      <c r="F76" s="1248"/>
      <c r="G76" s="1248"/>
      <c r="H76" s="1248"/>
      <c r="I76" s="1248"/>
      <c r="J76" s="1248"/>
      <c r="K76" s="1248"/>
      <c r="L76" s="1248"/>
      <c r="M76" s="1248"/>
      <c r="N76" s="1248"/>
      <c r="O76" s="1248"/>
      <c r="P76" s="1248"/>
      <c r="Q76" s="1248"/>
      <c r="R76" s="1248"/>
      <c r="S76" s="1248"/>
      <c r="T76" s="1248"/>
      <c r="U76" s="1261"/>
    </row>
    <row r="77" spans="2:21">
      <c r="B77" s="1262" t="s">
        <v>1057</v>
      </c>
      <c r="C77" s="1263"/>
      <c r="D77" s="1264" t="s">
        <v>3217</v>
      </c>
      <c r="E77" s="1265"/>
      <c r="F77" s="1265"/>
      <c r="G77" s="1265"/>
      <c r="H77" s="1265"/>
      <c r="I77" s="1265"/>
      <c r="J77" s="1265"/>
      <c r="K77" s="1265"/>
      <c r="L77" s="1265"/>
      <c r="M77" s="1265"/>
      <c r="N77" s="1265"/>
      <c r="O77" s="1265"/>
      <c r="P77" s="1265"/>
      <c r="Q77" s="1265"/>
      <c r="R77" s="1265"/>
      <c r="S77" s="1265"/>
      <c r="T77" s="1265"/>
      <c r="U77" s="1266"/>
    </row>
    <row r="78" spans="2:21">
      <c r="B78" s="1267" t="s">
        <v>1061</v>
      </c>
      <c r="C78" s="1268"/>
      <c r="D78" s="1269"/>
      <c r="E78" s="1270"/>
      <c r="F78" s="1270"/>
      <c r="G78" s="1270"/>
      <c r="H78" s="1270"/>
      <c r="I78" s="1270"/>
      <c r="J78" s="1270"/>
      <c r="K78" s="1270"/>
      <c r="L78" s="1270"/>
      <c r="M78" s="1270"/>
      <c r="N78" s="1270"/>
      <c r="O78" s="1270"/>
      <c r="P78" s="1270"/>
      <c r="Q78" s="1270"/>
      <c r="R78" s="1270"/>
      <c r="S78" s="1270"/>
      <c r="T78" s="1270"/>
      <c r="U78" s="1271"/>
    </row>
  </sheetData>
  <mergeCells count="26">
    <mergeCell ref="B78:C78"/>
    <mergeCell ref="D78:U78"/>
    <mergeCell ref="B72:C72"/>
    <mergeCell ref="D72:U72"/>
    <mergeCell ref="B75:C75"/>
    <mergeCell ref="D75:U75"/>
    <mergeCell ref="B76:C76"/>
    <mergeCell ref="D76:U76"/>
    <mergeCell ref="B70:C70"/>
    <mergeCell ref="D70:U70"/>
    <mergeCell ref="B71:C71"/>
    <mergeCell ref="D71:U71"/>
    <mergeCell ref="B77:C77"/>
    <mergeCell ref="D77:U77"/>
    <mergeCell ref="B1:C1"/>
    <mergeCell ref="B2:O4"/>
    <mergeCell ref="P2:U2"/>
    <mergeCell ref="P3:U4"/>
    <mergeCell ref="B7:I7"/>
    <mergeCell ref="J7:S7"/>
    <mergeCell ref="T7:T9"/>
    <mergeCell ref="U7:U9"/>
    <mergeCell ref="B8:C8"/>
    <mergeCell ref="D8:I8"/>
    <mergeCell ref="J8:K8"/>
    <mergeCell ref="L8:S8"/>
  </mergeCells>
  <phoneticPr fontId="4" type="noConversion"/>
  <hyperlinks>
    <hyperlink ref="A1" location="List!A1" display="Top" xr:uid="{DA2DF4B0-EBEF-4236-94A0-BCBB49D25899}"/>
  </hyperlinks>
  <pageMargins left="0.3" right="0.37" top="0.75" bottom="0.75" header="0" footer="0"/>
  <pageSetup paperSize="9" orientation="portrait"/>
  <customProperties>
    <customPr name="_pios_id" r:id="rId1"/>
  </customProperties>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30F1E-B6E5-441C-B008-E2CA69069C19}">
  <sheetPr>
    <pageSetUpPr fitToPage="1"/>
  </sheetPr>
  <dimension ref="B1:W78"/>
  <sheetViews>
    <sheetView topLeftCell="A16" zoomScale="90" zoomScaleNormal="90" workbookViewId="0">
      <selection activeCell="K45" sqref="K45"/>
    </sheetView>
  </sheetViews>
  <sheetFormatPr defaultColWidth="8.75" defaultRowHeight="17.25"/>
  <cols>
    <col min="1" max="1" width="2.25" style="414" customWidth="1"/>
    <col min="2" max="2" width="4" style="414" customWidth="1"/>
    <col min="3" max="3" width="24.75" style="414" customWidth="1"/>
    <col min="4" max="4" width="15.75" style="414" customWidth="1"/>
    <col min="5" max="5" width="4" style="414" customWidth="1"/>
    <col min="6" max="6" width="9.625" style="414" customWidth="1"/>
    <col min="7" max="7" width="6.625" style="414" customWidth="1"/>
    <col min="8" max="8" width="27.875" style="414" bestFit="1" customWidth="1"/>
    <col min="9" max="9" width="23.5" style="414" customWidth="1"/>
    <col min="10" max="10" width="4" style="414" customWidth="1"/>
    <col min="11" max="11" width="18.25" style="414" customWidth="1"/>
    <col min="12" max="12" width="16.625" style="414" customWidth="1"/>
    <col min="13" max="13" width="4.75" style="414" customWidth="1"/>
    <col min="14" max="14" width="13.375" style="414" customWidth="1"/>
    <col min="15" max="15" width="5.75" style="414" customWidth="1"/>
    <col min="16" max="17" width="24.875" style="414" customWidth="1"/>
    <col min="18" max="18" width="4.5" style="414" customWidth="1"/>
    <col min="19" max="19" width="4" style="414" customWidth="1"/>
    <col min="20" max="20" width="11.75" style="414" customWidth="1"/>
    <col min="21" max="21" width="7.75" style="414" customWidth="1"/>
    <col min="22" max="22" width="31" style="414" bestFit="1" customWidth="1"/>
    <col min="23" max="23" width="9" style="414" customWidth="1"/>
    <col min="24" max="26" width="2.25" style="414" customWidth="1"/>
    <col min="27" max="16384" width="8.75" style="414"/>
  </cols>
  <sheetData>
    <row r="1" spans="2:23" ht="18" thickBot="1">
      <c r="B1" s="1277" t="s">
        <v>3429</v>
      </c>
      <c r="C1" s="1277"/>
    </row>
    <row r="2" spans="2:23">
      <c r="B2" s="1172" t="s">
        <v>3430</v>
      </c>
      <c r="C2" s="1173"/>
      <c r="D2" s="1173"/>
      <c r="E2" s="1173"/>
      <c r="F2" s="1173"/>
      <c r="G2" s="1173"/>
      <c r="H2" s="1173"/>
      <c r="I2" s="1173"/>
      <c r="J2" s="1173"/>
      <c r="K2" s="1173"/>
      <c r="L2" s="1173"/>
      <c r="M2" s="1173"/>
      <c r="N2" s="1173"/>
      <c r="O2" s="1173"/>
      <c r="P2" s="1179"/>
      <c r="Q2" s="1180"/>
      <c r="R2" s="1180"/>
      <c r="S2" s="1180"/>
      <c r="T2" s="1180"/>
      <c r="U2" s="1181"/>
    </row>
    <row r="3" spans="2:23">
      <c r="B3" s="1174"/>
      <c r="C3" s="1175"/>
      <c r="D3" s="1175"/>
      <c r="E3" s="1175"/>
      <c r="F3" s="1175"/>
      <c r="G3" s="1175"/>
      <c r="H3" s="1175"/>
      <c r="I3" s="1175"/>
      <c r="J3" s="1175"/>
      <c r="K3" s="1175"/>
      <c r="L3" s="1175"/>
      <c r="M3" s="1175"/>
      <c r="N3" s="1175"/>
      <c r="O3" s="1176"/>
      <c r="P3" s="1182"/>
      <c r="Q3" s="1183"/>
      <c r="R3" s="1183"/>
      <c r="S3" s="1183"/>
      <c r="T3" s="1183"/>
      <c r="U3" s="1184"/>
    </row>
    <row r="4" spans="2:23" ht="18" thickBot="1">
      <c r="B4" s="1177"/>
      <c r="C4" s="1178"/>
      <c r="D4" s="1178"/>
      <c r="E4" s="1178"/>
      <c r="F4" s="1178"/>
      <c r="G4" s="1178"/>
      <c r="H4" s="1178"/>
      <c r="I4" s="1178"/>
      <c r="J4" s="1178"/>
      <c r="K4" s="1178"/>
      <c r="L4" s="1178"/>
      <c r="M4" s="1178"/>
      <c r="N4" s="1178"/>
      <c r="O4" s="1178"/>
      <c r="P4" s="1185"/>
      <c r="Q4" s="1178"/>
      <c r="R4" s="1178"/>
      <c r="S4" s="1178"/>
      <c r="T4" s="1178"/>
      <c r="U4" s="1186"/>
    </row>
    <row r="5" spans="2:23">
      <c r="B5" s="415"/>
      <c r="C5" s="416"/>
      <c r="D5" s="415"/>
      <c r="E5" s="415"/>
      <c r="F5" s="415"/>
      <c r="G5" s="415"/>
      <c r="H5" s="415"/>
      <c r="I5" s="415"/>
      <c r="J5" s="415"/>
      <c r="K5" s="415"/>
      <c r="L5" s="415"/>
      <c r="M5" s="415"/>
      <c r="N5" s="415"/>
      <c r="O5" s="415"/>
      <c r="P5" s="416"/>
      <c r="Q5" s="416"/>
      <c r="R5" s="415"/>
      <c r="S5" s="416"/>
      <c r="T5" s="416"/>
      <c r="U5" s="415"/>
    </row>
    <row r="6" spans="2:23" ht="18" thickBot="1">
      <c r="B6" s="414" t="s">
        <v>1967</v>
      </c>
      <c r="C6" s="417"/>
      <c r="P6" s="417"/>
      <c r="Q6" s="417"/>
      <c r="S6" s="417"/>
      <c r="T6" s="417"/>
    </row>
    <row r="7" spans="2:23" ht="18" thickBot="1">
      <c r="B7" s="1187" t="s">
        <v>1968</v>
      </c>
      <c r="C7" s="1173"/>
      <c r="D7" s="1173"/>
      <c r="E7" s="1173"/>
      <c r="F7" s="1173"/>
      <c r="G7" s="1173"/>
      <c r="H7" s="1173"/>
      <c r="I7" s="1173"/>
      <c r="J7" s="1188" t="s">
        <v>3200</v>
      </c>
      <c r="K7" s="1173"/>
      <c r="L7" s="1173"/>
      <c r="M7" s="1173"/>
      <c r="N7" s="1173"/>
      <c r="O7" s="1173"/>
      <c r="P7" s="1173"/>
      <c r="Q7" s="1173"/>
      <c r="R7" s="1173"/>
      <c r="S7" s="1173"/>
      <c r="T7" s="1189" t="s">
        <v>825</v>
      </c>
      <c r="U7" s="1192" t="s">
        <v>826</v>
      </c>
    </row>
    <row r="8" spans="2:23" ht="18" thickBot="1">
      <c r="B8" s="1194" t="s">
        <v>828</v>
      </c>
      <c r="C8" s="1195"/>
      <c r="D8" s="1196"/>
      <c r="E8" s="1197"/>
      <c r="F8" s="1197"/>
      <c r="G8" s="1197"/>
      <c r="H8" s="1197"/>
      <c r="I8" s="1198"/>
      <c r="J8" s="1199" t="s">
        <v>1971</v>
      </c>
      <c r="K8" s="1195"/>
      <c r="L8" s="1196"/>
      <c r="M8" s="1197"/>
      <c r="N8" s="1197"/>
      <c r="O8" s="1197"/>
      <c r="P8" s="1197"/>
      <c r="Q8" s="1197"/>
      <c r="R8" s="1197"/>
      <c r="S8" s="1197"/>
      <c r="T8" s="1190"/>
      <c r="U8" s="1193"/>
    </row>
    <row r="9" spans="2:23" ht="52.5" thickBot="1">
      <c r="B9" s="418" t="s">
        <v>831</v>
      </c>
      <c r="C9" s="288" t="s">
        <v>1973</v>
      </c>
      <c r="D9" s="289" t="s">
        <v>832</v>
      </c>
      <c r="E9" s="289" t="s">
        <v>833</v>
      </c>
      <c r="F9" s="289" t="s">
        <v>834</v>
      </c>
      <c r="G9" s="289" t="s">
        <v>835</v>
      </c>
      <c r="H9" s="289" t="s">
        <v>836</v>
      </c>
      <c r="I9" s="289" t="s">
        <v>3255</v>
      </c>
      <c r="J9" s="419" t="s">
        <v>831</v>
      </c>
      <c r="K9" s="288" t="s">
        <v>1973</v>
      </c>
      <c r="L9" s="289" t="s">
        <v>832</v>
      </c>
      <c r="M9" s="289" t="s">
        <v>833</v>
      </c>
      <c r="N9" s="289" t="s">
        <v>834</v>
      </c>
      <c r="O9" s="289" t="s">
        <v>835</v>
      </c>
      <c r="P9" s="289" t="s">
        <v>836</v>
      </c>
      <c r="Q9" s="289"/>
      <c r="R9" s="420" t="s">
        <v>838</v>
      </c>
      <c r="S9" s="421" t="s">
        <v>839</v>
      </c>
      <c r="T9" s="1191"/>
      <c r="U9" s="1193"/>
      <c r="V9" s="682" t="s">
        <v>3431</v>
      </c>
      <c r="W9" s="414" t="s">
        <v>3432</v>
      </c>
    </row>
    <row r="10" spans="2:23">
      <c r="B10" s="423">
        <v>1</v>
      </c>
      <c r="C10" s="279" t="s">
        <v>3433</v>
      </c>
      <c r="D10" s="281" t="s">
        <v>3257</v>
      </c>
      <c r="E10" s="280"/>
      <c r="F10" s="279" t="s">
        <v>845</v>
      </c>
      <c r="G10" s="279"/>
      <c r="H10" s="280" t="s">
        <v>3258</v>
      </c>
      <c r="I10" s="283"/>
      <c r="J10" s="423">
        <v>1</v>
      </c>
      <c r="K10" s="424"/>
      <c r="L10" s="426"/>
      <c r="M10" s="427"/>
      <c r="N10" s="428"/>
      <c r="O10" s="427"/>
      <c r="P10" s="429"/>
      <c r="Q10" s="429"/>
      <c r="R10" s="430"/>
      <c r="S10" s="431"/>
      <c r="T10" s="432"/>
      <c r="U10" s="433"/>
      <c r="V10" s="682" t="s">
        <v>3434</v>
      </c>
      <c r="W10" s="414">
        <f t="shared" ref="W10:W37" si="0">LENB(V10)</f>
        <v>3</v>
      </c>
    </row>
    <row r="11" spans="2:23">
      <c r="B11" s="436">
        <v>2</v>
      </c>
      <c r="C11" s="279" t="s">
        <v>3433</v>
      </c>
      <c r="D11" s="414" t="s">
        <v>1594</v>
      </c>
      <c r="E11" s="281"/>
      <c r="F11" s="279" t="s">
        <v>845</v>
      </c>
      <c r="G11" s="279"/>
      <c r="H11" s="281" t="s">
        <v>3435</v>
      </c>
      <c r="I11" s="285"/>
      <c r="J11" s="436">
        <v>2</v>
      </c>
      <c r="K11" s="424"/>
      <c r="L11" s="414" t="s">
        <v>1594</v>
      </c>
      <c r="M11" s="427"/>
      <c r="N11" s="428" t="s">
        <v>2579</v>
      </c>
      <c r="O11" s="427">
        <v>1000</v>
      </c>
      <c r="P11" s="281" t="s">
        <v>3435</v>
      </c>
      <c r="Q11" s="429"/>
      <c r="R11" s="430"/>
      <c r="S11" s="431"/>
      <c r="T11" s="432"/>
      <c r="U11" s="433"/>
      <c r="V11" s="682">
        <v>45985</v>
      </c>
      <c r="W11" s="414">
        <f t="shared" si="0"/>
        <v>5</v>
      </c>
    </row>
    <row r="12" spans="2:23">
      <c r="B12" s="436">
        <f t="shared" ref="B12:B32" si="1">+B11+1</f>
        <v>3</v>
      </c>
      <c r="C12" s="279" t="s">
        <v>3433</v>
      </c>
      <c r="D12" s="280" t="s">
        <v>1273</v>
      </c>
      <c r="E12" s="281"/>
      <c r="F12" s="282" t="s">
        <v>845</v>
      </c>
      <c r="G12" s="279"/>
      <c r="H12" s="281" t="s">
        <v>1274</v>
      </c>
      <c r="I12" s="283"/>
      <c r="J12" s="436">
        <f t="shared" ref="J12:J32" si="2">+J11+1</f>
        <v>3</v>
      </c>
      <c r="K12" s="424"/>
      <c r="L12" s="280" t="s">
        <v>1273</v>
      </c>
      <c r="M12" s="279"/>
      <c r="N12" s="428" t="s">
        <v>2579</v>
      </c>
      <c r="O12" s="427">
        <v>1000</v>
      </c>
      <c r="P12" s="281" t="s">
        <v>1274</v>
      </c>
      <c r="Q12" s="283"/>
      <c r="R12" s="430"/>
      <c r="S12" s="431"/>
      <c r="T12" s="432"/>
      <c r="U12" s="433"/>
      <c r="V12" s="682" t="s">
        <v>3436</v>
      </c>
      <c r="W12" s="414">
        <f t="shared" si="0"/>
        <v>4</v>
      </c>
    </row>
    <row r="13" spans="2:23">
      <c r="B13" s="436">
        <f t="shared" si="1"/>
        <v>4</v>
      </c>
      <c r="C13" s="279" t="s">
        <v>3433</v>
      </c>
      <c r="D13" s="280" t="s">
        <v>1600</v>
      </c>
      <c r="E13" s="281"/>
      <c r="F13" s="282" t="s">
        <v>845</v>
      </c>
      <c r="G13" s="279"/>
      <c r="H13" s="281" t="s">
        <v>3203</v>
      </c>
      <c r="I13" s="285"/>
      <c r="J13" s="436">
        <f t="shared" si="2"/>
        <v>4</v>
      </c>
      <c r="K13" s="424"/>
      <c r="L13" s="280" t="s">
        <v>1600</v>
      </c>
      <c r="M13" s="281"/>
      <c r="N13" s="428" t="s">
        <v>2579</v>
      </c>
      <c r="O13" s="427">
        <v>1000</v>
      </c>
      <c r="P13" s="281" t="s">
        <v>3203</v>
      </c>
      <c r="Q13" s="283"/>
      <c r="R13" s="439"/>
      <c r="S13" s="440"/>
      <c r="T13" s="441"/>
      <c r="U13" s="433"/>
      <c r="V13" s="682" t="s">
        <v>3437</v>
      </c>
      <c r="W13" s="414">
        <f t="shared" si="0"/>
        <v>4</v>
      </c>
    </row>
    <row r="14" spans="2:23">
      <c r="B14" s="436">
        <f t="shared" si="1"/>
        <v>5</v>
      </c>
      <c r="C14" s="463" t="s">
        <v>3433</v>
      </c>
      <c r="D14" s="464" t="s">
        <v>3438</v>
      </c>
      <c r="E14" s="465"/>
      <c r="F14" s="463" t="s">
        <v>845</v>
      </c>
      <c r="G14" s="463"/>
      <c r="H14" s="465" t="s">
        <v>3439</v>
      </c>
      <c r="I14" s="466"/>
      <c r="J14" s="436">
        <f t="shared" si="2"/>
        <v>5</v>
      </c>
      <c r="K14" s="424"/>
      <c r="L14" s="464" t="s">
        <v>3438</v>
      </c>
      <c r="M14" s="463"/>
      <c r="N14" s="961" t="s">
        <v>2579</v>
      </c>
      <c r="O14" s="962">
        <v>1000</v>
      </c>
      <c r="P14" s="465" t="s">
        <v>3439</v>
      </c>
      <c r="Q14" s="283"/>
      <c r="R14" s="439"/>
      <c r="S14" s="440"/>
      <c r="T14" s="441"/>
      <c r="U14" s="433"/>
      <c r="V14" s="682" t="s">
        <v>3440</v>
      </c>
      <c r="W14" s="414">
        <f t="shared" si="0"/>
        <v>4</v>
      </c>
    </row>
    <row r="15" spans="2:23">
      <c r="B15" s="436">
        <f t="shared" si="1"/>
        <v>6</v>
      </c>
      <c r="C15" s="463" t="s">
        <v>3433</v>
      </c>
      <c r="D15" s="464" t="s">
        <v>3441</v>
      </c>
      <c r="E15" s="465"/>
      <c r="F15" s="463" t="s">
        <v>845</v>
      </c>
      <c r="G15" s="463"/>
      <c r="H15" s="465" t="s">
        <v>3442</v>
      </c>
      <c r="I15" s="466"/>
      <c r="J15" s="436">
        <f t="shared" si="2"/>
        <v>6</v>
      </c>
      <c r="K15" s="424"/>
      <c r="L15" s="464" t="s">
        <v>3441</v>
      </c>
      <c r="M15" s="463"/>
      <c r="N15" s="961" t="s">
        <v>2579</v>
      </c>
      <c r="O15" s="962">
        <v>1000</v>
      </c>
      <c r="P15" s="465" t="s">
        <v>3442</v>
      </c>
      <c r="Q15" s="283"/>
      <c r="R15" s="439"/>
      <c r="S15" s="431"/>
      <c r="T15" s="432"/>
      <c r="U15" s="433"/>
      <c r="V15" s="682" t="s">
        <v>3443</v>
      </c>
      <c r="W15" s="414">
        <f t="shared" si="0"/>
        <v>10</v>
      </c>
    </row>
    <row r="16" spans="2:23">
      <c r="B16" s="436">
        <f t="shared" si="1"/>
        <v>7</v>
      </c>
      <c r="C16" s="279" t="s">
        <v>3433</v>
      </c>
      <c r="D16" s="461" t="s">
        <v>1068</v>
      </c>
      <c r="E16" s="281"/>
      <c r="F16" s="282" t="s">
        <v>845</v>
      </c>
      <c r="G16" s="279"/>
      <c r="H16" s="462" t="s">
        <v>1597</v>
      </c>
      <c r="I16" s="285"/>
      <c r="J16" s="436">
        <f t="shared" si="2"/>
        <v>7</v>
      </c>
      <c r="K16" s="424"/>
      <c r="L16" s="461" t="s">
        <v>1068</v>
      </c>
      <c r="M16" s="281"/>
      <c r="N16" s="428" t="s">
        <v>2579</v>
      </c>
      <c r="O16" s="427">
        <v>1000</v>
      </c>
      <c r="P16" s="462" t="s">
        <v>1597</v>
      </c>
      <c r="Q16" s="283"/>
      <c r="R16" s="439"/>
      <c r="S16" s="431"/>
      <c r="T16" s="432"/>
      <c r="U16" s="433"/>
      <c r="V16" s="682" t="s">
        <v>3444</v>
      </c>
      <c r="W16" s="414">
        <f t="shared" si="0"/>
        <v>18</v>
      </c>
    </row>
    <row r="17" spans="2:23">
      <c r="B17" s="436">
        <f t="shared" si="1"/>
        <v>8</v>
      </c>
      <c r="C17" s="279" t="s">
        <v>3433</v>
      </c>
      <c r="D17" s="461" t="s">
        <v>3445</v>
      </c>
      <c r="E17" s="281"/>
      <c r="F17" s="282" t="s">
        <v>845</v>
      </c>
      <c r="G17" s="279"/>
      <c r="H17" s="462" t="s">
        <v>3446</v>
      </c>
      <c r="I17" s="283"/>
      <c r="J17" s="436">
        <f t="shared" si="2"/>
        <v>8</v>
      </c>
      <c r="K17" s="424"/>
      <c r="L17" s="461" t="s">
        <v>3445</v>
      </c>
      <c r="M17" s="281"/>
      <c r="N17" s="428" t="s">
        <v>2579</v>
      </c>
      <c r="O17" s="427">
        <v>1000</v>
      </c>
      <c r="P17" s="462" t="s">
        <v>3446</v>
      </c>
      <c r="Q17" s="283"/>
      <c r="R17" s="439"/>
      <c r="S17" s="431"/>
      <c r="T17" s="432"/>
      <c r="U17" s="433"/>
      <c r="V17" s="682" t="s">
        <v>3447</v>
      </c>
      <c r="W17" s="414">
        <f t="shared" si="0"/>
        <v>1</v>
      </c>
    </row>
    <row r="18" spans="2:23">
      <c r="B18" s="436">
        <f t="shared" si="1"/>
        <v>9</v>
      </c>
      <c r="C18" s="279" t="s">
        <v>3433</v>
      </c>
      <c r="D18" s="461" t="s">
        <v>3448</v>
      </c>
      <c r="E18" s="281"/>
      <c r="F18" s="282" t="s">
        <v>845</v>
      </c>
      <c r="G18" s="279"/>
      <c r="H18" s="462" t="s">
        <v>3449</v>
      </c>
      <c r="I18" s="283"/>
      <c r="J18" s="436">
        <f t="shared" si="2"/>
        <v>9</v>
      </c>
      <c r="K18" s="424"/>
      <c r="L18" s="461" t="s">
        <v>3448</v>
      </c>
      <c r="M18" s="445"/>
      <c r="N18" s="428" t="s">
        <v>2579</v>
      </c>
      <c r="O18" s="427">
        <v>1000</v>
      </c>
      <c r="P18" s="462" t="s">
        <v>3449</v>
      </c>
      <c r="Q18" s="429"/>
      <c r="R18" s="430"/>
      <c r="S18" s="431"/>
      <c r="T18" s="432"/>
      <c r="U18" s="433"/>
      <c r="V18" s="682" t="s">
        <v>3450</v>
      </c>
      <c r="W18" s="414">
        <f t="shared" si="0"/>
        <v>4</v>
      </c>
    </row>
    <row r="19" spans="2:23">
      <c r="B19" s="436">
        <f t="shared" si="1"/>
        <v>10</v>
      </c>
      <c r="C19" s="279" t="s">
        <v>3433</v>
      </c>
      <c r="D19" s="461" t="s">
        <v>3451</v>
      </c>
      <c r="E19" s="281"/>
      <c r="F19" s="282" t="s">
        <v>845</v>
      </c>
      <c r="G19" s="279"/>
      <c r="H19" s="462" t="s">
        <v>3452</v>
      </c>
      <c r="I19" s="460"/>
      <c r="J19" s="436">
        <f t="shared" si="2"/>
        <v>10</v>
      </c>
      <c r="K19" s="424"/>
      <c r="L19" s="461" t="s">
        <v>3451</v>
      </c>
      <c r="M19" s="281"/>
      <c r="N19" s="428" t="s">
        <v>2579</v>
      </c>
      <c r="O19" s="427">
        <v>1000</v>
      </c>
      <c r="P19" s="462" t="s">
        <v>3452</v>
      </c>
      <c r="Q19" s="285"/>
      <c r="R19" s="430"/>
      <c r="S19" s="431"/>
      <c r="T19" s="432"/>
      <c r="U19" s="433"/>
      <c r="V19" s="682">
        <v>45832</v>
      </c>
      <c r="W19" s="414">
        <f t="shared" si="0"/>
        <v>5</v>
      </c>
    </row>
    <row r="20" spans="2:23">
      <c r="B20" s="436">
        <f t="shared" si="1"/>
        <v>11</v>
      </c>
      <c r="C20" s="279" t="s">
        <v>3433</v>
      </c>
      <c r="D20" s="461" t="s">
        <v>3453</v>
      </c>
      <c r="E20" s="465"/>
      <c r="F20" s="282" t="s">
        <v>845</v>
      </c>
      <c r="G20" s="279"/>
      <c r="H20" s="462" t="s">
        <v>2317</v>
      </c>
      <c r="I20" s="285"/>
      <c r="J20" s="436">
        <f t="shared" si="2"/>
        <v>11</v>
      </c>
      <c r="K20" s="424"/>
      <c r="L20" s="461" t="s">
        <v>3453</v>
      </c>
      <c r="M20" s="281"/>
      <c r="N20" s="428" t="s">
        <v>2579</v>
      </c>
      <c r="O20" s="427">
        <v>1000</v>
      </c>
      <c r="P20" s="462" t="s">
        <v>2317</v>
      </c>
      <c r="Q20" s="285"/>
      <c r="R20" s="430"/>
      <c r="S20" s="431"/>
      <c r="T20" s="432"/>
      <c r="U20" s="433"/>
      <c r="V20" s="682">
        <v>534</v>
      </c>
      <c r="W20" s="414">
        <f t="shared" si="0"/>
        <v>3</v>
      </c>
    </row>
    <row r="21" spans="2:23">
      <c r="B21" s="436">
        <f t="shared" si="1"/>
        <v>12</v>
      </c>
      <c r="C21" s="279" t="s">
        <v>3433</v>
      </c>
      <c r="D21" s="461" t="s">
        <v>1420</v>
      </c>
      <c r="E21" s="465"/>
      <c r="F21" s="282" t="s">
        <v>845</v>
      </c>
      <c r="G21" s="279"/>
      <c r="H21" s="462" t="s">
        <v>3454</v>
      </c>
      <c r="I21" s="285"/>
      <c r="J21" s="436">
        <f t="shared" si="2"/>
        <v>12</v>
      </c>
      <c r="K21" s="424"/>
      <c r="L21" s="461" t="s">
        <v>1420</v>
      </c>
      <c r="M21" s="281"/>
      <c r="N21" s="428" t="s">
        <v>2579</v>
      </c>
      <c r="O21" s="427">
        <v>1000</v>
      </c>
      <c r="P21" s="462" t="s">
        <v>3454</v>
      </c>
      <c r="Q21" s="285"/>
      <c r="R21" s="430"/>
      <c r="S21" s="431"/>
      <c r="T21" s="432"/>
      <c r="U21" s="433"/>
      <c r="V21" s="682">
        <v>6.22</v>
      </c>
      <c r="W21" s="414">
        <f t="shared" si="0"/>
        <v>4</v>
      </c>
    </row>
    <row r="22" spans="2:23">
      <c r="B22" s="436">
        <f t="shared" si="1"/>
        <v>13</v>
      </c>
      <c r="C22" s="279" t="s">
        <v>3433</v>
      </c>
      <c r="D22" s="461" t="s">
        <v>3455</v>
      </c>
      <c r="E22" s="465"/>
      <c r="F22" s="282" t="s">
        <v>845</v>
      </c>
      <c r="G22" s="279"/>
      <c r="H22" s="462" t="s">
        <v>3456</v>
      </c>
      <c r="I22" s="285"/>
      <c r="J22" s="436">
        <f t="shared" si="2"/>
        <v>13</v>
      </c>
      <c r="K22" s="424"/>
      <c r="L22" s="461" t="s">
        <v>3455</v>
      </c>
      <c r="M22" s="281"/>
      <c r="N22" s="428" t="s">
        <v>2579</v>
      </c>
      <c r="O22" s="427">
        <v>1000</v>
      </c>
      <c r="P22" s="462" t="s">
        <v>3456</v>
      </c>
      <c r="Q22" s="283"/>
      <c r="R22" s="430"/>
      <c r="S22" s="431"/>
      <c r="T22" s="432"/>
      <c r="U22" s="433"/>
      <c r="V22" s="682">
        <v>3321.48</v>
      </c>
      <c r="W22" s="414">
        <f t="shared" si="0"/>
        <v>7</v>
      </c>
    </row>
    <row r="23" spans="2:23">
      <c r="B23" s="436">
        <f t="shared" si="1"/>
        <v>14</v>
      </c>
      <c r="C23" s="279" t="s">
        <v>3433</v>
      </c>
      <c r="D23" s="461" t="s">
        <v>1079</v>
      </c>
      <c r="E23" s="465"/>
      <c r="F23" s="282" t="s">
        <v>845</v>
      </c>
      <c r="G23" s="279"/>
      <c r="H23" s="462" t="s">
        <v>3457</v>
      </c>
      <c r="I23" s="285"/>
      <c r="J23" s="436">
        <f t="shared" si="2"/>
        <v>14</v>
      </c>
      <c r="K23" s="424"/>
      <c r="L23" s="461" t="s">
        <v>1079</v>
      </c>
      <c r="M23" s="279"/>
      <c r="N23" s="428" t="s">
        <v>2579</v>
      </c>
      <c r="O23" s="427">
        <v>1000</v>
      </c>
      <c r="P23" s="462" t="s">
        <v>3457</v>
      </c>
      <c r="Q23" s="283"/>
      <c r="R23" s="430"/>
      <c r="S23" s="431"/>
      <c r="T23" s="432"/>
      <c r="U23" s="433"/>
      <c r="V23" s="682" t="s">
        <v>3458</v>
      </c>
      <c r="W23" s="414">
        <f t="shared" si="0"/>
        <v>4</v>
      </c>
    </row>
    <row r="24" spans="2:23">
      <c r="B24" s="436">
        <f t="shared" si="1"/>
        <v>15</v>
      </c>
      <c r="C24" s="279" t="s">
        <v>3433</v>
      </c>
      <c r="D24" s="280" t="s">
        <v>1098</v>
      </c>
      <c r="E24" s="281"/>
      <c r="F24" s="282" t="s">
        <v>845</v>
      </c>
      <c r="G24" s="279"/>
      <c r="H24" s="281" t="s">
        <v>2067</v>
      </c>
      <c r="I24" s="285"/>
      <c r="J24" s="436">
        <f t="shared" si="2"/>
        <v>15</v>
      </c>
      <c r="K24" s="424"/>
      <c r="L24" s="280" t="s">
        <v>1098</v>
      </c>
      <c r="M24" s="281"/>
      <c r="N24" s="428" t="s">
        <v>2579</v>
      </c>
      <c r="O24" s="427">
        <v>1000</v>
      </c>
      <c r="P24" s="281" t="s">
        <v>2067</v>
      </c>
      <c r="Q24" s="285"/>
      <c r="R24" s="430"/>
      <c r="S24" s="431"/>
      <c r="T24" s="432"/>
      <c r="U24" s="433"/>
      <c r="V24" s="682" t="s">
        <v>3459</v>
      </c>
      <c r="W24" s="414">
        <f t="shared" si="0"/>
        <v>2</v>
      </c>
    </row>
    <row r="25" spans="2:23">
      <c r="B25" s="436">
        <f t="shared" si="1"/>
        <v>16</v>
      </c>
      <c r="C25" s="279" t="s">
        <v>3433</v>
      </c>
      <c r="D25" s="280" t="s">
        <v>1648</v>
      </c>
      <c r="E25" s="281"/>
      <c r="F25" s="282" t="s">
        <v>845</v>
      </c>
      <c r="G25" s="279"/>
      <c r="H25" s="281" t="s">
        <v>1404</v>
      </c>
      <c r="I25" s="285"/>
      <c r="J25" s="436">
        <f t="shared" si="2"/>
        <v>16</v>
      </c>
      <c r="K25" s="424"/>
      <c r="L25" s="280" t="s">
        <v>1648</v>
      </c>
      <c r="M25" s="281"/>
      <c r="N25" s="428" t="s">
        <v>2579</v>
      </c>
      <c r="O25" s="427">
        <v>1000</v>
      </c>
      <c r="P25" s="281" t="s">
        <v>1404</v>
      </c>
      <c r="Q25" s="285"/>
      <c r="R25" s="430"/>
      <c r="S25" s="431"/>
      <c r="T25" s="432"/>
      <c r="U25" s="433"/>
      <c r="V25" s="682" t="s">
        <v>3460</v>
      </c>
      <c r="W25" s="414">
        <f t="shared" si="0"/>
        <v>3</v>
      </c>
    </row>
    <row r="26" spans="2:23">
      <c r="B26" s="436">
        <f t="shared" si="1"/>
        <v>17</v>
      </c>
      <c r="C26" s="279" t="s">
        <v>3433</v>
      </c>
      <c r="D26" s="280" t="s">
        <v>1106</v>
      </c>
      <c r="E26" s="281"/>
      <c r="F26" s="282" t="s">
        <v>845</v>
      </c>
      <c r="G26" s="279"/>
      <c r="H26" s="462" t="s">
        <v>1107</v>
      </c>
      <c r="I26" s="285"/>
      <c r="J26" s="436">
        <f t="shared" si="2"/>
        <v>17</v>
      </c>
      <c r="K26" s="424"/>
      <c r="L26" s="280" t="s">
        <v>1106</v>
      </c>
      <c r="M26" s="281"/>
      <c r="N26" s="428" t="s">
        <v>2579</v>
      </c>
      <c r="O26" s="427">
        <v>1000</v>
      </c>
      <c r="P26" s="462" t="s">
        <v>1107</v>
      </c>
      <c r="Q26" s="285"/>
      <c r="R26" s="430"/>
      <c r="S26" s="431"/>
      <c r="T26" s="432"/>
      <c r="U26" s="433"/>
      <c r="V26" s="682" t="s">
        <v>3461</v>
      </c>
      <c r="W26" s="414">
        <f t="shared" si="0"/>
        <v>2</v>
      </c>
    </row>
    <row r="27" spans="2:23">
      <c r="B27" s="436">
        <f t="shared" si="1"/>
        <v>18</v>
      </c>
      <c r="C27" s="279" t="s">
        <v>3433</v>
      </c>
      <c r="D27" s="461" t="s">
        <v>3462</v>
      </c>
      <c r="E27" s="281"/>
      <c r="F27" s="282" t="s">
        <v>845</v>
      </c>
      <c r="G27" s="279"/>
      <c r="H27" s="462" t="s">
        <v>3373</v>
      </c>
      <c r="I27" s="285"/>
      <c r="J27" s="436">
        <f t="shared" si="2"/>
        <v>18</v>
      </c>
      <c r="K27" s="424"/>
      <c r="L27" s="461" t="s">
        <v>3462</v>
      </c>
      <c r="M27" s="281"/>
      <c r="N27" s="428" t="s">
        <v>2579</v>
      </c>
      <c r="O27" s="427">
        <v>1000</v>
      </c>
      <c r="P27" s="462" t="s">
        <v>3373</v>
      </c>
      <c r="Q27" s="285"/>
      <c r="R27" s="430"/>
      <c r="S27" s="431"/>
      <c r="T27" s="432"/>
      <c r="U27" s="433"/>
      <c r="V27" s="682" t="s">
        <v>3463</v>
      </c>
      <c r="W27" s="414">
        <f t="shared" si="0"/>
        <v>24</v>
      </c>
    </row>
    <row r="28" spans="2:23">
      <c r="B28" s="436">
        <f t="shared" si="1"/>
        <v>19</v>
      </c>
      <c r="C28" s="279" t="s">
        <v>3433</v>
      </c>
      <c r="D28" s="461" t="s">
        <v>3464</v>
      </c>
      <c r="E28" s="281"/>
      <c r="F28" s="282" t="s">
        <v>845</v>
      </c>
      <c r="G28" s="279"/>
      <c r="H28" s="462" t="s">
        <v>3465</v>
      </c>
      <c r="I28" s="285"/>
      <c r="J28" s="436">
        <f t="shared" si="2"/>
        <v>19</v>
      </c>
      <c r="K28" s="424"/>
      <c r="L28" s="461" t="s">
        <v>3464</v>
      </c>
      <c r="M28" s="281"/>
      <c r="N28" s="428" t="s">
        <v>2579</v>
      </c>
      <c r="O28" s="427">
        <v>1000</v>
      </c>
      <c r="P28" s="462" t="s">
        <v>3465</v>
      </c>
      <c r="Q28" s="285"/>
      <c r="R28" s="430"/>
      <c r="S28" s="431"/>
      <c r="T28" s="432"/>
      <c r="U28" s="433"/>
      <c r="V28" s="682">
        <v>4</v>
      </c>
      <c r="W28" s="414">
        <f t="shared" si="0"/>
        <v>1</v>
      </c>
    </row>
    <row r="29" spans="2:23">
      <c r="B29" s="436">
        <f t="shared" si="1"/>
        <v>20</v>
      </c>
      <c r="C29" s="279" t="s">
        <v>3433</v>
      </c>
      <c r="D29" s="461" t="s">
        <v>3466</v>
      </c>
      <c r="E29" s="281"/>
      <c r="F29" s="282" t="s">
        <v>845</v>
      </c>
      <c r="G29" s="279"/>
      <c r="H29" s="462" t="s">
        <v>3467</v>
      </c>
      <c r="I29" s="283"/>
      <c r="J29" s="436">
        <f t="shared" si="2"/>
        <v>20</v>
      </c>
      <c r="K29" s="424"/>
      <c r="L29" s="461" t="s">
        <v>3466</v>
      </c>
      <c r="M29" s="281"/>
      <c r="N29" s="428" t="s">
        <v>2579</v>
      </c>
      <c r="O29" s="427">
        <v>1000</v>
      </c>
      <c r="P29" s="462" t="s">
        <v>3468</v>
      </c>
      <c r="Q29" s="283"/>
      <c r="R29" s="430"/>
      <c r="S29" s="431"/>
      <c r="T29" s="432"/>
      <c r="U29" s="433"/>
      <c r="V29" s="682">
        <v>45771</v>
      </c>
      <c r="W29" s="414">
        <f t="shared" si="0"/>
        <v>5</v>
      </c>
    </row>
    <row r="30" spans="2:23">
      <c r="B30" s="436">
        <f t="shared" si="1"/>
        <v>21</v>
      </c>
      <c r="C30" s="279" t="s">
        <v>3433</v>
      </c>
      <c r="D30" s="461" t="s">
        <v>3469</v>
      </c>
      <c r="E30" s="281"/>
      <c r="F30" s="282" t="s">
        <v>845</v>
      </c>
      <c r="G30" s="279"/>
      <c r="H30" s="462" t="s">
        <v>3470</v>
      </c>
      <c r="I30" s="283"/>
      <c r="J30" s="436">
        <f t="shared" si="2"/>
        <v>21</v>
      </c>
      <c r="K30" s="424"/>
      <c r="L30" s="461" t="s">
        <v>3469</v>
      </c>
      <c r="M30" s="281"/>
      <c r="N30" s="428" t="s">
        <v>2579</v>
      </c>
      <c r="O30" s="427">
        <v>1000</v>
      </c>
      <c r="P30" s="462" t="s">
        <v>3470</v>
      </c>
      <c r="Q30" s="283"/>
      <c r="R30" s="430"/>
      <c r="S30" s="431"/>
      <c r="T30" s="432"/>
      <c r="U30" s="433"/>
      <c r="V30" s="682" t="s">
        <v>3471</v>
      </c>
      <c r="W30" s="414">
        <f t="shared" si="0"/>
        <v>2</v>
      </c>
    </row>
    <row r="31" spans="2:23">
      <c r="B31" s="436">
        <f t="shared" si="1"/>
        <v>22</v>
      </c>
      <c r="C31" s="279" t="s">
        <v>3433</v>
      </c>
      <c r="D31" s="461" t="s">
        <v>3472</v>
      </c>
      <c r="E31" s="465"/>
      <c r="F31" s="282" t="s">
        <v>845</v>
      </c>
      <c r="G31" s="279"/>
      <c r="H31" s="462" t="s">
        <v>3473</v>
      </c>
      <c r="I31" s="283"/>
      <c r="J31" s="436">
        <f t="shared" si="2"/>
        <v>22</v>
      </c>
      <c r="K31" s="424"/>
      <c r="L31" s="461" t="s">
        <v>3472</v>
      </c>
      <c r="M31" s="281"/>
      <c r="N31" s="428" t="s">
        <v>2579</v>
      </c>
      <c r="O31" s="427">
        <v>1000</v>
      </c>
      <c r="P31" s="462" t="s">
        <v>3473</v>
      </c>
      <c r="Q31" s="283"/>
      <c r="R31" s="430"/>
      <c r="S31" s="431"/>
      <c r="T31" s="432"/>
      <c r="U31" s="433"/>
      <c r="V31" s="682" t="s">
        <v>3474</v>
      </c>
      <c r="W31" s="414">
        <f t="shared" si="0"/>
        <v>30</v>
      </c>
    </row>
    <row r="32" spans="2:23">
      <c r="B32" s="436">
        <f t="shared" si="1"/>
        <v>23</v>
      </c>
      <c r="C32" s="279" t="s">
        <v>3433</v>
      </c>
      <c r="D32" s="461" t="s">
        <v>3475</v>
      </c>
      <c r="E32" s="465"/>
      <c r="F32" s="282" t="s">
        <v>845</v>
      </c>
      <c r="G32" s="279"/>
      <c r="H32" s="462" t="s">
        <v>3303</v>
      </c>
      <c r="I32" s="283"/>
      <c r="J32" s="436">
        <f t="shared" si="2"/>
        <v>23</v>
      </c>
      <c r="K32" s="424"/>
      <c r="L32" s="461" t="s">
        <v>3475</v>
      </c>
      <c r="M32" s="281"/>
      <c r="N32" s="428" t="s">
        <v>2579</v>
      </c>
      <c r="O32" s="427">
        <v>1000</v>
      </c>
      <c r="P32" s="462" t="s">
        <v>3303</v>
      </c>
      <c r="Q32" s="283"/>
      <c r="R32" s="430"/>
      <c r="S32" s="431"/>
      <c r="T32" s="432"/>
      <c r="U32" s="433"/>
      <c r="V32" s="682">
        <v>45985</v>
      </c>
      <c r="W32" s="414">
        <f t="shared" si="0"/>
        <v>5</v>
      </c>
    </row>
    <row r="33" spans="2:23">
      <c r="B33" s="436">
        <v>24</v>
      </c>
      <c r="C33" s="279" t="s">
        <v>3433</v>
      </c>
      <c r="D33" s="442" t="s">
        <v>3476</v>
      </c>
      <c r="E33" s="468"/>
      <c r="F33" s="469" t="s">
        <v>845</v>
      </c>
      <c r="G33" s="472"/>
      <c r="H33" s="471" t="s">
        <v>3477</v>
      </c>
      <c r="I33" s="283"/>
      <c r="J33" s="436">
        <v>24</v>
      </c>
      <c r="K33" s="424"/>
      <c r="L33" s="442" t="s">
        <v>3476</v>
      </c>
      <c r="M33" s="281"/>
      <c r="N33" s="428" t="s">
        <v>2579</v>
      </c>
      <c r="O33" s="427">
        <v>1000</v>
      </c>
      <c r="P33" s="471" t="s">
        <v>3477</v>
      </c>
      <c r="Q33" s="283"/>
      <c r="R33" s="430"/>
      <c r="S33" s="431"/>
      <c r="T33" s="432"/>
      <c r="U33" s="433"/>
      <c r="V33" s="682">
        <v>0.42744212962963002</v>
      </c>
      <c r="W33" s="414">
        <f t="shared" si="0"/>
        <v>16</v>
      </c>
    </row>
    <row r="34" spans="2:23">
      <c r="B34" s="436">
        <f t="shared" ref="B34:B57" si="3">+B33+1</f>
        <v>25</v>
      </c>
      <c r="C34" s="279" t="s">
        <v>3433</v>
      </c>
      <c r="D34" s="442" t="s">
        <v>3478</v>
      </c>
      <c r="E34" s="468"/>
      <c r="F34" s="469" t="s">
        <v>845</v>
      </c>
      <c r="G34" s="472"/>
      <c r="H34" s="471" t="s">
        <v>3305</v>
      </c>
      <c r="I34" s="283"/>
      <c r="J34" s="436">
        <f t="shared" ref="J34:J57" si="4">+J33+1</f>
        <v>25</v>
      </c>
      <c r="K34" s="424"/>
      <c r="L34" s="442" t="s">
        <v>3478</v>
      </c>
      <c r="M34" s="281"/>
      <c r="N34" s="428" t="s">
        <v>2579</v>
      </c>
      <c r="O34" s="427">
        <v>1000</v>
      </c>
      <c r="P34" s="471" t="s">
        <v>3305</v>
      </c>
      <c r="Q34" s="283"/>
      <c r="R34" s="430"/>
      <c r="S34" s="431"/>
      <c r="T34" s="432"/>
      <c r="U34" s="433"/>
      <c r="V34" s="682" t="s">
        <v>3479</v>
      </c>
      <c r="W34" s="414">
        <f t="shared" si="0"/>
        <v>6</v>
      </c>
    </row>
    <row r="35" spans="2:23">
      <c r="B35" s="436">
        <f t="shared" si="3"/>
        <v>26</v>
      </c>
      <c r="C35" s="279" t="s">
        <v>3433</v>
      </c>
      <c r="D35" s="442" t="s">
        <v>3480</v>
      </c>
      <c r="E35" s="468"/>
      <c r="F35" s="469" t="s">
        <v>845</v>
      </c>
      <c r="G35" s="472"/>
      <c r="H35" s="471" t="s">
        <v>946</v>
      </c>
      <c r="I35" s="283"/>
      <c r="J35" s="436">
        <f t="shared" si="4"/>
        <v>26</v>
      </c>
      <c r="K35" s="424"/>
      <c r="L35" s="442" t="s">
        <v>3480</v>
      </c>
      <c r="M35" s="281"/>
      <c r="N35" s="428" t="s">
        <v>2579</v>
      </c>
      <c r="O35" s="427">
        <v>1000</v>
      </c>
      <c r="P35" s="471" t="s">
        <v>946</v>
      </c>
      <c r="Q35" s="283"/>
      <c r="R35" s="430"/>
      <c r="S35" s="431"/>
      <c r="T35" s="432"/>
      <c r="U35" s="433"/>
      <c r="V35" s="682">
        <v>45985</v>
      </c>
      <c r="W35" s="414">
        <f t="shared" si="0"/>
        <v>5</v>
      </c>
    </row>
    <row r="36" spans="2:23">
      <c r="B36" s="436">
        <f t="shared" si="3"/>
        <v>27</v>
      </c>
      <c r="C36" s="279" t="s">
        <v>3433</v>
      </c>
      <c r="D36" s="442" t="s">
        <v>3481</v>
      </c>
      <c r="E36" s="468"/>
      <c r="F36" s="469" t="s">
        <v>845</v>
      </c>
      <c r="G36" s="472"/>
      <c r="H36" s="471" t="s">
        <v>3306</v>
      </c>
      <c r="I36" s="283"/>
      <c r="J36" s="436">
        <f t="shared" si="4"/>
        <v>27</v>
      </c>
      <c r="K36" s="424"/>
      <c r="L36" s="442" t="s">
        <v>3481</v>
      </c>
      <c r="M36" s="281"/>
      <c r="N36" s="428" t="s">
        <v>2579</v>
      </c>
      <c r="O36" s="427">
        <v>1000</v>
      </c>
      <c r="P36" s="471" t="s">
        <v>3306</v>
      </c>
      <c r="Q36" s="283"/>
      <c r="R36" s="430"/>
      <c r="S36" s="431"/>
      <c r="T36" s="432"/>
      <c r="U36" s="433"/>
      <c r="V36" s="682">
        <v>0.42744212962963002</v>
      </c>
      <c r="W36" s="414">
        <f t="shared" si="0"/>
        <v>16</v>
      </c>
    </row>
    <row r="37" spans="2:23">
      <c r="B37" s="436">
        <f t="shared" si="3"/>
        <v>28</v>
      </c>
      <c r="C37" s="279" t="s">
        <v>3433</v>
      </c>
      <c r="D37" s="442" t="s">
        <v>3482</v>
      </c>
      <c r="E37" s="468"/>
      <c r="F37" s="469" t="s">
        <v>845</v>
      </c>
      <c r="G37" s="472"/>
      <c r="H37" s="471" t="s">
        <v>3307</v>
      </c>
      <c r="I37" s="283"/>
      <c r="J37" s="436">
        <f t="shared" si="4"/>
        <v>28</v>
      </c>
      <c r="K37" s="424"/>
      <c r="L37" s="442" t="s">
        <v>3482</v>
      </c>
      <c r="M37" s="281"/>
      <c r="N37" s="428" t="s">
        <v>2579</v>
      </c>
      <c r="O37" s="427">
        <v>1000</v>
      </c>
      <c r="P37" s="471" t="s">
        <v>3307</v>
      </c>
      <c r="Q37" s="283"/>
      <c r="R37" s="430"/>
      <c r="S37" s="431"/>
      <c r="T37" s="432"/>
      <c r="U37" s="433"/>
      <c r="V37" s="682" t="s">
        <v>3479</v>
      </c>
      <c r="W37" s="414">
        <f t="shared" si="0"/>
        <v>6</v>
      </c>
    </row>
    <row r="38" spans="2:23">
      <c r="B38" s="436">
        <f t="shared" si="3"/>
        <v>29</v>
      </c>
      <c r="C38" s="279"/>
      <c r="D38" s="442"/>
      <c r="E38" s="468"/>
      <c r="F38" s="469"/>
      <c r="G38" s="470"/>
      <c r="H38" s="471"/>
      <c r="I38" s="283"/>
      <c r="J38" s="436">
        <f t="shared" si="4"/>
        <v>29</v>
      </c>
      <c r="K38" s="424"/>
      <c r="L38" s="446"/>
      <c r="M38" s="281"/>
      <c r="N38" s="438"/>
      <c r="O38" s="279"/>
      <c r="P38" s="283"/>
      <c r="Q38" s="283"/>
      <c r="R38" s="430"/>
      <c r="S38" s="431"/>
      <c r="T38" s="432"/>
      <c r="U38" s="433"/>
    </row>
    <row r="39" spans="2:23">
      <c r="B39" s="436">
        <f t="shared" si="3"/>
        <v>30</v>
      </c>
      <c r="C39" s="279"/>
      <c r="D39" s="442"/>
      <c r="E39" s="468"/>
      <c r="F39" s="469"/>
      <c r="G39" s="470"/>
      <c r="H39" s="471"/>
      <c r="I39" s="283"/>
      <c r="J39" s="436">
        <f t="shared" si="4"/>
        <v>30</v>
      </c>
      <c r="K39" s="424"/>
      <c r="L39" s="446"/>
      <c r="M39" s="281"/>
      <c r="N39" s="438"/>
      <c r="O39" s="279"/>
      <c r="P39" s="283"/>
      <c r="Q39" s="283"/>
      <c r="R39" s="430"/>
      <c r="S39" s="431"/>
      <c r="T39" s="432"/>
      <c r="U39" s="433"/>
    </row>
    <row r="40" spans="2:23">
      <c r="B40" s="436">
        <f t="shared" si="3"/>
        <v>31</v>
      </c>
      <c r="C40" s="279"/>
      <c r="D40" s="442"/>
      <c r="E40" s="468"/>
      <c r="F40" s="469"/>
      <c r="G40" s="470"/>
      <c r="H40" s="471"/>
      <c r="I40" s="283"/>
      <c r="J40" s="436">
        <f t="shared" si="4"/>
        <v>31</v>
      </c>
      <c r="K40" s="424"/>
      <c r="L40" s="446"/>
      <c r="M40" s="281"/>
      <c r="N40" s="438"/>
      <c r="O40" s="279"/>
      <c r="P40" s="283"/>
      <c r="Q40" s="283"/>
      <c r="R40" s="430"/>
      <c r="S40" s="431"/>
      <c r="T40" s="432"/>
      <c r="U40" s="433"/>
    </row>
    <row r="41" spans="2:23">
      <c r="B41" s="436">
        <f t="shared" si="3"/>
        <v>32</v>
      </c>
      <c r="C41" s="279"/>
      <c r="D41" s="442"/>
      <c r="E41" s="468"/>
      <c r="F41" s="469"/>
      <c r="G41" s="470"/>
      <c r="H41" s="471"/>
      <c r="I41" s="283"/>
      <c r="J41" s="436">
        <f t="shared" si="4"/>
        <v>32</v>
      </c>
      <c r="K41" s="424"/>
      <c r="L41" s="446"/>
      <c r="M41" s="281"/>
      <c r="N41" s="438"/>
      <c r="O41" s="279"/>
      <c r="P41" s="283"/>
      <c r="Q41" s="283"/>
      <c r="R41" s="430"/>
      <c r="S41" s="431"/>
      <c r="T41" s="432"/>
      <c r="U41" s="433"/>
    </row>
    <row r="42" spans="2:23">
      <c r="B42" s="436">
        <f t="shared" si="3"/>
        <v>33</v>
      </c>
      <c r="C42" s="279"/>
      <c r="D42" s="442"/>
      <c r="E42" s="468"/>
      <c r="F42" s="469"/>
      <c r="G42" s="470"/>
      <c r="H42" s="471"/>
      <c r="I42" s="283"/>
      <c r="J42" s="436">
        <f t="shared" si="4"/>
        <v>33</v>
      </c>
      <c r="K42" s="424"/>
      <c r="L42" s="446"/>
      <c r="M42" s="281"/>
      <c r="N42" s="438"/>
      <c r="O42" s="279"/>
      <c r="P42" s="283"/>
      <c r="Q42" s="283"/>
      <c r="R42" s="430"/>
      <c r="S42" s="431"/>
      <c r="T42" s="432"/>
      <c r="U42" s="433"/>
    </row>
    <row r="43" spans="2:23">
      <c r="B43" s="436">
        <f t="shared" si="3"/>
        <v>34</v>
      </c>
      <c r="C43" s="279"/>
      <c r="D43" s="442"/>
      <c r="E43" s="468"/>
      <c r="F43" s="469"/>
      <c r="G43" s="470"/>
      <c r="H43" s="471"/>
      <c r="I43" s="283"/>
      <c r="J43" s="436">
        <f t="shared" si="4"/>
        <v>34</v>
      </c>
      <c r="K43" s="424"/>
      <c r="L43" s="446"/>
      <c r="M43" s="281"/>
      <c r="N43" s="438"/>
      <c r="O43" s="279"/>
      <c r="P43" s="283"/>
      <c r="Q43" s="283"/>
      <c r="R43" s="430"/>
      <c r="S43" s="431"/>
      <c r="T43" s="432"/>
      <c r="U43" s="433"/>
    </row>
    <row r="44" spans="2:23">
      <c r="B44" s="436">
        <f t="shared" si="3"/>
        <v>35</v>
      </c>
      <c r="C44" s="279"/>
      <c r="D44" s="442"/>
      <c r="E44" s="468"/>
      <c r="F44" s="469"/>
      <c r="G44" s="470"/>
      <c r="H44" s="471"/>
      <c r="I44" s="283"/>
      <c r="J44" s="436">
        <f t="shared" si="4"/>
        <v>35</v>
      </c>
      <c r="K44" s="424"/>
      <c r="L44" s="446"/>
      <c r="M44" s="281"/>
      <c r="N44" s="438"/>
      <c r="O44" s="279"/>
      <c r="P44" s="283"/>
      <c r="Q44" s="283"/>
      <c r="R44" s="430"/>
      <c r="S44" s="431"/>
      <c r="T44" s="432"/>
      <c r="U44" s="433"/>
    </row>
    <row r="45" spans="2:23">
      <c r="B45" s="436">
        <f t="shared" si="3"/>
        <v>36</v>
      </c>
      <c r="C45" s="279"/>
      <c r="D45" s="442"/>
      <c r="E45" s="468"/>
      <c r="F45" s="469"/>
      <c r="G45" s="470"/>
      <c r="H45" s="471"/>
      <c r="I45" s="283"/>
      <c r="J45" s="436">
        <f t="shared" si="4"/>
        <v>36</v>
      </c>
      <c r="K45" s="424"/>
      <c r="L45" s="446"/>
      <c r="M45" s="281"/>
      <c r="N45" s="438"/>
      <c r="O45" s="279"/>
      <c r="P45" s="283"/>
      <c r="Q45" s="283"/>
      <c r="R45" s="430"/>
      <c r="S45" s="431"/>
      <c r="T45" s="432"/>
      <c r="U45" s="433"/>
    </row>
    <row r="46" spans="2:23">
      <c r="B46" s="436">
        <f t="shared" si="3"/>
        <v>37</v>
      </c>
      <c r="C46" s="279"/>
      <c r="D46" s="442"/>
      <c r="E46" s="468"/>
      <c r="F46" s="469"/>
      <c r="G46" s="470"/>
      <c r="H46" s="471"/>
      <c r="I46" s="283"/>
      <c r="J46" s="436">
        <f t="shared" si="4"/>
        <v>37</v>
      </c>
      <c r="K46" s="424"/>
      <c r="L46" s="446"/>
      <c r="M46" s="281"/>
      <c r="N46" s="438"/>
      <c r="O46" s="279"/>
      <c r="P46" s="283"/>
      <c r="Q46" s="283"/>
      <c r="R46" s="430"/>
      <c r="S46" s="431"/>
      <c r="T46" s="432"/>
      <c r="U46" s="433"/>
    </row>
    <row r="47" spans="2:23">
      <c r="B47" s="436">
        <f t="shared" si="3"/>
        <v>38</v>
      </c>
      <c r="C47" s="279"/>
      <c r="D47" s="442"/>
      <c r="E47" s="468"/>
      <c r="F47" s="469"/>
      <c r="G47" s="470"/>
      <c r="H47" s="471"/>
      <c r="I47" s="283"/>
      <c r="J47" s="436">
        <f t="shared" si="4"/>
        <v>38</v>
      </c>
      <c r="K47" s="424"/>
      <c r="L47" s="446"/>
      <c r="M47" s="281"/>
      <c r="N47" s="438"/>
      <c r="O47" s="279"/>
      <c r="P47" s="283"/>
      <c r="Q47" s="283"/>
      <c r="R47" s="430"/>
      <c r="S47" s="431"/>
      <c r="T47" s="432"/>
      <c r="U47" s="433"/>
    </row>
    <row r="48" spans="2:23">
      <c r="B48" s="436">
        <f t="shared" si="3"/>
        <v>39</v>
      </c>
      <c r="C48" s="279"/>
      <c r="D48" s="442"/>
      <c r="E48" s="468"/>
      <c r="F48" s="469"/>
      <c r="G48" s="470"/>
      <c r="H48" s="471"/>
      <c r="I48" s="283"/>
      <c r="J48" s="436">
        <f t="shared" si="4"/>
        <v>39</v>
      </c>
      <c r="K48" s="424"/>
      <c r="L48" s="446"/>
      <c r="M48" s="281"/>
      <c r="N48" s="438"/>
      <c r="O48" s="279"/>
      <c r="P48" s="283"/>
      <c r="Q48" s="283"/>
      <c r="R48" s="430"/>
      <c r="S48" s="431"/>
      <c r="T48" s="432"/>
      <c r="U48" s="433"/>
    </row>
    <row r="49" spans="2:21">
      <c r="B49" s="436">
        <f t="shared" si="3"/>
        <v>40</v>
      </c>
      <c r="C49" s="279"/>
      <c r="D49" s="442"/>
      <c r="E49" s="468"/>
      <c r="F49" s="469"/>
      <c r="G49" s="470"/>
      <c r="H49" s="471"/>
      <c r="I49" s="283"/>
      <c r="J49" s="436">
        <f t="shared" si="4"/>
        <v>40</v>
      </c>
      <c r="K49" s="424"/>
      <c r="L49" s="446"/>
      <c r="M49" s="281"/>
      <c r="N49" s="438"/>
      <c r="O49" s="279"/>
      <c r="P49" s="283"/>
      <c r="Q49" s="283"/>
      <c r="R49" s="430"/>
      <c r="S49" s="431"/>
      <c r="T49" s="432"/>
      <c r="U49" s="433"/>
    </row>
    <row r="50" spans="2:21">
      <c r="B50" s="436">
        <f t="shared" si="3"/>
        <v>41</v>
      </c>
      <c r="C50" s="279"/>
      <c r="D50" s="442"/>
      <c r="E50" s="468"/>
      <c r="F50" s="469"/>
      <c r="G50" s="470"/>
      <c r="H50" s="471"/>
      <c r="I50" s="283"/>
      <c r="J50" s="436">
        <f t="shared" si="4"/>
        <v>41</v>
      </c>
      <c r="K50" s="424"/>
      <c r="L50" s="446"/>
      <c r="M50" s="281"/>
      <c r="N50" s="438"/>
      <c r="O50" s="279"/>
      <c r="P50" s="283"/>
      <c r="Q50" s="283"/>
      <c r="R50" s="430"/>
      <c r="S50" s="431"/>
      <c r="T50" s="432"/>
      <c r="U50" s="433"/>
    </row>
    <row r="51" spans="2:21">
      <c r="B51" s="436">
        <f t="shared" si="3"/>
        <v>42</v>
      </c>
      <c r="C51" s="279"/>
      <c r="D51" s="442"/>
      <c r="E51" s="468"/>
      <c r="F51" s="469"/>
      <c r="G51" s="472"/>
      <c r="H51" s="471"/>
      <c r="I51" s="283"/>
      <c r="J51" s="436">
        <f t="shared" si="4"/>
        <v>42</v>
      </c>
      <c r="K51" s="424"/>
      <c r="L51" s="446"/>
      <c r="M51" s="281"/>
      <c r="N51" s="438"/>
      <c r="O51" s="279"/>
      <c r="P51" s="283"/>
      <c r="Q51" s="283"/>
      <c r="R51" s="430"/>
      <c r="S51" s="431"/>
      <c r="T51" s="432"/>
      <c r="U51" s="433"/>
    </row>
    <row r="52" spans="2:21">
      <c r="B52" s="436">
        <f t="shared" si="3"/>
        <v>43</v>
      </c>
      <c r="C52" s="279"/>
      <c r="D52" s="442"/>
      <c r="E52" s="468"/>
      <c r="F52" s="469"/>
      <c r="G52" s="472"/>
      <c r="H52" s="471"/>
      <c r="I52" s="283"/>
      <c r="J52" s="436">
        <f t="shared" si="4"/>
        <v>43</v>
      </c>
      <c r="K52" s="424"/>
      <c r="L52" s="446"/>
      <c r="M52" s="281"/>
      <c r="N52" s="438"/>
      <c r="O52" s="279"/>
      <c r="P52" s="283"/>
      <c r="Q52" s="283"/>
      <c r="R52" s="430"/>
      <c r="S52" s="431"/>
      <c r="T52" s="432"/>
      <c r="U52" s="433"/>
    </row>
    <row r="53" spans="2:21">
      <c r="B53" s="436">
        <f t="shared" si="3"/>
        <v>44</v>
      </c>
      <c r="C53" s="279"/>
      <c r="D53" s="442"/>
      <c r="E53" s="468"/>
      <c r="F53" s="469"/>
      <c r="G53" s="472"/>
      <c r="H53" s="471"/>
      <c r="I53" s="283"/>
      <c r="J53" s="436">
        <f t="shared" si="4"/>
        <v>44</v>
      </c>
      <c r="K53" s="424"/>
      <c r="L53" s="446"/>
      <c r="M53" s="281"/>
      <c r="N53" s="438"/>
      <c r="O53" s="279"/>
      <c r="P53" s="283"/>
      <c r="Q53" s="283"/>
      <c r="R53" s="430"/>
      <c r="S53" s="431"/>
      <c r="T53" s="432"/>
      <c r="U53" s="433"/>
    </row>
    <row r="54" spans="2:21">
      <c r="B54" s="436">
        <f t="shared" si="3"/>
        <v>45</v>
      </c>
      <c r="C54" s="279"/>
      <c r="D54" s="442"/>
      <c r="E54" s="468"/>
      <c r="F54" s="469"/>
      <c r="G54" s="469"/>
      <c r="H54" s="471"/>
      <c r="I54" s="283"/>
      <c r="J54" s="436">
        <f t="shared" si="4"/>
        <v>45</v>
      </c>
      <c r="K54" s="424"/>
      <c r="L54" s="446"/>
      <c r="M54" s="281"/>
      <c r="N54" s="438"/>
      <c r="O54" s="279"/>
      <c r="P54" s="283"/>
      <c r="Q54" s="283"/>
      <c r="R54" s="430"/>
      <c r="S54" s="431"/>
      <c r="T54" s="432"/>
      <c r="U54" s="433"/>
    </row>
    <row r="55" spans="2:21">
      <c r="B55" s="436">
        <f t="shared" si="3"/>
        <v>46</v>
      </c>
      <c r="C55" s="279"/>
      <c r="D55" s="442"/>
      <c r="E55" s="468"/>
      <c r="F55" s="469"/>
      <c r="G55" s="469"/>
      <c r="H55" s="471"/>
      <c r="I55" s="283"/>
      <c r="J55" s="436">
        <f t="shared" si="4"/>
        <v>46</v>
      </c>
      <c r="K55" s="424"/>
      <c r="L55" s="446"/>
      <c r="M55" s="281"/>
      <c r="N55" s="438"/>
      <c r="O55" s="279"/>
      <c r="P55" s="283"/>
      <c r="Q55" s="283"/>
      <c r="R55" s="430"/>
      <c r="S55" s="431"/>
      <c r="T55" s="432"/>
      <c r="U55" s="433"/>
    </row>
    <row r="56" spans="2:21">
      <c r="B56" s="436">
        <f t="shared" si="3"/>
        <v>47</v>
      </c>
      <c r="C56" s="279"/>
      <c r="D56" s="442"/>
      <c r="E56" s="468"/>
      <c r="F56" s="469"/>
      <c r="G56" s="469"/>
      <c r="H56" s="471"/>
      <c r="I56" s="283"/>
      <c r="J56" s="436">
        <f t="shared" si="4"/>
        <v>47</v>
      </c>
      <c r="K56" s="424"/>
      <c r="L56" s="446"/>
      <c r="M56" s="281"/>
      <c r="N56" s="438"/>
      <c r="O56" s="279"/>
      <c r="P56" s="283"/>
      <c r="Q56" s="283"/>
      <c r="R56" s="430"/>
      <c r="S56" s="431"/>
      <c r="T56" s="432"/>
      <c r="U56" s="433"/>
    </row>
    <row r="57" spans="2:21">
      <c r="B57" s="436">
        <f t="shared" si="3"/>
        <v>48</v>
      </c>
      <c r="C57" s="279"/>
      <c r="D57" s="442"/>
      <c r="E57" s="468"/>
      <c r="F57" s="469"/>
      <c r="G57" s="470"/>
      <c r="H57" s="471"/>
      <c r="I57" s="283"/>
      <c r="J57" s="436">
        <f t="shared" si="4"/>
        <v>48</v>
      </c>
      <c r="K57" s="424"/>
      <c r="L57" s="446"/>
      <c r="M57" s="281"/>
      <c r="N57" s="438"/>
      <c r="O57" s="279"/>
      <c r="P57" s="283"/>
      <c r="Q57" s="283"/>
      <c r="R57" s="430"/>
      <c r="S57" s="431"/>
      <c r="T57" s="432"/>
      <c r="U57" s="433"/>
    </row>
    <row r="58" spans="2:21">
      <c r="B58" s="436"/>
      <c r="C58" s="279"/>
      <c r="D58" s="473"/>
      <c r="E58" s="474"/>
      <c r="F58" s="452"/>
      <c r="G58" s="467"/>
      <c r="H58" s="283"/>
      <c r="I58" s="283"/>
      <c r="J58" s="436"/>
      <c r="K58" s="424"/>
      <c r="L58" s="446"/>
      <c r="M58" s="281"/>
      <c r="N58" s="438"/>
      <c r="O58" s="279"/>
      <c r="P58" s="283"/>
      <c r="Q58" s="283"/>
      <c r="R58" s="430"/>
      <c r="S58" s="431"/>
      <c r="T58" s="432"/>
      <c r="U58" s="433"/>
    </row>
    <row r="59" spans="2:21">
      <c r="B59" s="436"/>
      <c r="C59" s="279"/>
      <c r="D59" s="280"/>
      <c r="E59" s="465"/>
      <c r="F59" s="282"/>
      <c r="G59" s="463"/>
      <c r="H59" s="283"/>
      <c r="I59" s="283"/>
      <c r="J59" s="436"/>
      <c r="K59" s="424"/>
      <c r="L59" s="446"/>
      <c r="M59" s="281"/>
      <c r="N59" s="438"/>
      <c r="O59" s="279"/>
      <c r="P59" s="283"/>
      <c r="Q59" s="283"/>
      <c r="R59" s="430"/>
      <c r="S59" s="431"/>
      <c r="T59" s="432"/>
      <c r="U59" s="433"/>
    </row>
    <row r="60" spans="2:21">
      <c r="B60" s="436"/>
      <c r="C60" s="279"/>
      <c r="D60" s="280"/>
      <c r="E60" s="465"/>
      <c r="F60" s="282"/>
      <c r="G60" s="463"/>
      <c r="H60" s="283"/>
      <c r="I60" s="283"/>
      <c r="J60" s="436"/>
      <c r="K60" s="424"/>
      <c r="L60" s="446"/>
      <c r="M60" s="281"/>
      <c r="N60" s="438"/>
      <c r="O60" s="279"/>
      <c r="P60" s="283"/>
      <c r="Q60" s="283"/>
      <c r="R60" s="430"/>
      <c r="S60" s="431"/>
      <c r="T60" s="432"/>
      <c r="U60" s="433"/>
    </row>
    <row r="61" spans="2:21">
      <c r="B61" s="436"/>
      <c r="C61" s="279"/>
      <c r="D61" s="280"/>
      <c r="E61" s="465"/>
      <c r="F61" s="282"/>
      <c r="G61" s="463"/>
      <c r="H61" s="283"/>
      <c r="I61" s="283"/>
      <c r="J61" s="436"/>
      <c r="K61" s="424"/>
      <c r="L61" s="446"/>
      <c r="M61" s="281"/>
      <c r="N61" s="438"/>
      <c r="O61" s="279"/>
      <c r="P61" s="283"/>
      <c r="Q61" s="283"/>
      <c r="R61" s="430"/>
      <c r="S61" s="431"/>
      <c r="T61" s="432"/>
      <c r="U61" s="433"/>
    </row>
    <row r="62" spans="2:21">
      <c r="B62" s="436"/>
      <c r="C62" s="279"/>
      <c r="D62" s="280"/>
      <c r="E62" s="465"/>
      <c r="F62" s="282"/>
      <c r="G62" s="463"/>
      <c r="H62" s="283"/>
      <c r="I62" s="283"/>
      <c r="J62" s="436"/>
      <c r="K62" s="424"/>
      <c r="L62" s="446"/>
      <c r="M62" s="281"/>
      <c r="N62" s="438"/>
      <c r="O62" s="279"/>
      <c r="P62" s="283"/>
      <c r="Q62" s="283"/>
      <c r="R62" s="430"/>
      <c r="S62" s="431"/>
      <c r="T62" s="432"/>
      <c r="U62" s="433"/>
    </row>
    <row r="63" spans="2:21">
      <c r="B63" s="436"/>
      <c r="C63" s="279"/>
      <c r="D63" s="280"/>
      <c r="E63" s="465"/>
      <c r="F63" s="282"/>
      <c r="G63" s="463"/>
      <c r="H63" s="283"/>
      <c r="I63" s="283"/>
      <c r="J63" s="436"/>
      <c r="K63" s="424"/>
      <c r="L63" s="446"/>
      <c r="M63" s="281"/>
      <c r="N63" s="438"/>
      <c r="O63" s="279"/>
      <c r="P63" s="283"/>
      <c r="Q63" s="283"/>
      <c r="R63" s="430"/>
      <c r="S63" s="431"/>
      <c r="T63" s="432"/>
      <c r="U63" s="433"/>
    </row>
    <row r="64" spans="2:21">
      <c r="B64" s="436"/>
      <c r="C64" s="463"/>
      <c r="D64" s="464"/>
      <c r="E64" s="465"/>
      <c r="F64" s="463"/>
      <c r="G64" s="463"/>
      <c r="H64" s="466"/>
      <c r="I64" s="283"/>
      <c r="J64" s="436"/>
      <c r="K64" s="424"/>
      <c r="L64" s="446"/>
      <c r="M64" s="281"/>
      <c r="N64" s="438"/>
      <c r="O64" s="279"/>
      <c r="P64" s="283"/>
      <c r="Q64" s="283"/>
      <c r="R64" s="430"/>
      <c r="S64" s="431"/>
      <c r="T64" s="432"/>
      <c r="U64" s="433"/>
    </row>
    <row r="65" spans="2:21">
      <c r="B65" s="436"/>
      <c r="C65" s="463"/>
      <c r="D65" s="464"/>
      <c r="E65" s="465"/>
      <c r="F65" s="463"/>
      <c r="G65" s="463"/>
      <c r="H65" s="466"/>
      <c r="I65" s="283"/>
      <c r="J65" s="436"/>
      <c r="K65" s="424"/>
      <c r="L65" s="446"/>
      <c r="M65" s="281"/>
      <c r="N65" s="438"/>
      <c r="O65" s="279"/>
      <c r="P65" s="283"/>
      <c r="Q65" s="283"/>
      <c r="R65" s="430"/>
      <c r="S65" s="431"/>
      <c r="T65" s="432"/>
      <c r="U65" s="433"/>
    </row>
    <row r="66" spans="2:21">
      <c r="B66" s="436"/>
      <c r="C66" s="463"/>
      <c r="D66" s="464"/>
      <c r="E66" s="465"/>
      <c r="F66" s="463"/>
      <c r="G66" s="463"/>
      <c r="H66" s="466"/>
      <c r="I66" s="283"/>
      <c r="J66" s="436"/>
      <c r="K66" s="424"/>
      <c r="L66" s="446"/>
      <c r="M66" s="281"/>
      <c r="N66" s="438"/>
      <c r="O66" s="279"/>
      <c r="P66" s="283"/>
      <c r="Q66" s="283"/>
      <c r="R66" s="430"/>
      <c r="S66" s="431"/>
      <c r="T66" s="432"/>
      <c r="U66" s="433"/>
    </row>
    <row r="67" spans="2:21" ht="18" thickBot="1">
      <c r="B67" s="453"/>
      <c r="C67" s="454"/>
      <c r="D67" s="455"/>
      <c r="E67" s="454"/>
      <c r="F67" s="454"/>
      <c r="G67" s="454"/>
      <c r="H67" s="454"/>
      <c r="I67" s="455"/>
      <c r="J67" s="453"/>
      <c r="K67" s="457"/>
      <c r="L67" s="455"/>
      <c r="M67" s="454"/>
      <c r="N67" s="438"/>
      <c r="O67" s="279"/>
      <c r="P67" s="455"/>
      <c r="Q67" s="455"/>
      <c r="R67" s="454"/>
      <c r="S67" s="458"/>
      <c r="T67" s="458"/>
      <c r="U67" s="459"/>
    </row>
    <row r="68" spans="2:21">
      <c r="B68" s="415"/>
      <c r="C68" s="416"/>
      <c r="D68" s="415"/>
      <c r="E68" s="415"/>
      <c r="F68" s="415"/>
      <c r="G68" s="415"/>
      <c r="H68" s="415"/>
      <c r="I68" s="415"/>
      <c r="J68" s="415"/>
      <c r="K68" s="415"/>
      <c r="L68" s="415"/>
      <c r="M68" s="415"/>
      <c r="N68" s="415"/>
      <c r="O68" s="415"/>
      <c r="P68" s="416"/>
      <c r="Q68" s="416"/>
      <c r="R68" s="415"/>
      <c r="S68" s="416"/>
      <c r="T68" s="416"/>
      <c r="U68" s="415"/>
    </row>
    <row r="69" spans="2:21" ht="18" thickBot="1">
      <c r="B69" s="414" t="s">
        <v>1988</v>
      </c>
      <c r="C69" s="417"/>
      <c r="P69" s="417"/>
      <c r="Q69" s="417"/>
      <c r="S69" s="417"/>
      <c r="T69" s="417"/>
    </row>
    <row r="70" spans="2:21">
      <c r="B70" s="1200" t="s">
        <v>826</v>
      </c>
      <c r="C70" s="1201"/>
      <c r="D70" s="1202" t="s">
        <v>1029</v>
      </c>
      <c r="E70" s="1203"/>
      <c r="F70" s="1203"/>
      <c r="G70" s="1203"/>
      <c r="H70" s="1203"/>
      <c r="I70" s="1203"/>
      <c r="J70" s="1203"/>
      <c r="K70" s="1203"/>
      <c r="L70" s="1203"/>
      <c r="M70" s="1203"/>
      <c r="N70" s="1203"/>
      <c r="O70" s="1203"/>
      <c r="P70" s="1203"/>
      <c r="Q70" s="1203"/>
      <c r="R70" s="1203"/>
      <c r="S70" s="1203"/>
      <c r="T70" s="1203"/>
      <c r="U70" s="1204"/>
    </row>
    <row r="71" spans="2:21">
      <c r="B71" s="1205" t="s">
        <v>1033</v>
      </c>
      <c r="C71" s="1206"/>
      <c r="D71" s="1207"/>
      <c r="E71" s="1195"/>
      <c r="F71" s="1195"/>
      <c r="G71" s="1195"/>
      <c r="H71" s="1195"/>
      <c r="I71" s="1195"/>
      <c r="J71" s="1195"/>
      <c r="K71" s="1195"/>
      <c r="L71" s="1195"/>
      <c r="M71" s="1195"/>
      <c r="N71" s="1195"/>
      <c r="O71" s="1195"/>
      <c r="P71" s="1195"/>
      <c r="Q71" s="1195"/>
      <c r="R71" s="1195"/>
      <c r="S71" s="1195"/>
      <c r="T71" s="1195"/>
      <c r="U71" s="1208"/>
    </row>
    <row r="72" spans="2:21" ht="18" thickBot="1">
      <c r="B72" s="1219" t="s">
        <v>1038</v>
      </c>
      <c r="C72" s="1215"/>
      <c r="D72" s="1220"/>
      <c r="E72" s="1217"/>
      <c r="F72" s="1217"/>
      <c r="G72" s="1217"/>
      <c r="H72" s="1217"/>
      <c r="I72" s="1217"/>
      <c r="J72" s="1217"/>
      <c r="K72" s="1217"/>
      <c r="L72" s="1217"/>
      <c r="M72" s="1217"/>
      <c r="N72" s="1217"/>
      <c r="O72" s="1217"/>
      <c r="P72" s="1217"/>
      <c r="Q72" s="1217"/>
      <c r="R72" s="1217"/>
      <c r="S72" s="1217"/>
      <c r="T72" s="1217"/>
      <c r="U72" s="1218"/>
    </row>
    <row r="73" spans="2:21">
      <c r="B73" s="417"/>
      <c r="C73" s="417"/>
      <c r="D73" s="417"/>
      <c r="E73" s="417"/>
      <c r="F73" s="417"/>
      <c r="G73" s="417"/>
      <c r="H73" s="417"/>
      <c r="I73" s="417"/>
      <c r="J73" s="417"/>
      <c r="K73" s="417"/>
      <c r="L73" s="417"/>
      <c r="M73" s="417"/>
      <c r="N73" s="417"/>
      <c r="O73" s="417"/>
      <c r="P73" s="417"/>
      <c r="Q73" s="417"/>
      <c r="R73" s="417"/>
      <c r="S73" s="417"/>
      <c r="T73" s="417"/>
      <c r="U73" s="417"/>
    </row>
    <row r="74" spans="2:21" ht="18" thickBot="1">
      <c r="B74" s="414" t="s">
        <v>1989</v>
      </c>
      <c r="C74" s="417"/>
      <c r="P74" s="417"/>
      <c r="Q74" s="417"/>
      <c r="S74" s="417"/>
      <c r="T74" s="417"/>
    </row>
    <row r="75" spans="2:21">
      <c r="B75" s="1221" t="s">
        <v>1049</v>
      </c>
      <c r="C75" s="1201"/>
      <c r="D75" s="1222"/>
      <c r="E75" s="1203"/>
      <c r="F75" s="1203"/>
      <c r="G75" s="1203"/>
      <c r="H75" s="1203"/>
      <c r="I75" s="1203"/>
      <c r="J75" s="1203"/>
      <c r="K75" s="1203"/>
      <c r="L75" s="1203"/>
      <c r="M75" s="1203"/>
      <c r="N75" s="1203"/>
      <c r="O75" s="1203"/>
      <c r="P75" s="1203"/>
      <c r="Q75" s="1203"/>
      <c r="R75" s="1203"/>
      <c r="S75" s="1203"/>
      <c r="T75" s="1203"/>
      <c r="U75" s="1204"/>
    </row>
    <row r="76" spans="2:21">
      <c r="B76" s="1223" t="s">
        <v>1053</v>
      </c>
      <c r="C76" s="1206"/>
      <c r="D76" s="1207"/>
      <c r="E76" s="1195"/>
      <c r="F76" s="1195"/>
      <c r="G76" s="1195"/>
      <c r="H76" s="1195"/>
      <c r="I76" s="1195"/>
      <c r="J76" s="1195"/>
      <c r="K76" s="1195"/>
      <c r="L76" s="1195"/>
      <c r="M76" s="1195"/>
      <c r="N76" s="1195"/>
      <c r="O76" s="1195"/>
      <c r="P76" s="1195"/>
      <c r="Q76" s="1195"/>
      <c r="R76" s="1195"/>
      <c r="S76" s="1195"/>
      <c r="T76" s="1195"/>
      <c r="U76" s="1208"/>
    </row>
    <row r="77" spans="2:21">
      <c r="B77" s="1209" t="s">
        <v>1057</v>
      </c>
      <c r="C77" s="1210"/>
      <c r="D77" s="1211" t="s">
        <v>3217</v>
      </c>
      <c r="E77" s="1212"/>
      <c r="F77" s="1212"/>
      <c r="G77" s="1212"/>
      <c r="H77" s="1212"/>
      <c r="I77" s="1212"/>
      <c r="J77" s="1212"/>
      <c r="K77" s="1212"/>
      <c r="L77" s="1212"/>
      <c r="M77" s="1212"/>
      <c r="N77" s="1212"/>
      <c r="O77" s="1212"/>
      <c r="P77" s="1212"/>
      <c r="Q77" s="1212"/>
      <c r="R77" s="1212"/>
      <c r="S77" s="1212"/>
      <c r="T77" s="1212"/>
      <c r="U77" s="1213"/>
    </row>
    <row r="78" spans="2:21" ht="18" thickBot="1">
      <c r="B78" s="1214" t="s">
        <v>1061</v>
      </c>
      <c r="C78" s="1215"/>
      <c r="D78" s="1216"/>
      <c r="E78" s="1217"/>
      <c r="F78" s="1217"/>
      <c r="G78" s="1217"/>
      <c r="H78" s="1217"/>
      <c r="I78" s="1217"/>
      <c r="J78" s="1217"/>
      <c r="K78" s="1217"/>
      <c r="L78" s="1217"/>
      <c r="M78" s="1217"/>
      <c r="N78" s="1217"/>
      <c r="O78" s="1217"/>
      <c r="P78" s="1217"/>
      <c r="Q78" s="1217"/>
      <c r="R78" s="1217"/>
      <c r="S78" s="1217"/>
      <c r="T78" s="1217"/>
      <c r="U78" s="1218"/>
    </row>
  </sheetData>
  <mergeCells count="26">
    <mergeCell ref="B1:C1"/>
    <mergeCell ref="B2:O4"/>
    <mergeCell ref="P2:U2"/>
    <mergeCell ref="P3:U4"/>
    <mergeCell ref="B7:I7"/>
    <mergeCell ref="J7:S7"/>
    <mergeCell ref="T7:T9"/>
    <mergeCell ref="U7:U9"/>
    <mergeCell ref="B8:C8"/>
    <mergeCell ref="D8:I8"/>
    <mergeCell ref="J8:K8"/>
    <mergeCell ref="L8:S8"/>
    <mergeCell ref="B70:C70"/>
    <mergeCell ref="D70:U70"/>
    <mergeCell ref="B71:C71"/>
    <mergeCell ref="D71:U71"/>
    <mergeCell ref="B77:C77"/>
    <mergeCell ref="D77:U77"/>
    <mergeCell ref="B78:C78"/>
    <mergeCell ref="D78:U78"/>
    <mergeCell ref="B72:C72"/>
    <mergeCell ref="D72:U72"/>
    <mergeCell ref="B75:C75"/>
    <mergeCell ref="D75:U75"/>
    <mergeCell ref="B76:C76"/>
    <mergeCell ref="D76:U76"/>
  </mergeCells>
  <phoneticPr fontId="4" type="noConversion"/>
  <hyperlinks>
    <hyperlink ref="B1" location="Overview!A3" display="Overview!A3" xr:uid="{73D2A2D9-53BE-4B1D-AE81-A3280303DEC8}"/>
    <hyperlink ref="B1:C1" location="⑤추가정의데이터!A1" display="⑤추가정의데이터!A1" xr:uid="{97EC3F6D-BB35-4D89-8DEB-396CF7E7372D}"/>
  </hyperlinks>
  <pageMargins left="0.3" right="0.37" top="0.75" bottom="0.75" header="0" footer="0"/>
  <pageSetup paperSize="9" orientation="portrait"/>
  <customProperties>
    <customPr name="_pios_id" r:id="rId1"/>
  </customProperties>
  <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48EFD-1133-45C2-99D3-25D1D7FFF675}">
  <sheetPr>
    <pageSetUpPr fitToPage="1"/>
  </sheetPr>
  <dimension ref="A1:W54"/>
  <sheetViews>
    <sheetView showGridLines="0" topLeftCell="B1" zoomScale="70" zoomScaleNormal="70" workbookViewId="0">
      <selection activeCell="P35" sqref="C35:P35"/>
    </sheetView>
  </sheetViews>
  <sheetFormatPr defaultColWidth="13" defaultRowHeight="13.5"/>
  <cols>
    <col min="1" max="1" width="2.25" style="576" customWidth="1"/>
    <col min="2" max="2" width="4" style="576" customWidth="1"/>
    <col min="3" max="3" width="10.75" style="576" bestFit="1" customWidth="1"/>
    <col min="4" max="4" width="15.75" style="576" customWidth="1"/>
    <col min="5" max="5" width="4" style="576" customWidth="1"/>
    <col min="6" max="6" width="9.625" style="576" customWidth="1"/>
    <col min="7" max="7" width="6.625" style="576" customWidth="1"/>
    <col min="8" max="8" width="27.875" style="576" bestFit="1" customWidth="1"/>
    <col min="9" max="9" width="23.5" style="576" customWidth="1"/>
    <col min="10" max="10" width="7.125" style="576" customWidth="1"/>
    <col min="11" max="11" width="15.375" style="576" customWidth="1"/>
    <col min="12" max="12" width="4.75" style="576" customWidth="1"/>
    <col min="13" max="13" width="14.625" style="576" customWidth="1"/>
    <col min="14" max="14" width="5.75" style="576" customWidth="1"/>
    <col min="15" max="15" width="22.25" style="576" customWidth="1"/>
    <col min="16" max="16" width="30.375" style="576" customWidth="1"/>
    <col min="17" max="17" width="4.5" style="576" customWidth="1"/>
    <col min="18" max="18" width="4" style="576" customWidth="1"/>
    <col min="19" max="19" width="11.75" style="576" customWidth="1"/>
    <col min="20" max="20" width="7.75" style="576" customWidth="1"/>
    <col min="21" max="21" width="4.875" style="576" customWidth="1"/>
    <col min="22" max="22" width="13" style="576"/>
    <col min="23" max="23" width="15.75" style="576" customWidth="1"/>
    <col min="24" max="16384" width="13" style="576"/>
  </cols>
  <sheetData>
    <row r="1" spans="1:23" ht="15.6" customHeight="1" thickBot="1">
      <c r="A1" s="794" t="s">
        <v>2509</v>
      </c>
      <c r="B1" s="1278"/>
      <c r="C1" s="1278"/>
    </row>
    <row r="2" spans="1:23" ht="15.6" customHeight="1">
      <c r="B2" s="1225" t="s">
        <v>3483</v>
      </c>
      <c r="C2" s="1226"/>
      <c r="D2" s="1226"/>
      <c r="E2" s="1226"/>
      <c r="F2" s="1226"/>
      <c r="G2" s="1226"/>
      <c r="H2" s="1226"/>
      <c r="I2" s="1226"/>
      <c r="J2" s="1226"/>
      <c r="K2" s="1226"/>
      <c r="L2" s="1226"/>
      <c r="M2" s="1226"/>
      <c r="N2" s="1226"/>
      <c r="O2" s="1232"/>
      <c r="P2" s="1233"/>
      <c r="Q2" s="1233"/>
      <c r="R2" s="1233"/>
      <c r="S2" s="1233"/>
      <c r="T2" s="1234"/>
    </row>
    <row r="3" spans="1:23" ht="15.6" customHeight="1">
      <c r="B3" s="1227"/>
      <c r="C3" s="1228"/>
      <c r="D3" s="1228"/>
      <c r="E3" s="1228"/>
      <c r="F3" s="1228"/>
      <c r="G3" s="1228"/>
      <c r="H3" s="1228"/>
      <c r="I3" s="1228"/>
      <c r="J3" s="1228"/>
      <c r="K3" s="1228"/>
      <c r="L3" s="1228"/>
      <c r="M3" s="1228"/>
      <c r="N3" s="1229"/>
      <c r="O3" s="1235"/>
      <c r="P3" s="1236"/>
      <c r="Q3" s="1236"/>
      <c r="R3" s="1236"/>
      <c r="S3" s="1236"/>
      <c r="T3" s="1237"/>
    </row>
    <row r="4" spans="1:23" ht="15.6" customHeight="1" thickBot="1">
      <c r="B4" s="1230"/>
      <c r="C4" s="1231"/>
      <c r="D4" s="1231"/>
      <c r="E4" s="1231"/>
      <c r="F4" s="1231"/>
      <c r="G4" s="1231"/>
      <c r="H4" s="1231"/>
      <c r="I4" s="1231"/>
      <c r="J4" s="1231"/>
      <c r="K4" s="1231"/>
      <c r="L4" s="1231"/>
      <c r="M4" s="1231"/>
      <c r="N4" s="1231"/>
      <c r="O4" s="1238"/>
      <c r="P4" s="1231"/>
      <c r="Q4" s="1231"/>
      <c r="R4" s="1231"/>
      <c r="S4" s="1231"/>
      <c r="T4" s="1239"/>
    </row>
    <row r="5" spans="1:23">
      <c r="B5" s="578"/>
      <c r="C5" s="579"/>
      <c r="D5" s="578"/>
      <c r="E5" s="578"/>
      <c r="F5" s="578"/>
      <c r="G5" s="578"/>
      <c r="H5" s="578"/>
      <c r="I5" s="578"/>
      <c r="J5" s="578"/>
      <c r="K5" s="578"/>
      <c r="L5" s="578"/>
      <c r="M5" s="578"/>
      <c r="N5" s="578"/>
      <c r="O5" s="579"/>
      <c r="P5" s="579"/>
      <c r="Q5" s="578"/>
      <c r="R5" s="579"/>
      <c r="S5" s="579"/>
      <c r="T5" s="578"/>
    </row>
    <row r="6" spans="1:23" ht="14.25" thickBot="1">
      <c r="B6" s="576" t="s">
        <v>1967</v>
      </c>
      <c r="C6" s="580"/>
      <c r="O6" s="580"/>
      <c r="P6" s="580"/>
      <c r="R6" s="580"/>
      <c r="S6" s="580"/>
    </row>
    <row r="7" spans="1:23" ht="15.6" customHeight="1" thickBot="1">
      <c r="B7" s="1240" t="s">
        <v>3484</v>
      </c>
      <c r="C7" s="1226"/>
      <c r="D7" s="1226"/>
      <c r="E7" s="1226"/>
      <c r="F7" s="1226"/>
      <c r="G7" s="1226"/>
      <c r="H7" s="1226"/>
      <c r="I7" s="1226"/>
      <c r="J7" s="1241" t="s">
        <v>3200</v>
      </c>
      <c r="K7" s="1226"/>
      <c r="L7" s="1226"/>
      <c r="M7" s="1226"/>
      <c r="N7" s="1226"/>
      <c r="O7" s="1226"/>
      <c r="P7" s="1226"/>
      <c r="Q7" s="1226"/>
      <c r="R7" s="1226"/>
      <c r="S7" s="1242" t="s">
        <v>825</v>
      </c>
      <c r="T7" s="1245" t="s">
        <v>826</v>
      </c>
    </row>
    <row r="8" spans="1:23" ht="15.6" customHeight="1" thickBot="1">
      <c r="B8" s="1247" t="s">
        <v>828</v>
      </c>
      <c r="C8" s="1248"/>
      <c r="D8" s="1249"/>
      <c r="E8" s="1250"/>
      <c r="F8" s="1250"/>
      <c r="G8" s="1250"/>
      <c r="H8" s="1250"/>
      <c r="I8" s="1251"/>
      <c r="J8" s="102" t="s">
        <v>829</v>
      </c>
      <c r="K8" s="1249"/>
      <c r="L8" s="1250"/>
      <c r="M8" s="1250"/>
      <c r="N8" s="1250"/>
      <c r="O8" s="1250"/>
      <c r="P8" s="1250"/>
      <c r="Q8" s="1250"/>
      <c r="R8" s="1250"/>
      <c r="S8" s="1243"/>
      <c r="T8" s="1246"/>
    </row>
    <row r="9" spans="1:23" ht="31.15" customHeight="1" thickBot="1">
      <c r="B9" s="581" t="s">
        <v>831</v>
      </c>
      <c r="C9" s="582" t="s">
        <v>1973</v>
      </c>
      <c r="D9" s="583" t="s">
        <v>832</v>
      </c>
      <c r="E9" s="583" t="s">
        <v>833</v>
      </c>
      <c r="F9" s="583" t="s">
        <v>834</v>
      </c>
      <c r="G9" s="583" t="s">
        <v>835</v>
      </c>
      <c r="H9" s="583" t="s">
        <v>836</v>
      </c>
      <c r="I9" s="583" t="s">
        <v>3255</v>
      </c>
      <c r="J9" s="584" t="s">
        <v>831</v>
      </c>
      <c r="K9" s="583" t="s">
        <v>832</v>
      </c>
      <c r="L9" s="583" t="s">
        <v>833</v>
      </c>
      <c r="M9" s="583" t="s">
        <v>834</v>
      </c>
      <c r="N9" s="583" t="s">
        <v>835</v>
      </c>
      <c r="O9" s="583" t="s">
        <v>836</v>
      </c>
      <c r="P9" s="583" t="s">
        <v>3485</v>
      </c>
      <c r="Q9" s="585" t="s">
        <v>838</v>
      </c>
      <c r="R9" s="586" t="s">
        <v>839</v>
      </c>
      <c r="S9" s="1244"/>
      <c r="T9" s="1246"/>
      <c r="V9" s="1279" t="s">
        <v>3486</v>
      </c>
      <c r="W9" s="1280"/>
    </row>
    <row r="10" spans="1:23">
      <c r="B10" s="602">
        <v>1</v>
      </c>
      <c r="C10" s="588"/>
      <c r="D10" s="22" t="s">
        <v>2424</v>
      </c>
      <c r="E10" s="23"/>
      <c r="F10" s="22" t="s">
        <v>845</v>
      </c>
      <c r="G10" s="23">
        <v>10</v>
      </c>
      <c r="H10" s="964" t="s">
        <v>2425</v>
      </c>
      <c r="I10" s="24" t="s">
        <v>2425</v>
      </c>
      <c r="J10" s="110">
        <v>1</v>
      </c>
      <c r="K10" s="117" t="s">
        <v>2425</v>
      </c>
      <c r="L10" s="119"/>
      <c r="M10" s="113" t="s">
        <v>1354</v>
      </c>
      <c r="N10" s="112">
        <v>1000</v>
      </c>
      <c r="O10" s="114" t="s">
        <v>2425</v>
      </c>
      <c r="P10" s="114" t="s">
        <v>2425</v>
      </c>
      <c r="Q10" s="112"/>
      <c r="R10" s="112"/>
      <c r="S10" s="114"/>
      <c r="T10" s="134"/>
      <c r="V10" s="945" t="s">
        <v>2457</v>
      </c>
      <c r="W10" s="945" t="s">
        <v>2458</v>
      </c>
    </row>
    <row r="11" spans="1:23">
      <c r="B11" s="602">
        <f t="shared" ref="B11:B18" si="0">+B10+1</f>
        <v>2</v>
      </c>
      <c r="C11" s="588"/>
      <c r="D11" s="22" t="s">
        <v>2426</v>
      </c>
      <c r="E11" s="23"/>
      <c r="F11" s="22" t="s">
        <v>845</v>
      </c>
      <c r="G11" s="23">
        <v>50</v>
      </c>
      <c r="H11" s="964" t="s">
        <v>2427</v>
      </c>
      <c r="I11" s="24" t="s">
        <v>2427</v>
      </c>
      <c r="J11" s="110">
        <v>2</v>
      </c>
      <c r="K11" s="117" t="s">
        <v>2428</v>
      </c>
      <c r="L11" s="119"/>
      <c r="M11" s="113" t="s">
        <v>1354</v>
      </c>
      <c r="N11" s="112">
        <v>1000</v>
      </c>
      <c r="O11" s="114" t="s">
        <v>2427</v>
      </c>
      <c r="P11" s="114" t="s">
        <v>2427</v>
      </c>
      <c r="Q11" s="112"/>
      <c r="R11" s="112"/>
      <c r="S11" s="114"/>
      <c r="T11" s="134"/>
      <c r="V11" s="945" t="s">
        <v>2452</v>
      </c>
      <c r="W11" s="945" t="s">
        <v>853</v>
      </c>
    </row>
    <row r="12" spans="1:23">
      <c r="B12" s="602">
        <f t="shared" si="0"/>
        <v>3</v>
      </c>
      <c r="C12" s="588"/>
      <c r="D12" s="22" t="s">
        <v>2429</v>
      </c>
      <c r="E12" s="23"/>
      <c r="F12" s="22" t="s">
        <v>845</v>
      </c>
      <c r="G12" s="23">
        <v>10</v>
      </c>
      <c r="H12" s="964" t="s">
        <v>2430</v>
      </c>
      <c r="I12" s="24" t="s">
        <v>2431</v>
      </c>
      <c r="J12" s="110">
        <v>3</v>
      </c>
      <c r="K12" s="118" t="s">
        <v>2432</v>
      </c>
      <c r="L12" s="119"/>
      <c r="M12" s="113" t="s">
        <v>1354</v>
      </c>
      <c r="N12" s="112">
        <v>1000</v>
      </c>
      <c r="O12" s="108" t="s">
        <v>2430</v>
      </c>
      <c r="P12" s="108" t="s">
        <v>2431</v>
      </c>
      <c r="Q12" s="112"/>
      <c r="R12" s="112"/>
      <c r="S12" s="114"/>
      <c r="T12" s="134"/>
      <c r="V12" s="945" t="s">
        <v>2453</v>
      </c>
      <c r="W12" s="945" t="s">
        <v>2454</v>
      </c>
    </row>
    <row r="13" spans="1:23">
      <c r="B13" s="602">
        <f t="shared" si="0"/>
        <v>4</v>
      </c>
      <c r="C13" s="588"/>
      <c r="D13" s="22" t="s">
        <v>2433</v>
      </c>
      <c r="E13" s="23"/>
      <c r="F13" s="22" t="s">
        <v>845</v>
      </c>
      <c r="G13" s="23">
        <v>2</v>
      </c>
      <c r="H13" s="24" t="s">
        <v>2434</v>
      </c>
      <c r="I13" s="24" t="s">
        <v>2435</v>
      </c>
      <c r="J13" s="110">
        <v>4</v>
      </c>
      <c r="K13" s="118" t="s">
        <v>2436</v>
      </c>
      <c r="L13" s="119"/>
      <c r="M13" s="113" t="s">
        <v>1354</v>
      </c>
      <c r="N13" s="112">
        <v>1000</v>
      </c>
      <c r="O13" s="108" t="s">
        <v>2434</v>
      </c>
      <c r="P13" s="108" t="s">
        <v>2435</v>
      </c>
      <c r="Q13" s="119"/>
      <c r="R13" s="119"/>
      <c r="S13" s="108"/>
      <c r="T13" s="134"/>
      <c r="V13" s="945" t="s">
        <v>2455</v>
      </c>
      <c r="W13" s="945" t="s">
        <v>2456</v>
      </c>
    </row>
    <row r="14" spans="1:23">
      <c r="B14" s="602">
        <f t="shared" si="0"/>
        <v>5</v>
      </c>
      <c r="C14" s="588"/>
      <c r="D14" s="22" t="s">
        <v>2437</v>
      </c>
      <c r="E14" s="23"/>
      <c r="F14" s="22" t="s">
        <v>845</v>
      </c>
      <c r="G14" s="23">
        <v>50</v>
      </c>
      <c r="H14" s="964" t="s">
        <v>2438</v>
      </c>
      <c r="I14" s="24" t="s">
        <v>2439</v>
      </c>
      <c r="J14" s="110">
        <v>5</v>
      </c>
      <c r="K14" s="118" t="s">
        <v>2440</v>
      </c>
      <c r="L14" s="119"/>
      <c r="M14" s="113" t="s">
        <v>1354</v>
      </c>
      <c r="N14" s="112">
        <v>1000</v>
      </c>
      <c r="O14" s="108" t="s">
        <v>2438</v>
      </c>
      <c r="P14" s="108" t="s">
        <v>2439</v>
      </c>
      <c r="Q14" s="119"/>
      <c r="R14" s="119"/>
      <c r="S14" s="108"/>
      <c r="T14" s="134"/>
      <c r="V14" s="945" t="s">
        <v>2457</v>
      </c>
      <c r="W14" s="945" t="s">
        <v>2458</v>
      </c>
    </row>
    <row r="15" spans="1:23" ht="27">
      <c r="B15" s="602">
        <f t="shared" si="0"/>
        <v>6</v>
      </c>
      <c r="C15" s="588"/>
      <c r="D15" s="22" t="s">
        <v>892</v>
      </c>
      <c r="E15" s="23"/>
      <c r="F15" s="22" t="s">
        <v>845</v>
      </c>
      <c r="G15" s="23">
        <v>1</v>
      </c>
      <c r="H15" s="24" t="s">
        <v>893</v>
      </c>
      <c r="I15" s="24" t="s">
        <v>894</v>
      </c>
      <c r="J15" s="110">
        <v>6</v>
      </c>
      <c r="K15" s="118" t="s">
        <v>895</v>
      </c>
      <c r="L15" s="106"/>
      <c r="M15" s="113" t="s">
        <v>1354</v>
      </c>
      <c r="N15" s="112">
        <v>1000</v>
      </c>
      <c r="O15" s="108" t="s">
        <v>893</v>
      </c>
      <c r="P15" s="108" t="s">
        <v>894</v>
      </c>
      <c r="Q15" s="119"/>
      <c r="R15" s="112"/>
      <c r="S15" s="114"/>
      <c r="T15" s="134"/>
      <c r="V15" s="945" t="s">
        <v>2459</v>
      </c>
      <c r="W15" s="945" t="s">
        <v>1808</v>
      </c>
    </row>
    <row r="16" spans="1:23" ht="15">
      <c r="B16" s="602">
        <f t="shared" si="0"/>
        <v>7</v>
      </c>
      <c r="C16" s="588"/>
      <c r="D16" s="25" t="s">
        <v>899</v>
      </c>
      <c r="E16" s="23"/>
      <c r="F16" s="25" t="s">
        <v>845</v>
      </c>
      <c r="G16" s="27">
        <v>1</v>
      </c>
      <c r="H16" s="26" t="s">
        <v>900</v>
      </c>
      <c r="I16" s="26" t="s">
        <v>901</v>
      </c>
      <c r="J16" s="110">
        <v>7</v>
      </c>
      <c r="K16" s="118" t="s">
        <v>2441</v>
      </c>
      <c r="L16" s="106"/>
      <c r="M16" s="113" t="s">
        <v>1354</v>
      </c>
      <c r="N16" s="112">
        <v>1000</v>
      </c>
      <c r="O16" s="108" t="s">
        <v>900</v>
      </c>
      <c r="P16" s="108" t="s">
        <v>901</v>
      </c>
      <c r="Q16" s="119"/>
      <c r="R16" s="112"/>
      <c r="S16" s="114"/>
      <c r="T16" s="134"/>
      <c r="V16" s="945" t="s">
        <v>2460</v>
      </c>
      <c r="W16" s="945" t="s">
        <v>2461</v>
      </c>
    </row>
    <row r="17" spans="2:23">
      <c r="B17" s="602">
        <f t="shared" si="0"/>
        <v>8</v>
      </c>
      <c r="C17" s="588"/>
      <c r="D17" s="204"/>
      <c r="E17" s="205"/>
      <c r="F17" s="206"/>
      <c r="G17" s="206"/>
      <c r="H17" s="207"/>
      <c r="I17" s="109"/>
      <c r="J17" s="894"/>
      <c r="K17" s="972"/>
      <c r="L17" s="973"/>
      <c r="M17" s="972"/>
      <c r="N17" s="973"/>
      <c r="O17" s="972"/>
      <c r="P17" s="592"/>
      <c r="Q17" s="598"/>
      <c r="R17" s="599"/>
      <c r="S17" s="795"/>
      <c r="T17" s="796"/>
      <c r="V17" s="945" t="s">
        <v>2462</v>
      </c>
      <c r="W17" s="945" t="s">
        <v>2463</v>
      </c>
    </row>
    <row r="18" spans="2:23">
      <c r="B18" s="602">
        <f t="shared" si="0"/>
        <v>9</v>
      </c>
      <c r="C18" s="588"/>
      <c r="D18" s="204"/>
      <c r="E18" s="205"/>
      <c r="F18" s="206"/>
      <c r="G18" s="206"/>
      <c r="H18" s="209"/>
      <c r="I18" s="109"/>
      <c r="J18" s="894"/>
      <c r="K18" s="972"/>
      <c r="L18" s="973"/>
      <c r="M18" s="972"/>
      <c r="N18" s="973"/>
      <c r="O18" s="972"/>
      <c r="P18" s="592"/>
      <c r="Q18" s="598"/>
      <c r="R18" s="599"/>
      <c r="S18" s="600"/>
      <c r="T18" s="601"/>
      <c r="V18" s="945" t="s">
        <v>2464</v>
      </c>
      <c r="W18" s="945" t="s">
        <v>2465</v>
      </c>
    </row>
    <row r="19" spans="2:23">
      <c r="B19" s="578"/>
      <c r="C19" s="579"/>
      <c r="D19" s="578"/>
      <c r="E19" s="578"/>
      <c r="F19" s="578"/>
      <c r="G19" s="578"/>
      <c r="H19" s="578"/>
      <c r="I19" s="578"/>
      <c r="J19" s="578"/>
      <c r="K19" s="578"/>
      <c r="L19" s="578"/>
      <c r="M19" s="578"/>
      <c r="N19" s="578"/>
      <c r="O19" s="579"/>
      <c r="P19" s="579"/>
      <c r="Q19" s="578"/>
      <c r="R19" s="579"/>
      <c r="S19" s="579"/>
      <c r="T19" s="578"/>
      <c r="V19" s="651" t="s">
        <v>2466</v>
      </c>
      <c r="W19" s="651" t="s">
        <v>1080</v>
      </c>
    </row>
    <row r="20" spans="2:23" ht="14.25" thickBot="1">
      <c r="B20" s="576" t="s">
        <v>1988</v>
      </c>
      <c r="C20" s="580"/>
      <c r="O20" s="580"/>
      <c r="P20" s="580"/>
      <c r="R20" s="580"/>
      <c r="S20" s="580"/>
      <c r="V20" s="651" t="s">
        <v>2467</v>
      </c>
      <c r="W20" s="651" t="s">
        <v>1107</v>
      </c>
    </row>
    <row r="21" spans="2:23" ht="15.6" customHeight="1">
      <c r="B21" s="1253" t="s">
        <v>826</v>
      </c>
      <c r="C21" s="1254"/>
      <c r="D21" s="1255" t="s">
        <v>1029</v>
      </c>
      <c r="E21" s="1256"/>
      <c r="F21" s="1256"/>
      <c r="G21" s="1256"/>
      <c r="H21" s="1256"/>
      <c r="I21" s="1256"/>
      <c r="J21" s="1256"/>
      <c r="K21" s="1256"/>
      <c r="L21" s="1256"/>
      <c r="M21" s="1256"/>
      <c r="N21" s="1256"/>
      <c r="O21" s="1256"/>
      <c r="P21" s="1256"/>
      <c r="Q21" s="1256"/>
      <c r="R21" s="1256"/>
      <c r="S21" s="1256"/>
      <c r="T21" s="1257"/>
      <c r="V21" s="651" t="s">
        <v>2468</v>
      </c>
      <c r="W21" s="651" t="s">
        <v>2469</v>
      </c>
    </row>
    <row r="22" spans="2:23" ht="15.6" customHeight="1">
      <c r="B22" s="1258" t="s">
        <v>1033</v>
      </c>
      <c r="C22" s="1259"/>
      <c r="D22" s="1260"/>
      <c r="E22" s="1248"/>
      <c r="F22" s="1248"/>
      <c r="G22" s="1248"/>
      <c r="H22" s="1248"/>
      <c r="I22" s="1248"/>
      <c r="J22" s="1248"/>
      <c r="K22" s="1248"/>
      <c r="L22" s="1248"/>
      <c r="M22" s="1248"/>
      <c r="N22" s="1248"/>
      <c r="O22" s="1248"/>
      <c r="P22" s="1248"/>
      <c r="Q22" s="1248"/>
      <c r="R22" s="1248"/>
      <c r="S22" s="1248"/>
      <c r="T22" s="1261"/>
      <c r="V22" s="651" t="s">
        <v>2470</v>
      </c>
      <c r="W22" s="651" t="s">
        <v>1121</v>
      </c>
    </row>
    <row r="23" spans="2:23" ht="15.6" customHeight="1" thickBot="1">
      <c r="B23" s="1272" t="s">
        <v>1038</v>
      </c>
      <c r="C23" s="1268"/>
      <c r="D23" s="1273"/>
      <c r="E23" s="1270"/>
      <c r="F23" s="1270"/>
      <c r="G23" s="1270"/>
      <c r="H23" s="1270"/>
      <c r="I23" s="1270"/>
      <c r="J23" s="1270"/>
      <c r="K23" s="1270"/>
      <c r="L23" s="1270"/>
      <c r="M23" s="1270"/>
      <c r="N23" s="1270"/>
      <c r="O23" s="1270"/>
      <c r="P23" s="1270"/>
      <c r="Q23" s="1270"/>
      <c r="R23" s="1270"/>
      <c r="S23" s="1270"/>
      <c r="T23" s="1271"/>
      <c r="V23" s="651" t="s">
        <v>2471</v>
      </c>
      <c r="W23" s="651" t="s">
        <v>2472</v>
      </c>
    </row>
    <row r="24" spans="2:23">
      <c r="B24" s="580"/>
      <c r="C24" s="580"/>
      <c r="D24" s="580"/>
      <c r="E24" s="580"/>
      <c r="F24" s="580"/>
      <c r="G24" s="580"/>
      <c r="H24" s="580"/>
      <c r="I24" s="580"/>
      <c r="J24" s="580"/>
      <c r="K24" s="580"/>
      <c r="L24" s="580"/>
      <c r="M24" s="580"/>
      <c r="N24" s="580"/>
      <c r="O24" s="580"/>
      <c r="P24" s="580"/>
      <c r="Q24" s="580"/>
      <c r="R24" s="580"/>
      <c r="S24" s="580"/>
      <c r="T24" s="580"/>
      <c r="V24" s="651" t="s">
        <v>2473</v>
      </c>
      <c r="W24" s="651" t="s">
        <v>1697</v>
      </c>
    </row>
    <row r="25" spans="2:23" ht="14.25" thickBot="1">
      <c r="B25" s="576" t="s">
        <v>1989</v>
      </c>
      <c r="C25" s="580"/>
      <c r="O25" s="580"/>
      <c r="P25" s="580"/>
      <c r="R25" s="580"/>
      <c r="S25" s="580"/>
      <c r="V25" s="651" t="s">
        <v>2474</v>
      </c>
      <c r="W25" s="651" t="s">
        <v>2475</v>
      </c>
    </row>
    <row r="26" spans="2:23" ht="15.6" customHeight="1">
      <c r="B26" s="1274" t="s">
        <v>1049</v>
      </c>
      <c r="C26" s="1254"/>
      <c r="D26" s="1275"/>
      <c r="E26" s="1256"/>
      <c r="F26" s="1256"/>
      <c r="G26" s="1256"/>
      <c r="H26" s="1256"/>
      <c r="I26" s="1256"/>
      <c r="J26" s="1256"/>
      <c r="K26" s="1256"/>
      <c r="L26" s="1256"/>
      <c r="M26" s="1256"/>
      <c r="N26" s="1256"/>
      <c r="O26" s="1256"/>
      <c r="P26" s="1256"/>
      <c r="Q26" s="1256"/>
      <c r="R26" s="1256"/>
      <c r="S26" s="1256"/>
      <c r="T26" s="1257"/>
      <c r="V26" s="651" t="s">
        <v>2476</v>
      </c>
      <c r="W26" s="651" t="s">
        <v>1774</v>
      </c>
    </row>
    <row r="27" spans="2:23" ht="15.6" customHeight="1">
      <c r="B27" s="1276" t="s">
        <v>1053</v>
      </c>
      <c r="C27" s="1259"/>
      <c r="D27" s="1260"/>
      <c r="E27" s="1248"/>
      <c r="F27" s="1248"/>
      <c r="G27" s="1248"/>
      <c r="H27" s="1248"/>
      <c r="I27" s="1248"/>
      <c r="J27" s="1248"/>
      <c r="K27" s="1248"/>
      <c r="L27" s="1248"/>
      <c r="M27" s="1248"/>
      <c r="N27" s="1248"/>
      <c r="O27" s="1248"/>
      <c r="P27" s="1248"/>
      <c r="Q27" s="1248"/>
      <c r="R27" s="1248"/>
      <c r="S27" s="1248"/>
      <c r="T27" s="1261"/>
      <c r="V27" s="651" t="s">
        <v>2477</v>
      </c>
      <c r="W27" s="651" t="s">
        <v>1780</v>
      </c>
    </row>
    <row r="28" spans="2:23" ht="15.6" customHeight="1">
      <c r="B28" s="1262" t="s">
        <v>1057</v>
      </c>
      <c r="C28" s="1263"/>
      <c r="D28" s="1264" t="s">
        <v>3217</v>
      </c>
      <c r="E28" s="1265"/>
      <c r="F28" s="1265"/>
      <c r="G28" s="1265"/>
      <c r="H28" s="1265"/>
      <c r="I28" s="1265"/>
      <c r="J28" s="1265"/>
      <c r="K28" s="1265"/>
      <c r="L28" s="1265"/>
      <c r="M28" s="1265"/>
      <c r="N28" s="1265"/>
      <c r="O28" s="1265"/>
      <c r="P28" s="1265"/>
      <c r="Q28" s="1265"/>
      <c r="R28" s="1265"/>
      <c r="S28" s="1265"/>
      <c r="T28" s="1266"/>
      <c r="V28" s="651" t="s">
        <v>2478</v>
      </c>
      <c r="W28" s="651" t="s">
        <v>2479</v>
      </c>
    </row>
    <row r="29" spans="2:23" ht="15.6" customHeight="1" thickBot="1">
      <c r="B29" s="1267" t="s">
        <v>1061</v>
      </c>
      <c r="C29" s="1268"/>
      <c r="D29" s="1269"/>
      <c r="E29" s="1270"/>
      <c r="F29" s="1270"/>
      <c r="G29" s="1270"/>
      <c r="H29" s="1270"/>
      <c r="I29" s="1270"/>
      <c r="J29" s="1270"/>
      <c r="K29" s="1270"/>
      <c r="L29" s="1270"/>
      <c r="M29" s="1270"/>
      <c r="N29" s="1270"/>
      <c r="O29" s="1270"/>
      <c r="P29" s="1270"/>
      <c r="Q29" s="1270"/>
      <c r="R29" s="1270"/>
      <c r="S29" s="1270"/>
      <c r="T29" s="1271"/>
      <c r="V29" s="651" t="s">
        <v>2480</v>
      </c>
      <c r="W29" s="651" t="s">
        <v>1664</v>
      </c>
    </row>
    <row r="30" spans="2:23">
      <c r="V30" s="651" t="s">
        <v>2481</v>
      </c>
      <c r="W30" s="651" t="s">
        <v>1667</v>
      </c>
    </row>
    <row r="31" spans="2:23">
      <c r="V31" s="651" t="s">
        <v>2482</v>
      </c>
      <c r="W31" s="651" t="s">
        <v>1671</v>
      </c>
    </row>
    <row r="32" spans="2:23">
      <c r="D32" s="965" t="s">
        <v>2811</v>
      </c>
      <c r="E32" s="966"/>
      <c r="F32" s="967" t="s">
        <v>845</v>
      </c>
      <c r="G32" s="967">
        <v>10</v>
      </c>
      <c r="H32" s="968" t="s">
        <v>2812</v>
      </c>
      <c r="V32" s="651" t="s">
        <v>2483</v>
      </c>
      <c r="W32" s="651" t="s">
        <v>1681</v>
      </c>
    </row>
    <row r="33" spans="4:23">
      <c r="D33" s="965" t="s">
        <v>2814</v>
      </c>
      <c r="E33" s="966"/>
      <c r="F33" s="969" t="s">
        <v>845</v>
      </c>
      <c r="G33" s="967">
        <v>10</v>
      </c>
      <c r="H33" s="968" t="s">
        <v>2815</v>
      </c>
      <c r="V33" s="651" t="s">
        <v>2484</v>
      </c>
      <c r="W33" s="651" t="s">
        <v>2485</v>
      </c>
    </row>
    <row r="34" spans="4:23">
      <c r="D34" s="965" t="s">
        <v>2817</v>
      </c>
      <c r="E34" s="966"/>
      <c r="F34" s="967" t="s">
        <v>845</v>
      </c>
      <c r="G34" s="967">
        <v>10</v>
      </c>
      <c r="H34" s="968" t="s">
        <v>2818</v>
      </c>
      <c r="V34" s="651" t="s">
        <v>3487</v>
      </c>
      <c r="W34" s="651" t="s">
        <v>3488</v>
      </c>
    </row>
    <row r="35" spans="4:23">
      <c r="D35" s="965" t="s">
        <v>2820</v>
      </c>
      <c r="E35" s="966"/>
      <c r="F35" s="967" t="s">
        <v>845</v>
      </c>
      <c r="G35" s="967">
        <v>20</v>
      </c>
      <c r="H35" s="968" t="s">
        <v>2821</v>
      </c>
      <c r="V35" s="651" t="s">
        <v>2488</v>
      </c>
      <c r="W35" s="651" t="s">
        <v>2489</v>
      </c>
    </row>
    <row r="36" spans="4:23">
      <c r="D36" s="965" t="s">
        <v>2823</v>
      </c>
      <c r="E36" s="966"/>
      <c r="F36" s="967" t="s">
        <v>845</v>
      </c>
      <c r="G36" s="967">
        <v>20</v>
      </c>
      <c r="H36" s="968" t="s">
        <v>2824</v>
      </c>
      <c r="V36" s="651" t="s">
        <v>2490</v>
      </c>
      <c r="W36" s="651" t="s">
        <v>1280</v>
      </c>
    </row>
    <row r="37" spans="4:23">
      <c r="D37" s="650" t="s">
        <v>1190</v>
      </c>
      <c r="E37" s="970"/>
      <c r="F37" s="967" t="s">
        <v>845</v>
      </c>
      <c r="G37" s="655">
        <v>8</v>
      </c>
      <c r="H37" s="797" t="s">
        <v>3489</v>
      </c>
      <c r="V37" s="651" t="s">
        <v>2491</v>
      </c>
      <c r="W37" s="651" t="s">
        <v>1287</v>
      </c>
    </row>
    <row r="38" spans="4:23">
      <c r="D38" s="965" t="s">
        <v>2845</v>
      </c>
      <c r="E38" s="966"/>
      <c r="F38" s="967" t="s">
        <v>845</v>
      </c>
      <c r="G38" s="967">
        <v>4</v>
      </c>
      <c r="H38" s="968" t="s">
        <v>2846</v>
      </c>
      <c r="V38" s="651" t="s">
        <v>2492</v>
      </c>
      <c r="W38" s="651" t="s">
        <v>2493</v>
      </c>
    </row>
    <row r="39" spans="4:23">
      <c r="D39" s="968" t="s">
        <v>1876</v>
      </c>
      <c r="E39" s="966"/>
      <c r="F39" s="969" t="s">
        <v>845</v>
      </c>
      <c r="G39" s="969">
        <v>4</v>
      </c>
      <c r="H39" s="965" t="s">
        <v>1877</v>
      </c>
      <c r="V39" s="651" t="s">
        <v>2494</v>
      </c>
      <c r="W39" s="651" t="s">
        <v>2495</v>
      </c>
    </row>
    <row r="40" spans="4:23">
      <c r="D40" s="968" t="s">
        <v>1878</v>
      </c>
      <c r="E40" s="966"/>
      <c r="F40" s="967" t="s">
        <v>845</v>
      </c>
      <c r="G40" s="967">
        <v>5</v>
      </c>
      <c r="H40" s="965" t="s">
        <v>1879</v>
      </c>
      <c r="V40" s="651" t="s">
        <v>2496</v>
      </c>
      <c r="W40" s="651" t="s">
        <v>2497</v>
      </c>
    </row>
    <row r="41" spans="4:23">
      <c r="D41" s="968" t="s">
        <v>1880</v>
      </c>
      <c r="E41" s="966"/>
      <c r="F41" s="967" t="s">
        <v>845</v>
      </c>
      <c r="G41" s="969">
        <v>3</v>
      </c>
      <c r="H41" s="965" t="s">
        <v>1881</v>
      </c>
      <c r="V41" s="651" t="s">
        <v>2498</v>
      </c>
      <c r="W41" s="651" t="s">
        <v>1113</v>
      </c>
    </row>
    <row r="42" spans="4:23">
      <c r="D42" s="968" t="s">
        <v>1882</v>
      </c>
      <c r="E42" s="966"/>
      <c r="F42" s="967" t="s">
        <v>845</v>
      </c>
      <c r="G42" s="967">
        <v>3</v>
      </c>
      <c r="H42" s="965" t="s">
        <v>1883</v>
      </c>
      <c r="V42" s="651" t="s">
        <v>2499</v>
      </c>
      <c r="W42" s="651" t="s">
        <v>1117</v>
      </c>
    </row>
    <row r="43" spans="4:23">
      <c r="D43" s="968" t="s">
        <v>1884</v>
      </c>
      <c r="E43" s="966"/>
      <c r="F43" s="967" t="s">
        <v>845</v>
      </c>
      <c r="G43" s="967">
        <v>3</v>
      </c>
      <c r="H43" s="965" t="s">
        <v>1885</v>
      </c>
      <c r="V43" s="651" t="s">
        <v>2500</v>
      </c>
      <c r="W43" s="651" t="s">
        <v>2501</v>
      </c>
    </row>
    <row r="44" spans="4:23">
      <c r="D44" s="968" t="s">
        <v>1886</v>
      </c>
      <c r="E44" s="966"/>
      <c r="F44" s="967" t="s">
        <v>845</v>
      </c>
      <c r="G44" s="969">
        <v>5</v>
      </c>
      <c r="H44" s="965" t="s">
        <v>1887</v>
      </c>
      <c r="V44" s="651" t="s">
        <v>2502</v>
      </c>
      <c r="W44" s="651" t="s">
        <v>1178</v>
      </c>
    </row>
    <row r="45" spans="4:23">
      <c r="D45" s="968" t="s">
        <v>1888</v>
      </c>
      <c r="E45" s="966"/>
      <c r="F45" s="967" t="s">
        <v>845</v>
      </c>
      <c r="G45" s="967">
        <v>10</v>
      </c>
      <c r="H45" s="965" t="s">
        <v>1889</v>
      </c>
      <c r="V45" s="651" t="s">
        <v>2503</v>
      </c>
      <c r="W45" s="651" t="s">
        <v>2504</v>
      </c>
    </row>
    <row r="46" spans="4:23">
      <c r="D46" s="968" t="s">
        <v>1890</v>
      </c>
      <c r="E46" s="966"/>
      <c r="F46" s="967" t="s">
        <v>845</v>
      </c>
      <c r="G46" s="967">
        <v>4</v>
      </c>
      <c r="H46" s="965" t="s">
        <v>1891</v>
      </c>
      <c r="V46" s="651" t="s">
        <v>2505</v>
      </c>
      <c r="W46" s="651" t="s">
        <v>2506</v>
      </c>
    </row>
    <row r="47" spans="4:23">
      <c r="D47" s="968" t="s">
        <v>1892</v>
      </c>
      <c r="E47" s="966"/>
      <c r="F47" s="967" t="s">
        <v>845</v>
      </c>
      <c r="G47" s="969">
        <v>10</v>
      </c>
      <c r="H47" s="965" t="s">
        <v>1893</v>
      </c>
      <c r="V47" s="651" t="s">
        <v>2507</v>
      </c>
      <c r="W47" s="651" t="s">
        <v>2508</v>
      </c>
    </row>
    <row r="48" spans="4:23">
      <c r="D48" s="968" t="s">
        <v>1894</v>
      </c>
      <c r="E48" s="966"/>
      <c r="F48" s="967" t="s">
        <v>845</v>
      </c>
      <c r="G48" s="967">
        <v>1</v>
      </c>
      <c r="H48" s="965" t="s">
        <v>1895</v>
      </c>
    </row>
    <row r="49" spans="4:8">
      <c r="D49" s="968" t="s">
        <v>1896</v>
      </c>
      <c r="E49" s="966"/>
      <c r="F49" s="967" t="s">
        <v>845</v>
      </c>
      <c r="G49" s="967">
        <v>1</v>
      </c>
      <c r="H49" s="965" t="s">
        <v>1897</v>
      </c>
    </row>
    <row r="50" spans="4:8">
      <c r="D50" s="968" t="s">
        <v>1898</v>
      </c>
      <c r="E50" s="966"/>
      <c r="F50" s="967" t="s">
        <v>845</v>
      </c>
      <c r="G50" s="969">
        <v>4</v>
      </c>
      <c r="H50" s="971" t="s">
        <v>1899</v>
      </c>
    </row>
    <row r="51" spans="4:8">
      <c r="D51" s="121" t="s">
        <v>2917</v>
      </c>
      <c r="E51" s="119"/>
      <c r="F51" s="107" t="s">
        <v>845</v>
      </c>
      <c r="G51" s="107">
        <v>2</v>
      </c>
      <c r="H51" s="108" t="s">
        <v>2918</v>
      </c>
    </row>
    <row r="52" spans="4:8">
      <c r="D52" s="121" t="s">
        <v>2923</v>
      </c>
      <c r="E52" s="119"/>
      <c r="F52" s="107" t="s">
        <v>845</v>
      </c>
      <c r="G52" s="107"/>
      <c r="H52" s="108" t="s">
        <v>2924</v>
      </c>
    </row>
    <row r="53" spans="4:8">
      <c r="D53" s="121" t="s">
        <v>2929</v>
      </c>
      <c r="E53" s="119"/>
      <c r="F53" s="107" t="s">
        <v>845</v>
      </c>
      <c r="G53" s="107">
        <v>4</v>
      </c>
      <c r="H53" s="108" t="s">
        <v>2930</v>
      </c>
    </row>
    <row r="54" spans="4:8">
      <c r="D54" s="121" t="s">
        <v>2931</v>
      </c>
      <c r="E54" s="119"/>
      <c r="F54" s="107" t="s">
        <v>845</v>
      </c>
      <c r="G54" s="107">
        <v>4</v>
      </c>
      <c r="H54" s="108" t="s">
        <v>2932</v>
      </c>
    </row>
  </sheetData>
  <mergeCells count="26">
    <mergeCell ref="V9:W9"/>
    <mergeCell ref="B29:C29"/>
    <mergeCell ref="D29:T29"/>
    <mergeCell ref="B23:C23"/>
    <mergeCell ref="D23:T23"/>
    <mergeCell ref="B26:C26"/>
    <mergeCell ref="D26:T26"/>
    <mergeCell ref="B27:C27"/>
    <mergeCell ref="D27:T27"/>
    <mergeCell ref="B21:C21"/>
    <mergeCell ref="D21:T21"/>
    <mergeCell ref="B22:C22"/>
    <mergeCell ref="D22:T22"/>
    <mergeCell ref="B28:C28"/>
    <mergeCell ref="D28:T28"/>
    <mergeCell ref="B1:C1"/>
    <mergeCell ref="B2:N4"/>
    <mergeCell ref="O2:T2"/>
    <mergeCell ref="O3:T4"/>
    <mergeCell ref="B7:I7"/>
    <mergeCell ref="J7:R7"/>
    <mergeCell ref="S7:S9"/>
    <mergeCell ref="T7:T9"/>
    <mergeCell ref="B8:C8"/>
    <mergeCell ref="D8:I8"/>
    <mergeCell ref="K8:R8"/>
  </mergeCells>
  <phoneticPr fontId="4" type="noConversion"/>
  <hyperlinks>
    <hyperlink ref="A1" location="List!A1" display="Top" xr:uid="{EC6A0CDF-DDA5-458C-95E7-D8A1380F965F}"/>
  </hyperlinks>
  <pageMargins left="0.3" right="0.37" top="0.75" bottom="0.75" header="0" footer="0"/>
  <pageSetup paperSize="9" orientation="portrait"/>
  <customProperties>
    <customPr name="_pios_id" r:id="rId1"/>
  </customProperties>
  <drawing r:id="rId2"/>
  <legacyDrawing r:id="rId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4B3A0-B63A-4E8A-A320-329455E50D7D}">
  <sheetPr>
    <pageSetUpPr fitToPage="1"/>
  </sheetPr>
  <dimension ref="A1:U78"/>
  <sheetViews>
    <sheetView showGridLines="0" zoomScale="85" zoomScaleNormal="85" workbookViewId="0">
      <pane xSplit="9" ySplit="9" topLeftCell="L10" activePane="bottomRight" state="frozen"/>
      <selection pane="topRight" activeCell="Z22" sqref="Z22"/>
      <selection pane="bottomLeft" activeCell="Z22" sqref="Z22"/>
      <selection pane="bottomRight" activeCell="I14" sqref="I14"/>
    </sheetView>
  </sheetViews>
  <sheetFormatPr defaultColWidth="13" defaultRowHeight="17.25"/>
  <cols>
    <col min="1" max="1" width="2.25" style="414" customWidth="1"/>
    <col min="2" max="2" width="4" style="414" customWidth="1"/>
    <col min="3" max="3" width="24.75" style="414" customWidth="1"/>
    <col min="4" max="4" width="15.75" style="414" customWidth="1"/>
    <col min="5" max="5" width="4" style="414" customWidth="1"/>
    <col min="6" max="6" width="9.625" style="414" customWidth="1"/>
    <col min="7" max="7" width="6.625" style="414" customWidth="1"/>
    <col min="8" max="8" width="27.875" style="414" bestFit="1" customWidth="1"/>
    <col min="9" max="9" width="23.5" style="414" customWidth="1"/>
    <col min="10" max="10" width="4" style="414" customWidth="1"/>
    <col min="11" max="11" width="18.25" style="414" customWidth="1"/>
    <col min="12" max="12" width="16.625" style="414" customWidth="1"/>
    <col min="13" max="13" width="4.75" style="414" customWidth="1"/>
    <col min="14" max="14" width="11.375" style="414" customWidth="1"/>
    <col min="15" max="15" width="5.75" style="414" customWidth="1"/>
    <col min="16" max="17" width="24.875" style="414" customWidth="1"/>
    <col min="18" max="18" width="4.5" style="414" customWidth="1"/>
    <col min="19" max="19" width="4" style="414" customWidth="1"/>
    <col min="20" max="20" width="11.75" style="414" customWidth="1"/>
    <col min="21" max="21" width="7.75" style="414" customWidth="1"/>
    <col min="22" max="22" width="18.375" style="414" customWidth="1"/>
    <col min="23" max="26" width="2.25" style="414" customWidth="1"/>
    <col min="27" max="16384" width="13" style="414"/>
  </cols>
  <sheetData>
    <row r="1" spans="1:21" ht="18" thickBot="1">
      <c r="A1" s="67" t="s">
        <v>814</v>
      </c>
      <c r="B1" s="1281"/>
      <c r="C1" s="1281"/>
    </row>
    <row r="2" spans="1:21">
      <c r="B2" s="1172" t="s">
        <v>3490</v>
      </c>
      <c r="C2" s="1173"/>
      <c r="D2" s="1173"/>
      <c r="E2" s="1173"/>
      <c r="F2" s="1173"/>
      <c r="G2" s="1173"/>
      <c r="H2" s="1173"/>
      <c r="I2" s="1173"/>
      <c r="J2" s="1173"/>
      <c r="K2" s="1173"/>
      <c r="L2" s="1173"/>
      <c r="M2" s="1173"/>
      <c r="N2" s="1173"/>
      <c r="O2" s="1173"/>
      <c r="P2" s="1179"/>
      <c r="Q2" s="1180"/>
      <c r="R2" s="1180"/>
      <c r="S2" s="1180"/>
      <c r="T2" s="1180"/>
      <c r="U2" s="1181"/>
    </row>
    <row r="3" spans="1:21">
      <c r="B3" s="1174"/>
      <c r="C3" s="1175"/>
      <c r="D3" s="1175"/>
      <c r="E3" s="1175"/>
      <c r="F3" s="1175"/>
      <c r="G3" s="1175"/>
      <c r="H3" s="1175"/>
      <c r="I3" s="1175"/>
      <c r="J3" s="1175"/>
      <c r="K3" s="1175"/>
      <c r="L3" s="1175"/>
      <c r="M3" s="1175"/>
      <c r="N3" s="1175"/>
      <c r="O3" s="1176"/>
      <c r="P3" s="1182"/>
      <c r="Q3" s="1183"/>
      <c r="R3" s="1183"/>
      <c r="S3" s="1183"/>
      <c r="T3" s="1183"/>
      <c r="U3" s="1184"/>
    </row>
    <row r="4" spans="1:21" ht="18" thickBot="1">
      <c r="B4" s="1177"/>
      <c r="C4" s="1178"/>
      <c r="D4" s="1178"/>
      <c r="E4" s="1178"/>
      <c r="F4" s="1178"/>
      <c r="G4" s="1178"/>
      <c r="H4" s="1178"/>
      <c r="I4" s="1178"/>
      <c r="J4" s="1178"/>
      <c r="K4" s="1178"/>
      <c r="L4" s="1178"/>
      <c r="M4" s="1178"/>
      <c r="N4" s="1178"/>
      <c r="O4" s="1178"/>
      <c r="P4" s="1185"/>
      <c r="Q4" s="1178"/>
      <c r="R4" s="1178"/>
      <c r="S4" s="1178"/>
      <c r="T4" s="1178"/>
      <c r="U4" s="1186"/>
    </row>
    <row r="5" spans="1:21">
      <c r="B5" s="415"/>
      <c r="C5" s="416"/>
      <c r="D5" s="415"/>
      <c r="E5" s="415"/>
      <c r="F5" s="415"/>
      <c r="G5" s="415"/>
      <c r="H5" s="415"/>
      <c r="I5" s="415"/>
      <c r="J5" s="415"/>
      <c r="K5" s="415"/>
      <c r="L5" s="415"/>
      <c r="M5" s="415"/>
      <c r="N5" s="415"/>
      <c r="O5" s="415"/>
      <c r="P5" s="416"/>
      <c r="Q5" s="416"/>
      <c r="R5" s="415"/>
      <c r="S5" s="416"/>
      <c r="T5" s="416"/>
      <c r="U5" s="415"/>
    </row>
    <row r="6" spans="1:21" ht="18" thickBot="1">
      <c r="B6" s="414" t="s">
        <v>1967</v>
      </c>
      <c r="C6" s="417"/>
      <c r="P6" s="417"/>
      <c r="Q6" s="417"/>
      <c r="S6" s="417"/>
      <c r="T6" s="417"/>
    </row>
    <row r="7" spans="1:21" ht="18" thickBot="1">
      <c r="B7" s="1187" t="s">
        <v>1968</v>
      </c>
      <c r="C7" s="1173"/>
      <c r="D7" s="1173"/>
      <c r="E7" s="1173"/>
      <c r="F7" s="1173"/>
      <c r="G7" s="1173"/>
      <c r="H7" s="1173"/>
      <c r="I7" s="1173"/>
      <c r="J7" s="1188" t="s">
        <v>3200</v>
      </c>
      <c r="K7" s="1173"/>
      <c r="L7" s="1173"/>
      <c r="M7" s="1173"/>
      <c r="N7" s="1173"/>
      <c r="O7" s="1173"/>
      <c r="P7" s="1173"/>
      <c r="Q7" s="1173"/>
      <c r="R7" s="1173"/>
      <c r="S7" s="1173"/>
      <c r="T7" s="1189" t="s">
        <v>825</v>
      </c>
      <c r="U7" s="1192" t="s">
        <v>826</v>
      </c>
    </row>
    <row r="8" spans="1:21" ht="18" thickBot="1">
      <c r="B8" s="1194" t="s">
        <v>828</v>
      </c>
      <c r="C8" s="1195"/>
      <c r="D8" s="1196"/>
      <c r="E8" s="1197"/>
      <c r="F8" s="1197"/>
      <c r="G8" s="1197"/>
      <c r="H8" s="1197"/>
      <c r="I8" s="1198"/>
      <c r="J8" s="1199" t="s">
        <v>1971</v>
      </c>
      <c r="K8" s="1195"/>
      <c r="L8" s="1196"/>
      <c r="M8" s="1197"/>
      <c r="N8" s="1197"/>
      <c r="O8" s="1197"/>
      <c r="P8" s="1197"/>
      <c r="Q8" s="1197"/>
      <c r="R8" s="1197"/>
      <c r="S8" s="1197"/>
      <c r="T8" s="1190"/>
      <c r="U8" s="1193"/>
    </row>
    <row r="9" spans="1:21" ht="52.5" thickBot="1">
      <c r="B9" s="418" t="s">
        <v>831</v>
      </c>
      <c r="C9" s="288" t="s">
        <v>1973</v>
      </c>
      <c r="D9" s="289" t="s">
        <v>832</v>
      </c>
      <c r="E9" s="289" t="s">
        <v>833</v>
      </c>
      <c r="F9" s="289" t="s">
        <v>834</v>
      </c>
      <c r="G9" s="289" t="s">
        <v>835</v>
      </c>
      <c r="H9" s="289" t="s">
        <v>836</v>
      </c>
      <c r="I9" s="289" t="s">
        <v>3255</v>
      </c>
      <c r="J9" s="419" t="s">
        <v>831</v>
      </c>
      <c r="K9" s="288" t="s">
        <v>1973</v>
      </c>
      <c r="L9" s="289" t="s">
        <v>832</v>
      </c>
      <c r="M9" s="289" t="s">
        <v>833</v>
      </c>
      <c r="N9" s="289" t="s">
        <v>834</v>
      </c>
      <c r="O9" s="289" t="s">
        <v>835</v>
      </c>
      <c r="P9" s="289" t="s">
        <v>836</v>
      </c>
      <c r="Q9" s="289"/>
      <c r="R9" s="420" t="s">
        <v>838</v>
      </c>
      <c r="S9" s="421" t="s">
        <v>839</v>
      </c>
      <c r="T9" s="1191"/>
      <c r="U9" s="1193"/>
    </row>
    <row r="10" spans="1:21">
      <c r="B10" s="423">
        <v>1</v>
      </c>
      <c r="C10" s="672" t="s">
        <v>3491</v>
      </c>
      <c r="D10" s="673" t="s">
        <v>3257</v>
      </c>
      <c r="E10" s="674"/>
      <c r="F10" s="672" t="s">
        <v>845</v>
      </c>
      <c r="G10" s="675">
        <v>3</v>
      </c>
      <c r="H10" s="674" t="s">
        <v>3258</v>
      </c>
      <c r="I10" s="283"/>
      <c r="J10" s="423">
        <v>1</v>
      </c>
      <c r="K10" s="424"/>
      <c r="L10" s="676" t="s">
        <v>3257</v>
      </c>
      <c r="M10" s="677"/>
      <c r="N10" s="678" t="s">
        <v>1188</v>
      </c>
      <c r="O10" s="677">
        <v>1000</v>
      </c>
      <c r="P10" s="679" t="s">
        <v>3258</v>
      </c>
      <c r="Q10" s="429"/>
      <c r="R10" s="430"/>
      <c r="S10" s="431"/>
      <c r="T10" s="432"/>
      <c r="U10" s="433"/>
    </row>
    <row r="11" spans="1:21">
      <c r="B11" s="436">
        <v>2</v>
      </c>
      <c r="C11" s="279" t="s">
        <v>3491</v>
      </c>
      <c r="D11" s="414" t="s">
        <v>1068</v>
      </c>
      <c r="E11" s="281"/>
      <c r="F11" s="279" t="s">
        <v>845</v>
      </c>
      <c r="G11" s="279">
        <v>18</v>
      </c>
      <c r="H11" s="281" t="s">
        <v>1597</v>
      </c>
      <c r="I11" s="285"/>
      <c r="J11" s="436">
        <v>2</v>
      </c>
      <c r="K11" s="424"/>
      <c r="L11" s="426" t="s">
        <v>2809</v>
      </c>
      <c r="M11" s="427"/>
      <c r="N11" s="428" t="s">
        <v>1188</v>
      </c>
      <c r="O11" s="427">
        <v>1000</v>
      </c>
      <c r="P11" s="429" t="s">
        <v>1597</v>
      </c>
      <c r="Q11" s="429"/>
      <c r="R11" s="430"/>
      <c r="S11" s="431"/>
      <c r="T11" s="432"/>
      <c r="U11" s="433"/>
    </row>
    <row r="12" spans="1:21">
      <c r="B12" s="436">
        <f>+B11+1</f>
        <v>3</v>
      </c>
      <c r="C12" s="279" t="s">
        <v>3491</v>
      </c>
      <c r="D12" s="280" t="s">
        <v>1580</v>
      </c>
      <c r="E12" s="281"/>
      <c r="F12" s="282" t="s">
        <v>845</v>
      </c>
      <c r="G12" s="282">
        <v>3</v>
      </c>
      <c r="H12" s="281" t="s">
        <v>3492</v>
      </c>
      <c r="I12" s="283"/>
      <c r="J12" s="436">
        <f>+J11+1</f>
        <v>3</v>
      </c>
      <c r="K12" s="424"/>
      <c r="L12" s="280" t="s">
        <v>1580</v>
      </c>
      <c r="M12" s="279"/>
      <c r="N12" s="438" t="s">
        <v>1188</v>
      </c>
      <c r="O12" s="279">
        <v>1000</v>
      </c>
      <c r="P12" s="283" t="s">
        <v>3492</v>
      </c>
      <c r="Q12" s="283"/>
      <c r="R12" s="430"/>
      <c r="S12" s="431"/>
      <c r="T12" s="432"/>
      <c r="U12" s="433"/>
    </row>
    <row r="13" spans="1:21">
      <c r="B13" s="436">
        <f t="shared" ref="B13:B32" si="0">+B12+1</f>
        <v>4</v>
      </c>
      <c r="C13" s="279" t="s">
        <v>3491</v>
      </c>
      <c r="D13" s="280" t="s">
        <v>1585</v>
      </c>
      <c r="E13" s="281"/>
      <c r="F13" s="282" t="s">
        <v>845</v>
      </c>
      <c r="G13" s="279">
        <v>5</v>
      </c>
      <c r="H13" s="281" t="s">
        <v>3493</v>
      </c>
      <c r="I13" s="285"/>
      <c r="J13" s="436">
        <f t="shared" ref="J13:J32" si="1">+J12+1</f>
        <v>4</v>
      </c>
      <c r="K13" s="424"/>
      <c r="L13" s="280" t="s">
        <v>1585</v>
      </c>
      <c r="M13" s="281"/>
      <c r="N13" s="438" t="s">
        <v>1188</v>
      </c>
      <c r="O13" s="279">
        <v>1000</v>
      </c>
      <c r="P13" s="283" t="s">
        <v>3493</v>
      </c>
      <c r="Q13" s="283"/>
      <c r="R13" s="439"/>
      <c r="S13" s="440"/>
      <c r="T13" s="441"/>
      <c r="U13" s="433"/>
    </row>
    <row r="14" spans="1:21">
      <c r="B14" s="436">
        <f t="shared" si="0"/>
        <v>5</v>
      </c>
      <c r="C14" s="279"/>
      <c r="D14" s="280"/>
      <c r="E14" s="281"/>
      <c r="F14" s="282" t="s">
        <v>845</v>
      </c>
      <c r="G14" s="279"/>
      <c r="H14" s="281"/>
      <c r="I14" s="283"/>
      <c r="J14" s="436">
        <f t="shared" si="1"/>
        <v>5</v>
      </c>
      <c r="K14" s="424"/>
      <c r="L14" s="280"/>
      <c r="M14" s="279"/>
      <c r="N14" s="438"/>
      <c r="O14" s="279"/>
      <c r="P14" s="283"/>
      <c r="Q14" s="283"/>
      <c r="R14" s="439"/>
      <c r="S14" s="440"/>
      <c r="T14" s="441"/>
      <c r="U14" s="433"/>
    </row>
    <row r="15" spans="1:21">
      <c r="B15" s="436">
        <f t="shared" si="0"/>
        <v>6</v>
      </c>
      <c r="C15" s="279"/>
      <c r="D15" s="280"/>
      <c r="E15" s="281"/>
      <c r="F15" s="282" t="s">
        <v>845</v>
      </c>
      <c r="G15" s="282"/>
      <c r="H15" s="281"/>
      <c r="I15" s="283"/>
      <c r="J15" s="436">
        <f t="shared" si="1"/>
        <v>6</v>
      </c>
      <c r="K15" s="424"/>
      <c r="L15" s="280"/>
      <c r="M15" s="279"/>
      <c r="N15" s="438"/>
      <c r="O15" s="279"/>
      <c r="P15" s="283"/>
      <c r="Q15" s="283"/>
      <c r="R15" s="439"/>
      <c r="S15" s="431"/>
      <c r="T15" s="432"/>
      <c r="U15" s="433"/>
    </row>
    <row r="16" spans="1:21">
      <c r="B16" s="436">
        <f t="shared" si="0"/>
        <v>7</v>
      </c>
      <c r="C16" s="279"/>
      <c r="D16" s="461"/>
      <c r="E16" s="281"/>
      <c r="F16" s="282" t="s">
        <v>845</v>
      </c>
      <c r="G16" s="279"/>
      <c r="H16" s="462"/>
      <c r="I16" s="285"/>
      <c r="J16" s="436">
        <f t="shared" si="1"/>
        <v>7</v>
      </c>
      <c r="K16" s="424"/>
      <c r="L16" s="280"/>
      <c r="M16" s="281"/>
      <c r="N16" s="438"/>
      <c r="O16" s="279"/>
      <c r="P16" s="283"/>
      <c r="Q16" s="283"/>
      <c r="R16" s="439"/>
      <c r="S16" s="431"/>
      <c r="T16" s="432"/>
      <c r="U16" s="433"/>
    </row>
    <row r="17" spans="2:21">
      <c r="B17" s="436">
        <f t="shared" si="0"/>
        <v>8</v>
      </c>
      <c r="C17" s="279"/>
      <c r="D17" s="461"/>
      <c r="E17" s="281"/>
      <c r="F17" s="282" t="s">
        <v>845</v>
      </c>
      <c r="G17" s="282"/>
      <c r="H17" s="462"/>
      <c r="I17" s="283"/>
      <c r="J17" s="436">
        <f t="shared" si="1"/>
        <v>8</v>
      </c>
      <c r="K17" s="424"/>
      <c r="L17" s="280"/>
      <c r="M17" s="281"/>
      <c r="N17" s="438"/>
      <c r="O17" s="279"/>
      <c r="P17" s="283"/>
      <c r="Q17" s="283"/>
      <c r="R17" s="439"/>
      <c r="S17" s="431"/>
      <c r="T17" s="432"/>
      <c r="U17" s="433"/>
    </row>
    <row r="18" spans="2:21">
      <c r="B18" s="436">
        <f t="shared" si="0"/>
        <v>9</v>
      </c>
      <c r="C18" s="279"/>
      <c r="D18" s="461"/>
      <c r="E18" s="281"/>
      <c r="F18" s="282" t="s">
        <v>845</v>
      </c>
      <c r="G18" s="282"/>
      <c r="H18" s="462"/>
      <c r="I18" s="283"/>
      <c r="J18" s="436">
        <f t="shared" si="1"/>
        <v>9</v>
      </c>
      <c r="K18" s="424"/>
      <c r="L18" s="426"/>
      <c r="M18" s="445"/>
      <c r="N18" s="428"/>
      <c r="O18" s="427"/>
      <c r="P18" s="429"/>
      <c r="Q18" s="429"/>
      <c r="R18" s="430"/>
      <c r="S18" s="431"/>
      <c r="T18" s="432"/>
      <c r="U18" s="433"/>
    </row>
    <row r="19" spans="2:21">
      <c r="B19" s="436">
        <f t="shared" si="0"/>
        <v>10</v>
      </c>
      <c r="C19" s="279"/>
      <c r="D19" s="461"/>
      <c r="E19" s="281"/>
      <c r="F19" s="282" t="s">
        <v>845</v>
      </c>
      <c r="G19" s="279"/>
      <c r="H19" s="462"/>
      <c r="I19" s="460"/>
      <c r="J19" s="436">
        <f t="shared" si="1"/>
        <v>10</v>
      </c>
      <c r="K19" s="424"/>
      <c r="L19" s="280"/>
      <c r="M19" s="281"/>
      <c r="N19" s="438"/>
      <c r="O19" s="279"/>
      <c r="P19" s="285"/>
      <c r="Q19" s="285"/>
      <c r="R19" s="430"/>
      <c r="S19" s="431"/>
      <c r="T19" s="432"/>
      <c r="U19" s="433"/>
    </row>
    <row r="20" spans="2:21">
      <c r="B20" s="436">
        <f t="shared" si="0"/>
        <v>11</v>
      </c>
      <c r="C20" s="279"/>
      <c r="D20" s="461"/>
      <c r="E20" s="465"/>
      <c r="F20" s="282" t="s">
        <v>845</v>
      </c>
      <c r="G20" s="463"/>
      <c r="H20" s="462"/>
      <c r="I20" s="285"/>
      <c r="J20" s="436">
        <f t="shared" si="1"/>
        <v>11</v>
      </c>
      <c r="K20" s="424"/>
      <c r="L20" s="280"/>
      <c r="M20" s="281"/>
      <c r="N20" s="438"/>
      <c r="O20" s="279"/>
      <c r="P20" s="285"/>
      <c r="Q20" s="285"/>
      <c r="R20" s="430"/>
      <c r="S20" s="431"/>
      <c r="T20" s="432"/>
      <c r="U20" s="433"/>
    </row>
    <row r="21" spans="2:21">
      <c r="B21" s="436">
        <f t="shared" si="0"/>
        <v>12</v>
      </c>
      <c r="C21" s="279"/>
      <c r="D21" s="461"/>
      <c r="E21" s="465"/>
      <c r="F21" s="282" t="s">
        <v>845</v>
      </c>
      <c r="G21" s="463"/>
      <c r="H21" s="462"/>
      <c r="I21" s="285"/>
      <c r="J21" s="436">
        <f t="shared" si="1"/>
        <v>12</v>
      </c>
      <c r="K21" s="424"/>
      <c r="L21" s="280"/>
      <c r="M21" s="281"/>
      <c r="N21" s="438"/>
      <c r="O21" s="279"/>
      <c r="P21" s="285"/>
      <c r="Q21" s="285"/>
      <c r="R21" s="430"/>
      <c r="S21" s="431"/>
      <c r="T21" s="432"/>
      <c r="U21" s="433"/>
    </row>
    <row r="22" spans="2:21">
      <c r="B22" s="436">
        <f t="shared" si="0"/>
        <v>13</v>
      </c>
      <c r="C22" s="279"/>
      <c r="D22" s="461"/>
      <c r="E22" s="465"/>
      <c r="F22" s="282" t="s">
        <v>845</v>
      </c>
      <c r="G22" s="463"/>
      <c r="H22" s="462"/>
      <c r="I22" s="285"/>
      <c r="J22" s="436">
        <f t="shared" si="1"/>
        <v>13</v>
      </c>
      <c r="K22" s="424"/>
      <c r="L22" s="280"/>
      <c r="M22" s="281"/>
      <c r="N22" s="438"/>
      <c r="O22" s="279"/>
      <c r="P22" s="283"/>
      <c r="Q22" s="283"/>
      <c r="R22" s="430"/>
      <c r="S22" s="431"/>
      <c r="T22" s="432"/>
      <c r="U22" s="433"/>
    </row>
    <row r="23" spans="2:21">
      <c r="B23" s="436">
        <f t="shared" si="0"/>
        <v>14</v>
      </c>
      <c r="C23" s="279"/>
      <c r="D23" s="461"/>
      <c r="E23" s="465"/>
      <c r="F23" s="282" t="s">
        <v>845</v>
      </c>
      <c r="G23" s="463"/>
      <c r="H23" s="462"/>
      <c r="I23" s="285"/>
      <c r="J23" s="436">
        <f t="shared" si="1"/>
        <v>14</v>
      </c>
      <c r="K23" s="424"/>
      <c r="L23" s="280"/>
      <c r="M23" s="279"/>
      <c r="N23" s="438"/>
      <c r="O23" s="279"/>
      <c r="P23" s="283"/>
      <c r="Q23" s="283"/>
      <c r="R23" s="430"/>
      <c r="S23" s="431"/>
      <c r="T23" s="432"/>
      <c r="U23" s="433"/>
    </row>
    <row r="24" spans="2:21">
      <c r="B24" s="436">
        <f t="shared" si="0"/>
        <v>15</v>
      </c>
      <c r="C24" s="279"/>
      <c r="D24" s="280"/>
      <c r="E24" s="281"/>
      <c r="F24" s="282" t="s">
        <v>845</v>
      </c>
      <c r="G24" s="279"/>
      <c r="H24" s="281"/>
      <c r="I24" s="285"/>
      <c r="J24" s="436">
        <f t="shared" si="1"/>
        <v>15</v>
      </c>
      <c r="K24" s="424"/>
      <c r="L24" s="280"/>
      <c r="M24" s="281"/>
      <c r="N24" s="438"/>
      <c r="O24" s="279"/>
      <c r="P24" s="285"/>
      <c r="Q24" s="285"/>
      <c r="R24" s="430"/>
      <c r="S24" s="431"/>
      <c r="T24" s="432"/>
      <c r="U24" s="433"/>
    </row>
    <row r="25" spans="2:21">
      <c r="B25" s="436">
        <f t="shared" si="0"/>
        <v>16</v>
      </c>
      <c r="C25" s="279"/>
      <c r="D25" s="280"/>
      <c r="E25" s="281"/>
      <c r="F25" s="282" t="s">
        <v>845</v>
      </c>
      <c r="G25" s="282"/>
      <c r="H25" s="281"/>
      <c r="I25" s="285"/>
      <c r="J25" s="436">
        <f t="shared" si="1"/>
        <v>16</v>
      </c>
      <c r="K25" s="424"/>
      <c r="L25" s="280"/>
      <c r="M25" s="281"/>
      <c r="N25" s="438"/>
      <c r="O25" s="279"/>
      <c r="P25" s="285"/>
      <c r="Q25" s="285"/>
      <c r="R25" s="430"/>
      <c r="S25" s="431"/>
      <c r="T25" s="432"/>
      <c r="U25" s="433"/>
    </row>
    <row r="26" spans="2:21">
      <c r="B26" s="436">
        <f t="shared" si="0"/>
        <v>17</v>
      </c>
      <c r="C26" s="279"/>
      <c r="D26" s="280"/>
      <c r="E26" s="281"/>
      <c r="F26" s="282" t="s">
        <v>845</v>
      </c>
      <c r="G26" s="282"/>
      <c r="H26" s="462"/>
      <c r="I26" s="285"/>
      <c r="J26" s="436">
        <f t="shared" si="1"/>
        <v>17</v>
      </c>
      <c r="K26" s="424"/>
      <c r="L26" s="280"/>
      <c r="M26" s="281"/>
      <c r="N26" s="438"/>
      <c r="O26" s="279"/>
      <c r="P26" s="285"/>
      <c r="Q26" s="285"/>
      <c r="R26" s="430"/>
      <c r="S26" s="431"/>
      <c r="T26" s="432"/>
      <c r="U26" s="433"/>
    </row>
    <row r="27" spans="2:21">
      <c r="B27" s="436">
        <f t="shared" si="0"/>
        <v>18</v>
      </c>
      <c r="C27" s="279"/>
      <c r="D27" s="461"/>
      <c r="E27" s="281"/>
      <c r="F27" s="282" t="s">
        <v>845</v>
      </c>
      <c r="G27" s="279"/>
      <c r="H27" s="462"/>
      <c r="I27" s="285"/>
      <c r="J27" s="436">
        <f t="shared" si="1"/>
        <v>18</v>
      </c>
      <c r="K27" s="424"/>
      <c r="L27" s="280"/>
      <c r="M27" s="281"/>
      <c r="N27" s="438"/>
      <c r="O27" s="279"/>
      <c r="P27" s="285"/>
      <c r="Q27" s="285"/>
      <c r="R27" s="430"/>
      <c r="S27" s="431"/>
      <c r="T27" s="432"/>
      <c r="U27" s="433"/>
    </row>
    <row r="28" spans="2:21">
      <c r="B28" s="436">
        <f t="shared" si="0"/>
        <v>19</v>
      </c>
      <c r="C28" s="279"/>
      <c r="D28" s="461"/>
      <c r="E28" s="281"/>
      <c r="F28" s="282" t="s">
        <v>845</v>
      </c>
      <c r="G28" s="282"/>
      <c r="H28" s="462"/>
      <c r="I28" s="285"/>
      <c r="J28" s="436">
        <f t="shared" si="1"/>
        <v>19</v>
      </c>
      <c r="K28" s="424"/>
      <c r="L28" s="280"/>
      <c r="M28" s="281"/>
      <c r="N28" s="438"/>
      <c r="O28" s="279"/>
      <c r="P28" s="285"/>
      <c r="Q28" s="285"/>
      <c r="R28" s="430"/>
      <c r="S28" s="431"/>
      <c r="T28" s="432"/>
      <c r="U28" s="433"/>
    </row>
    <row r="29" spans="2:21">
      <c r="B29" s="436">
        <f t="shared" si="0"/>
        <v>20</v>
      </c>
      <c r="C29" s="279"/>
      <c r="D29" s="461"/>
      <c r="E29" s="281"/>
      <c r="F29" s="282" t="s">
        <v>845</v>
      </c>
      <c r="G29" s="282"/>
      <c r="H29" s="462"/>
      <c r="I29" s="283"/>
      <c r="J29" s="436">
        <f t="shared" si="1"/>
        <v>20</v>
      </c>
      <c r="K29" s="424"/>
      <c r="L29" s="446"/>
      <c r="M29" s="281"/>
      <c r="N29" s="438"/>
      <c r="O29" s="279"/>
      <c r="P29" s="283"/>
      <c r="Q29" s="283"/>
      <c r="R29" s="430"/>
      <c r="S29" s="431"/>
      <c r="T29" s="432"/>
      <c r="U29" s="433"/>
    </row>
    <row r="30" spans="2:21">
      <c r="B30" s="436">
        <f t="shared" si="0"/>
        <v>21</v>
      </c>
      <c r="C30" s="279"/>
      <c r="D30" s="461"/>
      <c r="E30" s="281"/>
      <c r="F30" s="282" t="s">
        <v>845</v>
      </c>
      <c r="G30" s="279"/>
      <c r="H30" s="462"/>
      <c r="I30" s="283"/>
      <c r="J30" s="436">
        <f t="shared" si="1"/>
        <v>21</v>
      </c>
      <c r="K30" s="424"/>
      <c r="L30" s="446"/>
      <c r="M30" s="281"/>
      <c r="N30" s="438"/>
      <c r="O30" s="279"/>
      <c r="P30" s="283"/>
      <c r="Q30" s="283"/>
      <c r="R30" s="430"/>
      <c r="S30" s="431"/>
      <c r="T30" s="432"/>
      <c r="U30" s="433"/>
    </row>
    <row r="31" spans="2:21">
      <c r="B31" s="436">
        <f t="shared" si="0"/>
        <v>22</v>
      </c>
      <c r="C31" s="279"/>
      <c r="D31" s="461"/>
      <c r="E31" s="465"/>
      <c r="F31" s="282" t="s">
        <v>845</v>
      </c>
      <c r="G31" s="463"/>
      <c r="H31" s="462"/>
      <c r="I31" s="283"/>
      <c r="J31" s="436">
        <f t="shared" si="1"/>
        <v>22</v>
      </c>
      <c r="K31" s="424"/>
      <c r="L31" s="446"/>
      <c r="M31" s="281"/>
      <c r="N31" s="438"/>
      <c r="O31" s="279"/>
      <c r="P31" s="283"/>
      <c r="Q31" s="283"/>
      <c r="R31" s="430"/>
      <c r="S31" s="431"/>
      <c r="T31" s="432"/>
      <c r="U31" s="433"/>
    </row>
    <row r="32" spans="2:21">
      <c r="B32" s="436">
        <f t="shared" si="0"/>
        <v>23</v>
      </c>
      <c r="C32" s="279"/>
      <c r="D32" s="461"/>
      <c r="E32" s="465"/>
      <c r="F32" s="282" t="s">
        <v>845</v>
      </c>
      <c r="G32" s="463"/>
      <c r="H32" s="462"/>
      <c r="I32" s="283"/>
      <c r="J32" s="436">
        <f t="shared" si="1"/>
        <v>23</v>
      </c>
      <c r="K32" s="424"/>
      <c r="L32" s="446"/>
      <c r="M32" s="281"/>
      <c r="N32" s="438"/>
      <c r="O32" s="279"/>
      <c r="P32" s="283"/>
      <c r="Q32" s="283"/>
      <c r="R32" s="430"/>
      <c r="S32" s="431"/>
      <c r="T32" s="432"/>
      <c r="U32" s="433"/>
    </row>
    <row r="33" spans="2:21">
      <c r="B33" s="436">
        <v>24</v>
      </c>
      <c r="C33" s="279"/>
      <c r="D33" s="442"/>
      <c r="E33" s="468"/>
      <c r="F33" s="469" t="s">
        <v>845</v>
      </c>
      <c r="G33" s="470"/>
      <c r="H33" s="471"/>
      <c r="I33" s="283"/>
      <c r="J33" s="436">
        <v>24</v>
      </c>
      <c r="K33" s="424"/>
      <c r="L33" s="446"/>
      <c r="M33" s="281"/>
      <c r="N33" s="438"/>
      <c r="O33" s="279"/>
      <c r="P33" s="283"/>
      <c r="Q33" s="283"/>
      <c r="R33" s="430"/>
      <c r="S33" s="431"/>
      <c r="T33" s="432"/>
      <c r="U33" s="433"/>
    </row>
    <row r="34" spans="2:21">
      <c r="B34" s="436">
        <f t="shared" ref="B34:B57" si="2">+B33+1</f>
        <v>25</v>
      </c>
      <c r="C34" s="279"/>
      <c r="D34" s="442"/>
      <c r="E34" s="468"/>
      <c r="F34" s="469" t="s">
        <v>845</v>
      </c>
      <c r="G34" s="470"/>
      <c r="H34" s="471"/>
      <c r="I34" s="283"/>
      <c r="J34" s="436">
        <f t="shared" ref="J34:J57" si="3">+J33+1</f>
        <v>25</v>
      </c>
      <c r="K34" s="424"/>
      <c r="L34" s="446"/>
      <c r="M34" s="281"/>
      <c r="N34" s="438"/>
      <c r="O34" s="279"/>
      <c r="P34" s="283"/>
      <c r="Q34" s="283"/>
      <c r="R34" s="430"/>
      <c r="S34" s="431"/>
      <c r="T34" s="432"/>
      <c r="U34" s="433"/>
    </row>
    <row r="35" spans="2:21">
      <c r="B35" s="436">
        <f t="shared" si="2"/>
        <v>26</v>
      </c>
      <c r="C35" s="279"/>
      <c r="D35" s="442"/>
      <c r="E35" s="468"/>
      <c r="F35" s="469" t="s">
        <v>845</v>
      </c>
      <c r="G35" s="470"/>
      <c r="H35" s="471"/>
      <c r="I35" s="283"/>
      <c r="J35" s="436">
        <f t="shared" si="3"/>
        <v>26</v>
      </c>
      <c r="K35" s="424"/>
      <c r="L35" s="446"/>
      <c r="M35" s="281"/>
      <c r="N35" s="438"/>
      <c r="O35" s="279"/>
      <c r="P35" s="283"/>
      <c r="Q35" s="283"/>
      <c r="R35" s="430"/>
      <c r="S35" s="431"/>
      <c r="T35" s="432"/>
      <c r="U35" s="433"/>
    </row>
    <row r="36" spans="2:21">
      <c r="B36" s="436">
        <f t="shared" si="2"/>
        <v>27</v>
      </c>
      <c r="C36" s="279"/>
      <c r="D36" s="442"/>
      <c r="E36" s="468"/>
      <c r="F36" s="469" t="s">
        <v>845</v>
      </c>
      <c r="G36" s="470"/>
      <c r="H36" s="471"/>
      <c r="I36" s="283"/>
      <c r="J36" s="436">
        <f t="shared" si="3"/>
        <v>27</v>
      </c>
      <c r="K36" s="424"/>
      <c r="L36" s="446"/>
      <c r="M36" s="281"/>
      <c r="N36" s="438"/>
      <c r="O36" s="279"/>
      <c r="P36" s="283"/>
      <c r="Q36" s="283"/>
      <c r="R36" s="430"/>
      <c r="S36" s="431"/>
      <c r="T36" s="432"/>
      <c r="U36" s="433"/>
    </row>
    <row r="37" spans="2:21">
      <c r="B37" s="436">
        <f t="shared" si="2"/>
        <v>28</v>
      </c>
      <c r="C37" s="279"/>
      <c r="D37" s="442"/>
      <c r="E37" s="468"/>
      <c r="F37" s="469" t="s">
        <v>845</v>
      </c>
      <c r="G37" s="470"/>
      <c r="H37" s="471"/>
      <c r="I37" s="283"/>
      <c r="J37" s="436">
        <f t="shared" si="3"/>
        <v>28</v>
      </c>
      <c r="K37" s="424"/>
      <c r="L37" s="446"/>
      <c r="M37" s="281"/>
      <c r="N37" s="438"/>
      <c r="O37" s="279"/>
      <c r="P37" s="283"/>
      <c r="Q37" s="283"/>
      <c r="R37" s="430"/>
      <c r="S37" s="431"/>
      <c r="T37" s="432"/>
      <c r="U37" s="433"/>
    </row>
    <row r="38" spans="2:21">
      <c r="B38" s="436">
        <f t="shared" si="2"/>
        <v>29</v>
      </c>
      <c r="C38" s="279"/>
      <c r="D38" s="442"/>
      <c r="E38" s="468"/>
      <c r="F38" s="469" t="s">
        <v>845</v>
      </c>
      <c r="G38" s="470"/>
      <c r="H38" s="471"/>
      <c r="I38" s="283"/>
      <c r="J38" s="436">
        <f t="shared" si="3"/>
        <v>29</v>
      </c>
      <c r="K38" s="424"/>
      <c r="L38" s="446"/>
      <c r="M38" s="281"/>
      <c r="N38" s="438"/>
      <c r="O38" s="279"/>
      <c r="P38" s="283"/>
      <c r="Q38" s="283"/>
      <c r="R38" s="430"/>
      <c r="S38" s="431"/>
      <c r="T38" s="432"/>
      <c r="U38" s="433"/>
    </row>
    <row r="39" spans="2:21">
      <c r="B39" s="436">
        <f t="shared" si="2"/>
        <v>30</v>
      </c>
      <c r="C39" s="279"/>
      <c r="D39" s="442"/>
      <c r="E39" s="468"/>
      <c r="F39" s="469" t="s">
        <v>845</v>
      </c>
      <c r="G39" s="470"/>
      <c r="H39" s="471"/>
      <c r="I39" s="283"/>
      <c r="J39" s="436">
        <f t="shared" si="3"/>
        <v>30</v>
      </c>
      <c r="K39" s="424"/>
      <c r="L39" s="446"/>
      <c r="M39" s="281"/>
      <c r="N39" s="438"/>
      <c r="O39" s="279"/>
      <c r="P39" s="283"/>
      <c r="Q39" s="283"/>
      <c r="R39" s="430"/>
      <c r="S39" s="431"/>
      <c r="T39" s="432"/>
      <c r="U39" s="433"/>
    </row>
    <row r="40" spans="2:21">
      <c r="B40" s="436">
        <f t="shared" si="2"/>
        <v>31</v>
      </c>
      <c r="C40" s="279"/>
      <c r="D40" s="442"/>
      <c r="E40" s="468"/>
      <c r="F40" s="469" t="s">
        <v>845</v>
      </c>
      <c r="G40" s="470"/>
      <c r="H40" s="471"/>
      <c r="I40" s="283"/>
      <c r="J40" s="436">
        <f t="shared" si="3"/>
        <v>31</v>
      </c>
      <c r="K40" s="424"/>
      <c r="L40" s="446"/>
      <c r="M40" s="281"/>
      <c r="N40" s="438"/>
      <c r="O40" s="279"/>
      <c r="P40" s="283"/>
      <c r="Q40" s="283"/>
      <c r="R40" s="430"/>
      <c r="S40" s="431"/>
      <c r="T40" s="432"/>
      <c r="U40" s="433"/>
    </row>
    <row r="41" spans="2:21">
      <c r="B41" s="436">
        <f t="shared" si="2"/>
        <v>32</v>
      </c>
      <c r="C41" s="279"/>
      <c r="D41" s="442"/>
      <c r="E41" s="468"/>
      <c r="F41" s="469" t="s">
        <v>845</v>
      </c>
      <c r="G41" s="470"/>
      <c r="H41" s="471"/>
      <c r="I41" s="283"/>
      <c r="J41" s="436">
        <f t="shared" si="3"/>
        <v>32</v>
      </c>
      <c r="K41" s="424"/>
      <c r="L41" s="446"/>
      <c r="M41" s="281"/>
      <c r="N41" s="438"/>
      <c r="O41" s="279"/>
      <c r="P41" s="283"/>
      <c r="Q41" s="283"/>
      <c r="R41" s="430"/>
      <c r="S41" s="431"/>
      <c r="T41" s="432"/>
      <c r="U41" s="433"/>
    </row>
    <row r="42" spans="2:21">
      <c r="B42" s="436">
        <f t="shared" si="2"/>
        <v>33</v>
      </c>
      <c r="C42" s="279"/>
      <c r="D42" s="442"/>
      <c r="E42" s="468"/>
      <c r="F42" s="469" t="s">
        <v>845</v>
      </c>
      <c r="G42" s="470"/>
      <c r="H42" s="471"/>
      <c r="I42" s="283"/>
      <c r="J42" s="436">
        <f t="shared" si="3"/>
        <v>33</v>
      </c>
      <c r="K42" s="424"/>
      <c r="L42" s="446"/>
      <c r="M42" s="281"/>
      <c r="N42" s="438"/>
      <c r="O42" s="279"/>
      <c r="P42" s="283"/>
      <c r="Q42" s="283"/>
      <c r="R42" s="430"/>
      <c r="S42" s="431"/>
      <c r="T42" s="432"/>
      <c r="U42" s="433"/>
    </row>
    <row r="43" spans="2:21">
      <c r="B43" s="436">
        <f t="shared" si="2"/>
        <v>34</v>
      </c>
      <c r="C43" s="279"/>
      <c r="D43" s="442"/>
      <c r="E43" s="468"/>
      <c r="F43" s="469" t="s">
        <v>845</v>
      </c>
      <c r="G43" s="470"/>
      <c r="H43" s="471"/>
      <c r="I43" s="283"/>
      <c r="J43" s="436">
        <f t="shared" si="3"/>
        <v>34</v>
      </c>
      <c r="K43" s="424"/>
      <c r="L43" s="446"/>
      <c r="M43" s="281"/>
      <c r="N43" s="438"/>
      <c r="O43" s="279"/>
      <c r="P43" s="283"/>
      <c r="Q43" s="283"/>
      <c r="R43" s="430"/>
      <c r="S43" s="431"/>
      <c r="T43" s="432"/>
      <c r="U43" s="433"/>
    </row>
    <row r="44" spans="2:21">
      <c r="B44" s="436">
        <f t="shared" si="2"/>
        <v>35</v>
      </c>
      <c r="C44" s="279"/>
      <c r="D44" s="442"/>
      <c r="E44" s="468"/>
      <c r="F44" s="469" t="s">
        <v>845</v>
      </c>
      <c r="G44" s="470"/>
      <c r="H44" s="471"/>
      <c r="I44" s="283"/>
      <c r="J44" s="436">
        <f t="shared" si="3"/>
        <v>35</v>
      </c>
      <c r="K44" s="424"/>
      <c r="L44" s="446"/>
      <c r="M44" s="281"/>
      <c r="N44" s="438"/>
      <c r="O44" s="279"/>
      <c r="P44" s="283"/>
      <c r="Q44" s="283"/>
      <c r="R44" s="430"/>
      <c r="S44" s="431"/>
      <c r="T44" s="432"/>
      <c r="U44" s="433"/>
    </row>
    <row r="45" spans="2:21">
      <c r="B45" s="436">
        <f t="shared" si="2"/>
        <v>36</v>
      </c>
      <c r="C45" s="279"/>
      <c r="D45" s="442"/>
      <c r="E45" s="468"/>
      <c r="F45" s="469" t="s">
        <v>845</v>
      </c>
      <c r="G45" s="470"/>
      <c r="H45" s="471"/>
      <c r="I45" s="283"/>
      <c r="J45" s="436">
        <f t="shared" si="3"/>
        <v>36</v>
      </c>
      <c r="K45" s="424"/>
      <c r="L45" s="446"/>
      <c r="M45" s="281"/>
      <c r="N45" s="438"/>
      <c r="O45" s="279"/>
      <c r="P45" s="283"/>
      <c r="Q45" s="283"/>
      <c r="R45" s="430"/>
      <c r="S45" s="431"/>
      <c r="T45" s="432"/>
      <c r="U45" s="433"/>
    </row>
    <row r="46" spans="2:21">
      <c r="B46" s="436">
        <f t="shared" si="2"/>
        <v>37</v>
      </c>
      <c r="C46" s="279"/>
      <c r="D46" s="442"/>
      <c r="E46" s="468"/>
      <c r="F46" s="469" t="s">
        <v>845</v>
      </c>
      <c r="G46" s="470"/>
      <c r="H46" s="471"/>
      <c r="I46" s="283"/>
      <c r="J46" s="436">
        <f t="shared" si="3"/>
        <v>37</v>
      </c>
      <c r="K46" s="424"/>
      <c r="L46" s="446"/>
      <c r="M46" s="281"/>
      <c r="N46" s="438"/>
      <c r="O46" s="279"/>
      <c r="P46" s="283"/>
      <c r="Q46" s="283"/>
      <c r="R46" s="430"/>
      <c r="S46" s="431"/>
      <c r="T46" s="432"/>
      <c r="U46" s="433"/>
    </row>
    <row r="47" spans="2:21">
      <c r="B47" s="436">
        <f t="shared" si="2"/>
        <v>38</v>
      </c>
      <c r="C47" s="279"/>
      <c r="D47" s="442"/>
      <c r="E47" s="468"/>
      <c r="F47" s="469" t="s">
        <v>845</v>
      </c>
      <c r="G47" s="470"/>
      <c r="H47" s="471"/>
      <c r="I47" s="283"/>
      <c r="J47" s="436">
        <f t="shared" si="3"/>
        <v>38</v>
      </c>
      <c r="K47" s="424"/>
      <c r="L47" s="446"/>
      <c r="M47" s="281"/>
      <c r="N47" s="438"/>
      <c r="O47" s="279"/>
      <c r="P47" s="283"/>
      <c r="Q47" s="283"/>
      <c r="R47" s="430"/>
      <c r="S47" s="431"/>
      <c r="T47" s="432"/>
      <c r="U47" s="433"/>
    </row>
    <row r="48" spans="2:21">
      <c r="B48" s="436">
        <f t="shared" si="2"/>
        <v>39</v>
      </c>
      <c r="C48" s="279"/>
      <c r="D48" s="442"/>
      <c r="E48" s="468"/>
      <c r="F48" s="469" t="s">
        <v>845</v>
      </c>
      <c r="G48" s="470"/>
      <c r="H48" s="471"/>
      <c r="I48" s="283"/>
      <c r="J48" s="436">
        <f t="shared" si="3"/>
        <v>39</v>
      </c>
      <c r="K48" s="424"/>
      <c r="L48" s="446"/>
      <c r="M48" s="281"/>
      <c r="N48" s="438"/>
      <c r="O48" s="279"/>
      <c r="P48" s="283"/>
      <c r="Q48" s="283"/>
      <c r="R48" s="430"/>
      <c r="S48" s="431"/>
      <c r="T48" s="432"/>
      <c r="U48" s="433"/>
    </row>
    <row r="49" spans="2:21">
      <c r="B49" s="436">
        <f t="shared" si="2"/>
        <v>40</v>
      </c>
      <c r="C49" s="279"/>
      <c r="D49" s="442"/>
      <c r="E49" s="468"/>
      <c r="F49" s="469" t="s">
        <v>845</v>
      </c>
      <c r="G49" s="470"/>
      <c r="H49" s="471"/>
      <c r="I49" s="283"/>
      <c r="J49" s="436">
        <f t="shared" si="3"/>
        <v>40</v>
      </c>
      <c r="K49" s="424"/>
      <c r="L49" s="446"/>
      <c r="M49" s="281"/>
      <c r="N49" s="438"/>
      <c r="O49" s="279"/>
      <c r="P49" s="283"/>
      <c r="Q49" s="283"/>
      <c r="R49" s="430"/>
      <c r="S49" s="431"/>
      <c r="T49" s="432"/>
      <c r="U49" s="433"/>
    </row>
    <row r="50" spans="2:21">
      <c r="B50" s="436">
        <f t="shared" si="2"/>
        <v>41</v>
      </c>
      <c r="C50" s="279"/>
      <c r="D50" s="442"/>
      <c r="E50" s="468"/>
      <c r="F50" s="469" t="s">
        <v>845</v>
      </c>
      <c r="G50" s="470"/>
      <c r="H50" s="471"/>
      <c r="I50" s="283"/>
      <c r="J50" s="436">
        <f t="shared" si="3"/>
        <v>41</v>
      </c>
      <c r="K50" s="424"/>
      <c r="L50" s="446"/>
      <c r="M50" s="281"/>
      <c r="N50" s="438"/>
      <c r="O50" s="279"/>
      <c r="P50" s="283"/>
      <c r="Q50" s="283"/>
      <c r="R50" s="430"/>
      <c r="S50" s="431"/>
      <c r="T50" s="432"/>
      <c r="U50" s="433"/>
    </row>
    <row r="51" spans="2:21">
      <c r="B51" s="436">
        <f t="shared" si="2"/>
        <v>42</v>
      </c>
      <c r="C51" s="279"/>
      <c r="D51" s="442"/>
      <c r="E51" s="468"/>
      <c r="F51" s="469" t="s">
        <v>845</v>
      </c>
      <c r="G51" s="472"/>
      <c r="H51" s="471"/>
      <c r="I51" s="283"/>
      <c r="J51" s="436">
        <f t="shared" si="3"/>
        <v>42</v>
      </c>
      <c r="K51" s="424"/>
      <c r="L51" s="446"/>
      <c r="M51" s="281"/>
      <c r="N51" s="438"/>
      <c r="O51" s="279"/>
      <c r="P51" s="283"/>
      <c r="Q51" s="283"/>
      <c r="R51" s="430"/>
      <c r="S51" s="431"/>
      <c r="T51" s="432"/>
      <c r="U51" s="433"/>
    </row>
    <row r="52" spans="2:21">
      <c r="B52" s="436">
        <f t="shared" si="2"/>
        <v>43</v>
      </c>
      <c r="C52" s="279"/>
      <c r="D52" s="442"/>
      <c r="E52" s="468"/>
      <c r="F52" s="469" t="s">
        <v>845</v>
      </c>
      <c r="G52" s="472"/>
      <c r="H52" s="471"/>
      <c r="I52" s="283"/>
      <c r="J52" s="436">
        <f t="shared" si="3"/>
        <v>43</v>
      </c>
      <c r="K52" s="424"/>
      <c r="L52" s="446"/>
      <c r="M52" s="281"/>
      <c r="N52" s="438"/>
      <c r="O52" s="279"/>
      <c r="P52" s="283"/>
      <c r="Q52" s="283"/>
      <c r="R52" s="430"/>
      <c r="S52" s="431"/>
      <c r="T52" s="432"/>
      <c r="U52" s="433"/>
    </row>
    <row r="53" spans="2:21">
      <c r="B53" s="436">
        <f t="shared" si="2"/>
        <v>44</v>
      </c>
      <c r="C53" s="279"/>
      <c r="D53" s="442"/>
      <c r="E53" s="468"/>
      <c r="F53" s="469" t="s">
        <v>845</v>
      </c>
      <c r="G53" s="472"/>
      <c r="H53" s="471"/>
      <c r="I53" s="283"/>
      <c r="J53" s="436">
        <f t="shared" si="3"/>
        <v>44</v>
      </c>
      <c r="K53" s="424"/>
      <c r="L53" s="446"/>
      <c r="M53" s="281"/>
      <c r="N53" s="438"/>
      <c r="O53" s="279"/>
      <c r="P53" s="283"/>
      <c r="Q53" s="283"/>
      <c r="R53" s="430"/>
      <c r="S53" s="431"/>
      <c r="T53" s="432"/>
      <c r="U53" s="433"/>
    </row>
    <row r="54" spans="2:21">
      <c r="B54" s="436">
        <f t="shared" si="2"/>
        <v>45</v>
      </c>
      <c r="C54" s="279"/>
      <c r="D54" s="442"/>
      <c r="E54" s="468"/>
      <c r="F54" s="469" t="s">
        <v>845</v>
      </c>
      <c r="G54" s="469"/>
      <c r="H54" s="471"/>
      <c r="I54" s="283"/>
      <c r="J54" s="436">
        <f t="shared" si="3"/>
        <v>45</v>
      </c>
      <c r="K54" s="424"/>
      <c r="L54" s="446"/>
      <c r="M54" s="281"/>
      <c r="N54" s="438"/>
      <c r="O54" s="279"/>
      <c r="P54" s="283"/>
      <c r="Q54" s="283"/>
      <c r="R54" s="430"/>
      <c r="S54" s="431"/>
      <c r="T54" s="432"/>
      <c r="U54" s="433"/>
    </row>
    <row r="55" spans="2:21">
      <c r="B55" s="436">
        <f t="shared" si="2"/>
        <v>46</v>
      </c>
      <c r="C55" s="279"/>
      <c r="D55" s="442"/>
      <c r="E55" s="468"/>
      <c r="F55" s="469" t="s">
        <v>845</v>
      </c>
      <c r="G55" s="469"/>
      <c r="H55" s="471"/>
      <c r="I55" s="283"/>
      <c r="J55" s="436">
        <f t="shared" si="3"/>
        <v>46</v>
      </c>
      <c r="K55" s="424"/>
      <c r="L55" s="446"/>
      <c r="M55" s="281"/>
      <c r="N55" s="438"/>
      <c r="O55" s="279"/>
      <c r="P55" s="283"/>
      <c r="Q55" s="283"/>
      <c r="R55" s="430"/>
      <c r="S55" s="431"/>
      <c r="T55" s="432"/>
      <c r="U55" s="433"/>
    </row>
    <row r="56" spans="2:21" ht="17.25" customHeight="1">
      <c r="B56" s="436">
        <f t="shared" si="2"/>
        <v>47</v>
      </c>
      <c r="C56" s="279"/>
      <c r="D56" s="442"/>
      <c r="E56" s="468"/>
      <c r="F56" s="469" t="s">
        <v>845</v>
      </c>
      <c r="G56" s="469"/>
      <c r="H56" s="471"/>
      <c r="I56" s="283"/>
      <c r="J56" s="436">
        <f t="shared" si="3"/>
        <v>47</v>
      </c>
      <c r="K56" s="424"/>
      <c r="L56" s="446"/>
      <c r="M56" s="281"/>
      <c r="N56" s="438"/>
      <c r="O56" s="279"/>
      <c r="P56" s="283"/>
      <c r="Q56" s="283"/>
      <c r="R56" s="430"/>
      <c r="S56" s="431"/>
      <c r="T56" s="432"/>
      <c r="U56" s="433"/>
    </row>
    <row r="57" spans="2:21">
      <c r="B57" s="436">
        <f t="shared" si="2"/>
        <v>48</v>
      </c>
      <c r="C57" s="279"/>
      <c r="D57" s="442"/>
      <c r="E57" s="468"/>
      <c r="F57" s="469" t="s">
        <v>845</v>
      </c>
      <c r="G57" s="470"/>
      <c r="H57" s="471"/>
      <c r="I57" s="283"/>
      <c r="J57" s="436">
        <f t="shared" si="3"/>
        <v>48</v>
      </c>
      <c r="K57" s="424"/>
      <c r="L57" s="446"/>
      <c r="M57" s="281"/>
      <c r="N57" s="438"/>
      <c r="O57" s="279"/>
      <c r="P57" s="283"/>
      <c r="Q57" s="283"/>
      <c r="R57" s="430"/>
      <c r="S57" s="431"/>
      <c r="T57" s="432"/>
      <c r="U57" s="433"/>
    </row>
    <row r="58" spans="2:21">
      <c r="B58" s="436"/>
      <c r="C58" s="279"/>
      <c r="D58" s="473"/>
      <c r="E58" s="474"/>
      <c r="F58" s="452"/>
      <c r="G58" s="467"/>
      <c r="H58" s="283"/>
      <c r="I58" s="283"/>
      <c r="J58" s="436"/>
      <c r="K58" s="424"/>
      <c r="L58" s="446"/>
      <c r="M58" s="281"/>
      <c r="N58" s="438"/>
      <c r="O58" s="279"/>
      <c r="P58" s="283"/>
      <c r="Q58" s="283"/>
      <c r="R58" s="430"/>
      <c r="S58" s="431"/>
      <c r="T58" s="432"/>
      <c r="U58" s="433"/>
    </row>
    <row r="59" spans="2:21">
      <c r="B59" s="436"/>
      <c r="C59" s="279"/>
      <c r="D59" s="280"/>
      <c r="E59" s="465"/>
      <c r="F59" s="282"/>
      <c r="G59" s="463"/>
      <c r="H59" s="283"/>
      <c r="I59" s="283"/>
      <c r="J59" s="436"/>
      <c r="K59" s="424"/>
      <c r="L59" s="446"/>
      <c r="M59" s="281"/>
      <c r="N59" s="438"/>
      <c r="O59" s="279"/>
      <c r="P59" s="283"/>
      <c r="Q59" s="283"/>
      <c r="R59" s="430"/>
      <c r="S59" s="431"/>
      <c r="T59" s="432"/>
      <c r="U59" s="433"/>
    </row>
    <row r="60" spans="2:21">
      <c r="B60" s="436"/>
      <c r="C60" s="279"/>
      <c r="D60" s="280"/>
      <c r="E60" s="465"/>
      <c r="F60" s="282"/>
      <c r="G60" s="463"/>
      <c r="H60" s="283"/>
      <c r="I60" s="283"/>
      <c r="J60" s="436"/>
      <c r="K60" s="424"/>
      <c r="L60" s="446"/>
      <c r="M60" s="281"/>
      <c r="N60" s="438"/>
      <c r="O60" s="279"/>
      <c r="P60" s="283"/>
      <c r="Q60" s="283"/>
      <c r="R60" s="430"/>
      <c r="S60" s="431"/>
      <c r="T60" s="432"/>
      <c r="U60" s="433"/>
    </row>
    <row r="61" spans="2:21">
      <c r="B61" s="436"/>
      <c r="C61" s="279"/>
      <c r="D61" s="280"/>
      <c r="E61" s="465"/>
      <c r="F61" s="282"/>
      <c r="G61" s="463"/>
      <c r="H61" s="283"/>
      <c r="I61" s="283"/>
      <c r="J61" s="436"/>
      <c r="K61" s="424"/>
      <c r="L61" s="446"/>
      <c r="M61" s="281"/>
      <c r="N61" s="438"/>
      <c r="O61" s="279"/>
      <c r="P61" s="283"/>
      <c r="Q61" s="283"/>
      <c r="R61" s="430"/>
      <c r="S61" s="431"/>
      <c r="T61" s="432"/>
      <c r="U61" s="433"/>
    </row>
    <row r="62" spans="2:21">
      <c r="B62" s="436"/>
      <c r="C62" s="279"/>
      <c r="D62" s="280"/>
      <c r="E62" s="465"/>
      <c r="F62" s="282"/>
      <c r="G62" s="463"/>
      <c r="H62" s="283"/>
      <c r="I62" s="283"/>
      <c r="J62" s="436"/>
      <c r="K62" s="424"/>
      <c r="L62" s="446"/>
      <c r="M62" s="281"/>
      <c r="N62" s="438"/>
      <c r="O62" s="279"/>
      <c r="P62" s="283"/>
      <c r="Q62" s="283"/>
      <c r="R62" s="430"/>
      <c r="S62" s="431"/>
      <c r="T62" s="432"/>
      <c r="U62" s="433"/>
    </row>
    <row r="63" spans="2:21">
      <c r="B63" s="436"/>
      <c r="C63" s="279"/>
      <c r="D63" s="280"/>
      <c r="E63" s="465"/>
      <c r="F63" s="282"/>
      <c r="G63" s="463"/>
      <c r="H63" s="283"/>
      <c r="I63" s="283"/>
      <c r="J63" s="436"/>
      <c r="K63" s="424"/>
      <c r="L63" s="446"/>
      <c r="M63" s="281"/>
      <c r="N63" s="438"/>
      <c r="O63" s="279"/>
      <c r="P63" s="283"/>
      <c r="Q63" s="283"/>
      <c r="R63" s="430"/>
      <c r="S63" s="431"/>
      <c r="T63" s="432"/>
      <c r="U63" s="433"/>
    </row>
    <row r="64" spans="2:21">
      <c r="B64" s="436"/>
      <c r="C64" s="463"/>
      <c r="D64" s="464"/>
      <c r="E64" s="465"/>
      <c r="F64" s="463"/>
      <c r="G64" s="463"/>
      <c r="H64" s="466"/>
      <c r="I64" s="283"/>
      <c r="J64" s="436"/>
      <c r="K64" s="424"/>
      <c r="L64" s="446"/>
      <c r="M64" s="281"/>
      <c r="N64" s="438"/>
      <c r="O64" s="279"/>
      <c r="P64" s="283"/>
      <c r="Q64" s="283"/>
      <c r="R64" s="430"/>
      <c r="S64" s="431"/>
      <c r="T64" s="432"/>
      <c r="U64" s="433"/>
    </row>
    <row r="65" spans="2:21">
      <c r="B65" s="436"/>
      <c r="C65" s="463"/>
      <c r="D65" s="464"/>
      <c r="E65" s="465"/>
      <c r="F65" s="463"/>
      <c r="G65" s="463"/>
      <c r="H65" s="466"/>
      <c r="I65" s="283"/>
      <c r="J65" s="436"/>
      <c r="K65" s="424"/>
      <c r="L65" s="446"/>
      <c r="M65" s="281"/>
      <c r="N65" s="438"/>
      <c r="O65" s="279"/>
      <c r="P65" s="283"/>
      <c r="Q65" s="283"/>
      <c r="R65" s="430"/>
      <c r="S65" s="431"/>
      <c r="T65" s="432"/>
      <c r="U65" s="433"/>
    </row>
    <row r="66" spans="2:21">
      <c r="B66" s="436"/>
      <c r="C66" s="463"/>
      <c r="D66" s="464"/>
      <c r="E66" s="465"/>
      <c r="F66" s="463"/>
      <c r="G66" s="463"/>
      <c r="H66" s="466"/>
      <c r="I66" s="283"/>
      <c r="J66" s="436"/>
      <c r="K66" s="424"/>
      <c r="L66" s="446"/>
      <c r="M66" s="281"/>
      <c r="N66" s="438"/>
      <c r="O66" s="279"/>
      <c r="P66" s="283"/>
      <c r="Q66" s="283"/>
      <c r="R66" s="430"/>
      <c r="S66" s="431"/>
      <c r="T66" s="432"/>
      <c r="U66" s="433"/>
    </row>
    <row r="67" spans="2:21" ht="18" thickBot="1">
      <c r="B67" s="453"/>
      <c r="C67" s="454"/>
      <c r="D67" s="455"/>
      <c r="E67" s="454"/>
      <c r="F67" s="454"/>
      <c r="G67" s="454"/>
      <c r="H67" s="454"/>
      <c r="I67" s="455"/>
      <c r="J67" s="453"/>
      <c r="K67" s="457"/>
      <c r="L67" s="455"/>
      <c r="M67" s="454"/>
      <c r="N67" s="438"/>
      <c r="O67" s="279"/>
      <c r="P67" s="455"/>
      <c r="Q67" s="455"/>
      <c r="R67" s="454"/>
      <c r="S67" s="458"/>
      <c r="T67" s="458"/>
      <c r="U67" s="459"/>
    </row>
    <row r="68" spans="2:21">
      <c r="B68" s="415"/>
      <c r="C68" s="416"/>
      <c r="D68" s="415"/>
      <c r="E68" s="415"/>
      <c r="F68" s="415"/>
      <c r="G68" s="415"/>
      <c r="H68" s="415"/>
      <c r="I68" s="415"/>
      <c r="J68" s="415"/>
      <c r="K68" s="415"/>
      <c r="L68" s="415"/>
      <c r="M68" s="415"/>
      <c r="N68" s="415"/>
      <c r="O68" s="415"/>
      <c r="P68" s="416"/>
      <c r="Q68" s="416"/>
      <c r="R68" s="415"/>
      <c r="S68" s="416"/>
      <c r="T68" s="416"/>
      <c r="U68" s="415"/>
    </row>
    <row r="69" spans="2:21" ht="18" thickBot="1">
      <c r="B69" s="414" t="s">
        <v>1988</v>
      </c>
      <c r="C69" s="417"/>
      <c r="P69" s="417"/>
      <c r="Q69" s="417"/>
      <c r="S69" s="417"/>
      <c r="T69" s="417"/>
    </row>
    <row r="70" spans="2:21">
      <c r="B70" s="1200" t="s">
        <v>826</v>
      </c>
      <c r="C70" s="1201"/>
      <c r="D70" s="1202" t="s">
        <v>1029</v>
      </c>
      <c r="E70" s="1203"/>
      <c r="F70" s="1203"/>
      <c r="G70" s="1203"/>
      <c r="H70" s="1203"/>
      <c r="I70" s="1203"/>
      <c r="J70" s="1203"/>
      <c r="K70" s="1203"/>
      <c r="L70" s="1203"/>
      <c r="M70" s="1203"/>
      <c r="N70" s="1203"/>
      <c r="O70" s="1203"/>
      <c r="P70" s="1203"/>
      <c r="Q70" s="1203"/>
      <c r="R70" s="1203"/>
      <c r="S70" s="1203"/>
      <c r="T70" s="1203"/>
      <c r="U70" s="1204"/>
    </row>
    <row r="71" spans="2:21">
      <c r="B71" s="1205" t="s">
        <v>1033</v>
      </c>
      <c r="C71" s="1206"/>
      <c r="D71" s="1207"/>
      <c r="E71" s="1195"/>
      <c r="F71" s="1195"/>
      <c r="G71" s="1195"/>
      <c r="H71" s="1195"/>
      <c r="I71" s="1195"/>
      <c r="J71" s="1195"/>
      <c r="K71" s="1195"/>
      <c r="L71" s="1195"/>
      <c r="M71" s="1195"/>
      <c r="N71" s="1195"/>
      <c r="O71" s="1195"/>
      <c r="P71" s="1195"/>
      <c r="Q71" s="1195"/>
      <c r="R71" s="1195"/>
      <c r="S71" s="1195"/>
      <c r="T71" s="1195"/>
      <c r="U71" s="1208"/>
    </row>
    <row r="72" spans="2:21" ht="18" thickBot="1">
      <c r="B72" s="1219" t="s">
        <v>1038</v>
      </c>
      <c r="C72" s="1215"/>
      <c r="D72" s="1220"/>
      <c r="E72" s="1217"/>
      <c r="F72" s="1217"/>
      <c r="G72" s="1217"/>
      <c r="H72" s="1217"/>
      <c r="I72" s="1217"/>
      <c r="J72" s="1217"/>
      <c r="K72" s="1217"/>
      <c r="L72" s="1217"/>
      <c r="M72" s="1217"/>
      <c r="N72" s="1217"/>
      <c r="O72" s="1217"/>
      <c r="P72" s="1217"/>
      <c r="Q72" s="1217"/>
      <c r="R72" s="1217"/>
      <c r="S72" s="1217"/>
      <c r="T72" s="1217"/>
      <c r="U72" s="1218"/>
    </row>
    <row r="73" spans="2:21">
      <c r="B73" s="417"/>
      <c r="C73" s="417"/>
      <c r="D73" s="417"/>
      <c r="E73" s="417"/>
      <c r="F73" s="417"/>
      <c r="G73" s="417"/>
      <c r="H73" s="417"/>
      <c r="I73" s="417"/>
      <c r="J73" s="417"/>
      <c r="K73" s="417"/>
      <c r="L73" s="417"/>
      <c r="M73" s="417"/>
      <c r="N73" s="417"/>
      <c r="O73" s="417"/>
      <c r="P73" s="417"/>
      <c r="Q73" s="417"/>
      <c r="R73" s="417"/>
      <c r="S73" s="417"/>
      <c r="T73" s="417"/>
      <c r="U73" s="417"/>
    </row>
    <row r="74" spans="2:21" ht="18" thickBot="1">
      <c r="B74" s="414" t="s">
        <v>1989</v>
      </c>
      <c r="C74" s="417"/>
      <c r="P74" s="417"/>
      <c r="Q74" s="417"/>
      <c r="S74" s="417"/>
      <c r="T74" s="417"/>
    </row>
    <row r="75" spans="2:21">
      <c r="B75" s="1221" t="s">
        <v>1049</v>
      </c>
      <c r="C75" s="1201"/>
      <c r="D75" s="1222"/>
      <c r="E75" s="1203"/>
      <c r="F75" s="1203"/>
      <c r="G75" s="1203"/>
      <c r="H75" s="1203"/>
      <c r="I75" s="1203"/>
      <c r="J75" s="1203"/>
      <c r="K75" s="1203"/>
      <c r="L75" s="1203"/>
      <c r="M75" s="1203"/>
      <c r="N75" s="1203"/>
      <c r="O75" s="1203"/>
      <c r="P75" s="1203"/>
      <c r="Q75" s="1203"/>
      <c r="R75" s="1203"/>
      <c r="S75" s="1203"/>
      <c r="T75" s="1203"/>
      <c r="U75" s="1204"/>
    </row>
    <row r="76" spans="2:21">
      <c r="B76" s="1223" t="s">
        <v>1053</v>
      </c>
      <c r="C76" s="1206"/>
      <c r="D76" s="1207"/>
      <c r="E76" s="1195"/>
      <c r="F76" s="1195"/>
      <c r="G76" s="1195"/>
      <c r="H76" s="1195"/>
      <c r="I76" s="1195"/>
      <c r="J76" s="1195"/>
      <c r="K76" s="1195"/>
      <c r="L76" s="1195"/>
      <c r="M76" s="1195"/>
      <c r="N76" s="1195"/>
      <c r="O76" s="1195"/>
      <c r="P76" s="1195"/>
      <c r="Q76" s="1195"/>
      <c r="R76" s="1195"/>
      <c r="S76" s="1195"/>
      <c r="T76" s="1195"/>
      <c r="U76" s="1208"/>
    </row>
    <row r="77" spans="2:21">
      <c r="B77" s="1209" t="s">
        <v>1057</v>
      </c>
      <c r="C77" s="1210"/>
      <c r="D77" s="1211" t="s">
        <v>3217</v>
      </c>
      <c r="E77" s="1212"/>
      <c r="F77" s="1212"/>
      <c r="G77" s="1212"/>
      <c r="H77" s="1212"/>
      <c r="I77" s="1212"/>
      <c r="J77" s="1212"/>
      <c r="K77" s="1212"/>
      <c r="L77" s="1212"/>
      <c r="M77" s="1212"/>
      <c r="N77" s="1212"/>
      <c r="O77" s="1212"/>
      <c r="P77" s="1212"/>
      <c r="Q77" s="1212"/>
      <c r="R77" s="1212"/>
      <c r="S77" s="1212"/>
      <c r="T77" s="1212"/>
      <c r="U77" s="1213"/>
    </row>
    <row r="78" spans="2:21" ht="18" thickBot="1">
      <c r="B78" s="1214" t="s">
        <v>1061</v>
      </c>
      <c r="C78" s="1215"/>
      <c r="D78" s="1216"/>
      <c r="E78" s="1217"/>
      <c r="F78" s="1217"/>
      <c r="G78" s="1217"/>
      <c r="H78" s="1217"/>
      <c r="I78" s="1217"/>
      <c r="J78" s="1217"/>
      <c r="K78" s="1217"/>
      <c r="L78" s="1217"/>
      <c r="M78" s="1217"/>
      <c r="N78" s="1217"/>
      <c r="O78" s="1217"/>
      <c r="P78" s="1217"/>
      <c r="Q78" s="1217"/>
      <c r="R78" s="1217"/>
      <c r="S78" s="1217"/>
      <c r="T78" s="1217"/>
      <c r="U78" s="1218"/>
    </row>
  </sheetData>
  <mergeCells count="26">
    <mergeCell ref="B78:C78"/>
    <mergeCell ref="D78:U78"/>
    <mergeCell ref="B72:C72"/>
    <mergeCell ref="D72:U72"/>
    <mergeCell ref="B75:C75"/>
    <mergeCell ref="D75:U75"/>
    <mergeCell ref="B76:C76"/>
    <mergeCell ref="D76:U76"/>
    <mergeCell ref="B70:C70"/>
    <mergeCell ref="D70:U70"/>
    <mergeCell ref="B71:C71"/>
    <mergeCell ref="D71:U71"/>
    <mergeCell ref="B77:C77"/>
    <mergeCell ref="D77:U77"/>
    <mergeCell ref="B1:C1"/>
    <mergeCell ref="B2:O4"/>
    <mergeCell ref="P2:U2"/>
    <mergeCell ref="P3:U4"/>
    <mergeCell ref="B7:I7"/>
    <mergeCell ref="J7:S7"/>
    <mergeCell ref="T7:T9"/>
    <mergeCell ref="U7:U9"/>
    <mergeCell ref="B8:C8"/>
    <mergeCell ref="D8:I8"/>
    <mergeCell ref="J8:K8"/>
    <mergeCell ref="L8:S8"/>
  </mergeCells>
  <phoneticPr fontId="4" type="noConversion"/>
  <hyperlinks>
    <hyperlink ref="A1" location="List!A1" display="Top" xr:uid="{7F758CD0-907F-4675-9B39-763DCF3212BB}"/>
  </hyperlinks>
  <pageMargins left="0.3" right="0.37" top="0.75" bottom="0.75" header="0" footer="0"/>
  <pageSetup paperSize="9" orientation="portrait"/>
  <customProperties>
    <customPr name="_pios_id" r:id="rId1"/>
  </customProperties>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244B-2D81-4C0D-8AF1-AB77A84B488E}">
  <dimension ref="A1:T30"/>
  <sheetViews>
    <sheetView showGridLines="0" zoomScaleNormal="100" workbookViewId="0">
      <selection activeCell="H18" sqref="H18"/>
    </sheetView>
  </sheetViews>
  <sheetFormatPr defaultColWidth="8.625" defaultRowHeight="13.5"/>
  <cols>
    <col min="1" max="1" width="2.625" style="50" customWidth="1"/>
    <col min="2" max="2" width="4.125" style="50" customWidth="1"/>
    <col min="3" max="3" width="17.625" style="50" customWidth="1"/>
    <col min="4" max="4" width="4.375" style="50" customWidth="1"/>
    <col min="5" max="6" width="8.625" style="50"/>
    <col min="7" max="8" width="22.125" style="50" customWidth="1"/>
    <col min="9" max="9" width="4.375" style="50" customWidth="1"/>
    <col min="10" max="10" width="14.125" style="50" customWidth="1"/>
    <col min="11" max="11" width="3.5" style="50" bestFit="1" customWidth="1"/>
    <col min="12" max="13" width="8.625" style="50"/>
    <col min="14" max="15" width="19" style="50" customWidth="1"/>
    <col min="16" max="16" width="4.875" style="50" customWidth="1"/>
    <col min="17" max="17" width="4.625" style="50" customWidth="1"/>
    <col min="18" max="18" width="6.125" style="50" customWidth="1"/>
    <col min="19" max="19" width="4.625" style="50" bestFit="1" customWidth="1"/>
    <col min="20" max="16384" width="8.625" style="50"/>
  </cols>
  <sheetData>
    <row r="1" spans="1:20" ht="17.25" thickBot="1">
      <c r="A1" s="67" t="s">
        <v>814</v>
      </c>
    </row>
    <row r="2" spans="1:20" s="69" customFormat="1" ht="23.1" customHeight="1">
      <c r="B2" s="992" t="s">
        <v>3494</v>
      </c>
      <c r="C2" s="993"/>
      <c r="D2" s="993"/>
      <c r="E2" s="993"/>
      <c r="F2" s="993"/>
      <c r="G2" s="993"/>
      <c r="H2" s="993"/>
      <c r="I2" s="994"/>
      <c r="J2" s="70" t="s">
        <v>816</v>
      </c>
      <c r="K2" s="998" t="s">
        <v>128</v>
      </c>
      <c r="L2" s="999"/>
      <c r="M2" s="999"/>
      <c r="N2" s="1000"/>
      <c r="O2" s="70" t="s">
        <v>817</v>
      </c>
      <c r="P2" s="1001" t="s">
        <v>818</v>
      </c>
      <c r="Q2" s="1001"/>
      <c r="R2" s="1001"/>
      <c r="S2" s="1002"/>
      <c r="T2" s="71"/>
    </row>
    <row r="3" spans="1:20" s="69" customFormat="1"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0" s="69" customFormat="1" ht="26.1" customHeight="1" thickBot="1">
      <c r="B4" s="74" t="s">
        <v>822</v>
      </c>
      <c r="C4" s="73"/>
      <c r="D4" s="73"/>
      <c r="E4" s="73"/>
      <c r="F4" s="73"/>
      <c r="G4" s="73"/>
      <c r="H4" s="73"/>
      <c r="I4" s="73"/>
      <c r="J4" s="73"/>
      <c r="K4" s="73"/>
      <c r="L4" s="73"/>
      <c r="M4" s="73"/>
      <c r="N4" s="75"/>
      <c r="O4" s="75"/>
      <c r="P4" s="73"/>
      <c r="Q4" s="75"/>
      <c r="R4" s="75"/>
      <c r="S4" s="73"/>
      <c r="T4" s="73"/>
    </row>
    <row r="5" spans="1:20" s="69" customFormat="1" ht="16.5">
      <c r="B5" s="979" t="s">
        <v>823</v>
      </c>
      <c r="C5" s="980"/>
      <c r="D5" s="980"/>
      <c r="E5" s="980"/>
      <c r="F5" s="980"/>
      <c r="G5" s="980"/>
      <c r="H5" s="981"/>
      <c r="I5" s="1017" t="s">
        <v>1390</v>
      </c>
      <c r="J5" s="980"/>
      <c r="K5" s="980"/>
      <c r="L5" s="980"/>
      <c r="M5" s="980"/>
      <c r="N5" s="980"/>
      <c r="O5" s="980"/>
      <c r="P5" s="980"/>
      <c r="Q5" s="980"/>
      <c r="R5" s="983" t="s">
        <v>825</v>
      </c>
      <c r="S5" s="985" t="s">
        <v>1067</v>
      </c>
      <c r="T5" s="73"/>
    </row>
    <row r="6" spans="1:20" s="69" customFormat="1" ht="32.1" customHeight="1">
      <c r="B6" s="78" t="s">
        <v>828</v>
      </c>
      <c r="C6" s="987"/>
      <c r="D6" s="984"/>
      <c r="E6" s="984"/>
      <c r="F6" s="984"/>
      <c r="G6" s="984"/>
      <c r="H6" s="986"/>
      <c r="I6" s="78" t="s">
        <v>829</v>
      </c>
      <c r="J6" s="988" t="s">
        <v>830</v>
      </c>
      <c r="K6" s="984"/>
      <c r="L6" s="984"/>
      <c r="M6" s="984"/>
      <c r="N6" s="984"/>
      <c r="O6" s="984"/>
      <c r="P6" s="984"/>
      <c r="Q6" s="984"/>
      <c r="R6" s="984"/>
      <c r="S6" s="986"/>
      <c r="T6" s="73"/>
    </row>
    <row r="7" spans="1:20" s="69" customFormat="1" ht="27">
      <c r="B7" s="79" t="s">
        <v>831</v>
      </c>
      <c r="C7" s="80" t="s">
        <v>832</v>
      </c>
      <c r="D7" s="80" t="s">
        <v>833</v>
      </c>
      <c r="E7" s="80" t="s">
        <v>834</v>
      </c>
      <c r="F7" s="80" t="s">
        <v>835</v>
      </c>
      <c r="G7" s="80" t="s">
        <v>836</v>
      </c>
      <c r="H7" s="81" t="s">
        <v>837</v>
      </c>
      <c r="I7" s="79" t="s">
        <v>831</v>
      </c>
      <c r="J7" s="80" t="s">
        <v>832</v>
      </c>
      <c r="K7" s="80" t="s">
        <v>833</v>
      </c>
      <c r="L7" s="80" t="s">
        <v>834</v>
      </c>
      <c r="M7" s="80" t="s">
        <v>835</v>
      </c>
      <c r="N7" s="80" t="s">
        <v>836</v>
      </c>
      <c r="O7" s="80" t="s">
        <v>837</v>
      </c>
      <c r="P7" s="82" t="s">
        <v>838</v>
      </c>
      <c r="Q7" s="82" t="s">
        <v>839</v>
      </c>
      <c r="R7" s="984"/>
      <c r="S7" s="986"/>
      <c r="T7" s="73"/>
    </row>
    <row r="8" spans="1:20" s="6" customFormat="1" ht="12">
      <c r="B8" s="84">
        <v>1</v>
      </c>
      <c r="C8" s="8" t="s">
        <v>861</v>
      </c>
      <c r="D8" s="7" t="s">
        <v>42</v>
      </c>
      <c r="E8" s="85" t="s">
        <v>845</v>
      </c>
      <c r="F8" s="7">
        <v>4</v>
      </c>
      <c r="G8" s="8" t="s">
        <v>862</v>
      </c>
      <c r="H8" s="86" t="s">
        <v>863</v>
      </c>
      <c r="I8" s="84">
        <v>1</v>
      </c>
      <c r="J8" s="150" t="s">
        <v>864</v>
      </c>
      <c r="K8" s="10" t="s">
        <v>42</v>
      </c>
      <c r="L8" s="87" t="s">
        <v>1354</v>
      </c>
      <c r="M8" s="10">
        <v>1000</v>
      </c>
      <c r="N8" s="8" t="s">
        <v>862</v>
      </c>
      <c r="O8" s="8" t="s">
        <v>863</v>
      </c>
      <c r="P8" s="9"/>
      <c r="Q8" s="11"/>
      <c r="R8" s="8"/>
      <c r="S8" s="86"/>
    </row>
    <row r="9" spans="1:20" s="6" customFormat="1" ht="12">
      <c r="B9" s="84">
        <f>ROW()-7</f>
        <v>2</v>
      </c>
      <c r="C9" s="8" t="s">
        <v>2309</v>
      </c>
      <c r="D9" s="7" t="s">
        <v>42</v>
      </c>
      <c r="E9" s="85" t="s">
        <v>845</v>
      </c>
      <c r="F9" s="7">
        <v>10</v>
      </c>
      <c r="G9" s="8" t="s">
        <v>3495</v>
      </c>
      <c r="H9" s="86" t="s">
        <v>2311</v>
      </c>
      <c r="I9" s="84">
        <f>ROW()-7</f>
        <v>2</v>
      </c>
      <c r="J9" s="150" t="s">
        <v>2312</v>
      </c>
      <c r="K9" s="10" t="s">
        <v>42</v>
      </c>
      <c r="L9" s="87" t="s">
        <v>1354</v>
      </c>
      <c r="M9" s="10">
        <v>1000</v>
      </c>
      <c r="N9" s="8" t="s">
        <v>3495</v>
      </c>
      <c r="O9" s="8" t="s">
        <v>2311</v>
      </c>
      <c r="P9" s="9"/>
      <c r="Q9" s="11"/>
      <c r="R9" s="8"/>
      <c r="S9" s="86"/>
    </row>
    <row r="10" spans="1:20" s="6" customFormat="1" ht="12">
      <c r="B10" s="84">
        <f t="shared" ref="B10:B17" si="0">ROW()-7</f>
        <v>3</v>
      </c>
      <c r="C10" s="8" t="s">
        <v>1273</v>
      </c>
      <c r="D10" s="7" t="s">
        <v>42</v>
      </c>
      <c r="E10" s="85" t="s">
        <v>845</v>
      </c>
      <c r="F10" s="7">
        <v>4</v>
      </c>
      <c r="G10" s="8" t="s">
        <v>2522</v>
      </c>
      <c r="H10" s="86" t="s">
        <v>1599</v>
      </c>
      <c r="I10" s="84">
        <f t="shared" ref="I10:I17" si="1">ROW()-7</f>
        <v>3</v>
      </c>
      <c r="J10" s="150" t="s">
        <v>1144</v>
      </c>
      <c r="K10" s="10" t="s">
        <v>42</v>
      </c>
      <c r="L10" s="87" t="s">
        <v>1354</v>
      </c>
      <c r="M10" s="10">
        <v>1000</v>
      </c>
      <c r="N10" s="8" t="s">
        <v>2522</v>
      </c>
      <c r="O10" s="8" t="s">
        <v>1599</v>
      </c>
      <c r="P10" s="9"/>
      <c r="Q10" s="11"/>
      <c r="R10" s="8"/>
      <c r="S10" s="86"/>
    </row>
    <row r="11" spans="1:20" s="6" customFormat="1" ht="12">
      <c r="B11" s="84">
        <f t="shared" si="0"/>
        <v>4</v>
      </c>
      <c r="C11" s="8" t="s">
        <v>1600</v>
      </c>
      <c r="D11" s="7" t="s">
        <v>42</v>
      </c>
      <c r="E11" s="85" t="s">
        <v>845</v>
      </c>
      <c r="F11" s="7">
        <v>4</v>
      </c>
      <c r="G11" s="8" t="s">
        <v>3203</v>
      </c>
      <c r="H11" s="86" t="s">
        <v>1603</v>
      </c>
      <c r="I11" s="84">
        <f t="shared" si="1"/>
        <v>4</v>
      </c>
      <c r="J11" s="152" t="s">
        <v>3496</v>
      </c>
      <c r="K11" s="7" t="s">
        <v>42</v>
      </c>
      <c r="L11" s="87" t="s">
        <v>1354</v>
      </c>
      <c r="M11" s="10">
        <v>1000</v>
      </c>
      <c r="N11" s="8" t="s">
        <v>3203</v>
      </c>
      <c r="O11" s="8" t="s">
        <v>1603</v>
      </c>
      <c r="P11" s="9"/>
      <c r="Q11" s="11"/>
      <c r="R11" s="8"/>
      <c r="S11" s="86"/>
    </row>
    <row r="12" spans="1:20" s="6" customFormat="1" ht="12">
      <c r="B12" s="84">
        <f t="shared" si="0"/>
        <v>5</v>
      </c>
      <c r="C12" s="8" t="s">
        <v>3497</v>
      </c>
      <c r="D12" s="7"/>
      <c r="E12" s="85" t="s">
        <v>845</v>
      </c>
      <c r="F12" s="7">
        <v>1</v>
      </c>
      <c r="G12" s="8" t="s">
        <v>3498</v>
      </c>
      <c r="H12" s="86" t="s">
        <v>3499</v>
      </c>
      <c r="I12" s="84">
        <f t="shared" si="1"/>
        <v>5</v>
      </c>
      <c r="J12" s="8" t="s">
        <v>3500</v>
      </c>
      <c r="K12" s="7"/>
      <c r="L12" s="87" t="s">
        <v>1354</v>
      </c>
      <c r="M12" s="10">
        <v>1000</v>
      </c>
      <c r="N12" s="8" t="s">
        <v>3498</v>
      </c>
      <c r="O12" s="8" t="s">
        <v>3499</v>
      </c>
      <c r="P12" s="9"/>
      <c r="Q12" s="11"/>
      <c r="R12" s="8"/>
      <c r="S12" s="86"/>
    </row>
    <row r="13" spans="1:20" s="6" customFormat="1" ht="12">
      <c r="B13" s="84">
        <f t="shared" si="0"/>
        <v>6</v>
      </c>
      <c r="C13" s="8"/>
      <c r="D13" s="7"/>
      <c r="E13" s="85"/>
      <c r="F13" s="7"/>
      <c r="G13" s="8"/>
      <c r="H13" s="86"/>
      <c r="I13" s="84">
        <f t="shared" si="1"/>
        <v>6</v>
      </c>
      <c r="J13" s="8"/>
      <c r="K13" s="7"/>
      <c r="L13" s="87"/>
      <c r="M13" s="10"/>
      <c r="N13" s="8"/>
      <c r="O13" s="8"/>
      <c r="P13" s="9"/>
      <c r="Q13" s="11"/>
      <c r="R13" s="8"/>
      <c r="S13" s="86"/>
    </row>
    <row r="14" spans="1:20" s="6" customFormat="1" ht="12">
      <c r="B14" s="84">
        <f t="shared" si="0"/>
        <v>7</v>
      </c>
      <c r="C14" s="12"/>
      <c r="D14" s="13"/>
      <c r="E14" s="88"/>
      <c r="F14" s="13"/>
      <c r="G14" s="12"/>
      <c r="H14" s="86"/>
      <c r="I14" s="84">
        <f t="shared" si="1"/>
        <v>7</v>
      </c>
      <c r="J14" s="12"/>
      <c r="K14" s="13"/>
      <c r="L14" s="88"/>
      <c r="M14" s="13"/>
      <c r="N14" s="12"/>
      <c r="O14" s="8"/>
      <c r="P14" s="12"/>
      <c r="Q14" s="14"/>
      <c r="R14" s="12"/>
      <c r="S14" s="86"/>
    </row>
    <row r="15" spans="1:20" s="6" customFormat="1" ht="12">
      <c r="B15" s="84">
        <f t="shared" si="0"/>
        <v>8</v>
      </c>
      <c r="C15" s="12"/>
      <c r="D15" s="13"/>
      <c r="E15" s="88"/>
      <c r="F15" s="13"/>
      <c r="G15" s="12"/>
      <c r="H15" s="86"/>
      <c r="I15" s="84">
        <f t="shared" si="1"/>
        <v>8</v>
      </c>
      <c r="J15" s="12"/>
      <c r="K15" s="13"/>
      <c r="L15" s="88"/>
      <c r="M15" s="13"/>
      <c r="N15" s="12"/>
      <c r="O15" s="8"/>
      <c r="P15" s="12"/>
      <c r="Q15" s="14"/>
      <c r="R15" s="12"/>
      <c r="S15" s="86"/>
    </row>
    <row r="16" spans="1:20" s="6" customFormat="1" ht="12">
      <c r="B16" s="84">
        <f t="shared" si="0"/>
        <v>9</v>
      </c>
      <c r="C16" s="8"/>
      <c r="D16" s="7"/>
      <c r="E16" s="85"/>
      <c r="F16" s="7"/>
      <c r="G16" s="8"/>
      <c r="H16" s="86"/>
      <c r="I16" s="84">
        <f t="shared" si="1"/>
        <v>9</v>
      </c>
      <c r="J16" s="9"/>
      <c r="K16" s="10"/>
      <c r="L16" s="85"/>
      <c r="M16" s="7"/>
      <c r="N16" s="8"/>
      <c r="O16" s="8"/>
      <c r="P16" s="8"/>
      <c r="Q16" s="15"/>
      <c r="R16" s="8"/>
      <c r="S16" s="86"/>
    </row>
    <row r="17" spans="2:20" s="6" customFormat="1" ht="12">
      <c r="B17" s="84">
        <f t="shared" si="0"/>
        <v>10</v>
      </c>
      <c r="C17" s="8"/>
      <c r="D17" s="85"/>
      <c r="E17" s="7"/>
      <c r="F17" s="7"/>
      <c r="G17" s="8"/>
      <c r="H17" s="86"/>
      <c r="I17" s="84">
        <f t="shared" si="1"/>
        <v>10</v>
      </c>
      <c r="J17" s="8"/>
      <c r="K17" s="7"/>
      <c r="L17" s="85"/>
      <c r="M17" s="7"/>
      <c r="N17" s="8"/>
      <c r="O17" s="8"/>
      <c r="P17" s="8"/>
      <c r="Q17" s="15"/>
      <c r="R17" s="8"/>
      <c r="S17" s="86"/>
    </row>
    <row r="18" spans="2:20" s="6" customFormat="1" ht="12.75" thickBot="1">
      <c r="B18" s="89"/>
      <c r="C18" s="90"/>
      <c r="D18" s="91"/>
      <c r="E18" s="90"/>
      <c r="F18" s="92"/>
      <c r="G18" s="90"/>
      <c r="H18" s="93"/>
      <c r="I18" s="94"/>
      <c r="J18" s="92"/>
      <c r="K18" s="92"/>
      <c r="L18" s="95"/>
      <c r="M18" s="95"/>
      <c r="N18" s="96"/>
      <c r="O18" s="97"/>
      <c r="P18" s="96"/>
      <c r="Q18" s="98"/>
      <c r="R18" s="96"/>
      <c r="S18" s="99"/>
    </row>
    <row r="19" spans="2:20" s="6" customFormat="1" ht="12">
      <c r="B19" s="18"/>
      <c r="C19" s="19"/>
      <c r="D19" s="19"/>
      <c r="E19" s="19"/>
      <c r="F19" s="18"/>
      <c r="G19" s="18"/>
      <c r="H19" s="18"/>
      <c r="I19" s="18"/>
      <c r="J19" s="18"/>
      <c r="K19" s="18"/>
      <c r="L19" s="18"/>
      <c r="M19" s="18"/>
      <c r="N19" s="18"/>
      <c r="O19" s="18"/>
      <c r="P19" s="18"/>
      <c r="Q19" s="18"/>
      <c r="R19" s="19"/>
      <c r="S19" s="18"/>
    </row>
    <row r="20" spans="2:20" s="69" customFormat="1" ht="18.75" customHeight="1">
      <c r="B20" s="51" t="s">
        <v>1025</v>
      </c>
      <c r="C20" s="73"/>
      <c r="D20" s="73"/>
      <c r="E20" s="73"/>
      <c r="F20" s="73"/>
      <c r="G20" s="73"/>
      <c r="H20" s="73"/>
      <c r="I20" s="73"/>
      <c r="J20" s="73"/>
      <c r="K20" s="73"/>
      <c r="L20" s="73"/>
      <c r="M20" s="73"/>
      <c r="N20" s="75"/>
      <c r="O20" s="75"/>
      <c r="P20" s="73"/>
      <c r="Q20" s="75"/>
      <c r="R20" s="75"/>
      <c r="S20" s="73"/>
      <c r="T20" s="100"/>
    </row>
    <row r="21" spans="2:20" s="69" customFormat="1" ht="18.75" customHeight="1">
      <c r="B21" s="976" t="s">
        <v>826</v>
      </c>
      <c r="C21" s="976"/>
      <c r="D21" s="976" t="s">
        <v>1029</v>
      </c>
      <c r="E21" s="976"/>
      <c r="F21" s="976"/>
      <c r="G21" s="976"/>
      <c r="H21" s="976"/>
      <c r="I21" s="976"/>
      <c r="J21" s="976"/>
      <c r="K21" s="976"/>
      <c r="L21" s="976"/>
      <c r="M21" s="976"/>
      <c r="N21" s="976"/>
      <c r="O21" s="976"/>
      <c r="P21" s="976"/>
      <c r="Q21" s="976"/>
      <c r="R21" s="976"/>
      <c r="S21" s="976"/>
      <c r="T21" s="100"/>
    </row>
    <row r="22" spans="2:20" s="69" customFormat="1" ht="22.5" customHeight="1">
      <c r="B22" s="977" t="s">
        <v>1033</v>
      </c>
      <c r="C22" s="978"/>
      <c r="D22" s="989"/>
      <c r="E22" s="990"/>
      <c r="F22" s="990"/>
      <c r="G22" s="990"/>
      <c r="H22" s="990"/>
      <c r="I22" s="990"/>
      <c r="J22" s="990"/>
      <c r="K22" s="990"/>
      <c r="L22" s="990"/>
      <c r="M22" s="990"/>
      <c r="N22" s="990"/>
      <c r="O22" s="990"/>
      <c r="P22" s="990"/>
      <c r="Q22" s="990"/>
      <c r="R22" s="990"/>
      <c r="S22" s="991"/>
      <c r="T22" s="100"/>
    </row>
    <row r="23" spans="2:20" s="69" customFormat="1" ht="24.75" customHeight="1">
      <c r="B23" s="1008" t="s">
        <v>1038</v>
      </c>
      <c r="C23" s="1009"/>
      <c r="D23" s="1010"/>
      <c r="E23" s="1011"/>
      <c r="F23" s="1011"/>
      <c r="G23" s="1011"/>
      <c r="H23" s="1011"/>
      <c r="I23" s="1011"/>
      <c r="J23" s="1011"/>
      <c r="K23" s="1011"/>
      <c r="L23" s="1011"/>
      <c r="M23" s="1011"/>
      <c r="N23" s="1011"/>
      <c r="O23" s="1011"/>
      <c r="P23" s="1011"/>
      <c r="Q23" s="1011"/>
      <c r="R23" s="1011"/>
      <c r="S23" s="1012"/>
      <c r="T23" s="100"/>
    </row>
    <row r="24" spans="2:20" s="69" customFormat="1" ht="18.75" customHeight="1">
      <c r="B24" s="75"/>
      <c r="C24" s="75"/>
      <c r="D24" s="75"/>
      <c r="E24" s="75"/>
      <c r="F24" s="75"/>
      <c r="G24" s="75"/>
      <c r="H24" s="75"/>
      <c r="I24" s="75"/>
      <c r="J24" s="75"/>
      <c r="K24" s="75"/>
      <c r="L24" s="75"/>
      <c r="M24" s="75"/>
      <c r="N24" s="75"/>
      <c r="O24" s="75"/>
      <c r="P24" s="75"/>
      <c r="Q24" s="75"/>
      <c r="R24" s="75"/>
      <c r="S24" s="75"/>
      <c r="T24" s="100"/>
    </row>
    <row r="25" spans="2:20" s="69" customFormat="1" ht="18.75" customHeight="1">
      <c r="B25" s="51" t="s">
        <v>1045</v>
      </c>
      <c r="C25" s="73"/>
      <c r="D25" s="73"/>
      <c r="E25" s="73"/>
      <c r="F25" s="73"/>
      <c r="G25" s="73"/>
      <c r="H25" s="73"/>
      <c r="I25" s="73"/>
      <c r="J25" s="73"/>
      <c r="K25" s="73"/>
      <c r="L25" s="73"/>
      <c r="M25" s="73"/>
      <c r="N25" s="75"/>
      <c r="O25" s="75"/>
      <c r="P25" s="73"/>
      <c r="Q25" s="75"/>
      <c r="R25" s="75"/>
      <c r="S25" s="73"/>
      <c r="T25" s="100"/>
    </row>
    <row r="26" spans="2:20" s="69" customFormat="1" ht="54" customHeight="1">
      <c r="B26" s="1014" t="s">
        <v>1049</v>
      </c>
      <c r="C26" s="1014"/>
      <c r="D26" s="1013"/>
      <c r="E26" s="1013"/>
      <c r="F26" s="1013"/>
      <c r="G26" s="1013"/>
      <c r="H26" s="1013"/>
      <c r="I26" s="1013"/>
      <c r="J26" s="1013"/>
      <c r="K26" s="1013"/>
      <c r="L26" s="1013"/>
      <c r="M26" s="1013"/>
      <c r="N26" s="1013"/>
      <c r="O26" s="1013"/>
      <c r="P26" s="1013"/>
      <c r="Q26" s="1013"/>
      <c r="R26" s="1013"/>
      <c r="S26" s="1013"/>
    </row>
    <row r="27" spans="2:20" s="69" customFormat="1" ht="33" customHeight="1">
      <c r="B27" s="976" t="s">
        <v>1053</v>
      </c>
      <c r="C27" s="976"/>
      <c r="D27" s="1013"/>
      <c r="E27" s="1013"/>
      <c r="F27" s="1013"/>
      <c r="G27" s="1013"/>
      <c r="H27" s="1013"/>
      <c r="I27" s="1013"/>
      <c r="J27" s="1013"/>
      <c r="K27" s="1013"/>
      <c r="L27" s="1013"/>
      <c r="M27" s="1013"/>
      <c r="N27" s="1013"/>
      <c r="O27" s="1013"/>
      <c r="P27" s="1013"/>
      <c r="Q27" s="1013"/>
      <c r="R27" s="1013"/>
      <c r="S27" s="1013"/>
    </row>
    <row r="28" spans="2:20" s="69" customFormat="1" ht="71.25" customHeight="1">
      <c r="B28" s="976" t="s">
        <v>1057</v>
      </c>
      <c r="C28" s="976"/>
      <c r="D28" s="1013"/>
      <c r="E28" s="1013"/>
      <c r="F28" s="1013"/>
      <c r="G28" s="1013"/>
      <c r="H28" s="1013"/>
      <c r="I28" s="1013"/>
      <c r="J28" s="1013"/>
      <c r="K28" s="1013"/>
      <c r="L28" s="1013"/>
      <c r="M28" s="1013"/>
      <c r="N28" s="1013"/>
      <c r="O28" s="1013"/>
      <c r="P28" s="1013"/>
      <c r="Q28" s="1013"/>
      <c r="R28" s="1013"/>
      <c r="S28" s="1013"/>
    </row>
    <row r="29" spans="2:20" s="69" customFormat="1" ht="38.25" customHeight="1">
      <c r="B29" s="976" t="s">
        <v>1061</v>
      </c>
      <c r="C29" s="976"/>
      <c r="D29" s="1013"/>
      <c r="E29" s="1013"/>
      <c r="F29" s="1013"/>
      <c r="G29" s="1013"/>
      <c r="H29" s="1013"/>
      <c r="I29" s="1013"/>
      <c r="J29" s="1013"/>
      <c r="K29" s="1013"/>
      <c r="L29" s="1013"/>
      <c r="M29" s="1013"/>
      <c r="N29" s="1013"/>
      <c r="O29" s="1013"/>
      <c r="P29" s="1013"/>
      <c r="Q29" s="1013"/>
      <c r="R29" s="1013"/>
      <c r="S29" s="1013"/>
    </row>
    <row r="30" spans="2:20" s="6" customFormat="1" ht="12"/>
  </sheetData>
  <mergeCells count="25">
    <mergeCell ref="B21:C21"/>
    <mergeCell ref="D21:S21"/>
    <mergeCell ref="B22:C22"/>
    <mergeCell ref="B5:H5"/>
    <mergeCell ref="I5:Q5"/>
    <mergeCell ref="R5:R7"/>
    <mergeCell ref="S5:S7"/>
    <mergeCell ref="C6:H6"/>
    <mergeCell ref="J6:Q6"/>
    <mergeCell ref="D22:S22"/>
    <mergeCell ref="B2:I3"/>
    <mergeCell ref="K2:N2"/>
    <mergeCell ref="P2:S2"/>
    <mergeCell ref="K3:N3"/>
    <mergeCell ref="P3:S3"/>
    <mergeCell ref="B23:C23"/>
    <mergeCell ref="D23:S23"/>
    <mergeCell ref="B29:C29"/>
    <mergeCell ref="D29:S29"/>
    <mergeCell ref="B26:C26"/>
    <mergeCell ref="D26:S26"/>
    <mergeCell ref="B27:C27"/>
    <mergeCell ref="D27:S27"/>
    <mergeCell ref="B28:C28"/>
    <mergeCell ref="D28:S28"/>
  </mergeCells>
  <phoneticPr fontId="4" type="noConversion"/>
  <hyperlinks>
    <hyperlink ref="A1" location="List!A1" display="Top" xr:uid="{E85B29C2-CC7E-4644-81A5-70A715964E47}"/>
  </hyperlinks>
  <pageMargins left="0.7" right="0.7" top="0.75" bottom="0.75" header="0.3" footer="0.3"/>
  <customProperties>
    <customPr name="_pios_id" r:id="rId1"/>
  </customPropertie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DAF4B-0DEE-4453-935E-ACE39D31E2A0}">
  <sheetPr>
    <tabColor rgb="FFFFFF00"/>
  </sheetPr>
  <dimension ref="A1:T61"/>
  <sheetViews>
    <sheetView showGridLines="0" zoomScaleNormal="100" workbookViewId="0">
      <selection activeCell="C11" sqref="C11"/>
    </sheetView>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16384" width="12.625" style="69"/>
  </cols>
  <sheetData>
    <row r="1" spans="1:20" ht="9.6" customHeight="1" thickBot="1">
      <c r="A1" s="67" t="s">
        <v>814</v>
      </c>
    </row>
    <row r="2" spans="1:20" ht="23.1" customHeight="1">
      <c r="B2" s="992" t="s">
        <v>3501</v>
      </c>
      <c r="C2" s="993"/>
      <c r="D2" s="993"/>
      <c r="E2" s="993"/>
      <c r="F2" s="993"/>
      <c r="G2" s="993"/>
      <c r="H2" s="993"/>
      <c r="I2" s="994"/>
      <c r="J2" s="70" t="s">
        <v>816</v>
      </c>
      <c r="K2" s="998" t="s">
        <v>145</v>
      </c>
      <c r="L2" s="999"/>
      <c r="M2" s="999"/>
      <c r="N2" s="1000"/>
      <c r="O2" s="70" t="s">
        <v>817</v>
      </c>
      <c r="P2" s="1001" t="s">
        <v>818</v>
      </c>
      <c r="Q2" s="1001"/>
      <c r="R2" s="1001"/>
      <c r="S2" s="1002"/>
      <c r="T2" s="71"/>
    </row>
    <row r="3" spans="1:20"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0" ht="26.1" customHeight="1" thickBot="1">
      <c r="B4" s="74" t="s">
        <v>822</v>
      </c>
      <c r="C4" s="73"/>
      <c r="D4" s="73"/>
      <c r="E4" s="73"/>
      <c r="F4" s="73"/>
      <c r="G4" s="73"/>
      <c r="H4" s="73"/>
      <c r="I4" s="73"/>
      <c r="J4" s="73"/>
      <c r="K4" s="73"/>
      <c r="L4" s="73"/>
      <c r="M4" s="73"/>
      <c r="N4" s="75"/>
      <c r="O4" s="75"/>
      <c r="P4" s="73"/>
      <c r="Q4" s="75"/>
      <c r="R4" s="75"/>
      <c r="S4" s="73"/>
      <c r="T4" s="73"/>
    </row>
    <row r="5" spans="1:20">
      <c r="B5" s="979" t="s">
        <v>823</v>
      </c>
      <c r="C5" s="980"/>
      <c r="D5" s="980"/>
      <c r="E5" s="980"/>
      <c r="F5" s="980"/>
      <c r="G5" s="980"/>
      <c r="H5" s="981"/>
      <c r="I5" s="982" t="s">
        <v>1390</v>
      </c>
      <c r="J5" s="980"/>
      <c r="K5" s="980"/>
      <c r="L5" s="980"/>
      <c r="M5" s="980"/>
      <c r="N5" s="980"/>
      <c r="O5" s="980"/>
      <c r="P5" s="980"/>
      <c r="Q5" s="980"/>
      <c r="R5" s="983" t="s">
        <v>825</v>
      </c>
      <c r="S5" s="985" t="s">
        <v>826</v>
      </c>
      <c r="T5" s="73"/>
    </row>
    <row r="6" spans="1:20" ht="32.1" customHeight="1">
      <c r="B6" s="78" t="s">
        <v>828</v>
      </c>
      <c r="C6" s="987"/>
      <c r="D6" s="984"/>
      <c r="E6" s="984"/>
      <c r="F6" s="984"/>
      <c r="G6" s="984"/>
      <c r="H6" s="986"/>
      <c r="I6" s="102" t="s">
        <v>829</v>
      </c>
      <c r="J6" s="988" t="s">
        <v>830</v>
      </c>
      <c r="K6" s="984"/>
      <c r="L6" s="984"/>
      <c r="M6" s="984"/>
      <c r="N6" s="984"/>
      <c r="O6" s="984"/>
      <c r="P6" s="984"/>
      <c r="Q6" s="984"/>
      <c r="R6" s="984"/>
      <c r="S6" s="986"/>
      <c r="T6" s="73"/>
    </row>
    <row r="7" spans="1:20"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row>
    <row r="8" spans="1:20" s="73" customFormat="1" ht="13.5">
      <c r="B8" s="104">
        <v>1</v>
      </c>
      <c r="C8" s="147" t="s">
        <v>844</v>
      </c>
      <c r="D8" s="119" t="s">
        <v>42</v>
      </c>
      <c r="E8" s="107" t="s">
        <v>845</v>
      </c>
      <c r="F8" s="107">
        <v>5</v>
      </c>
      <c r="G8" s="108" t="s">
        <v>1487</v>
      </c>
      <c r="H8" s="109" t="s">
        <v>1393</v>
      </c>
      <c r="I8" s="110">
        <v>1</v>
      </c>
      <c r="J8" s="117"/>
      <c r="K8" s="112"/>
      <c r="L8" s="113"/>
      <c r="M8" s="112"/>
      <c r="N8" s="114"/>
      <c r="O8" s="114"/>
      <c r="P8" s="112"/>
      <c r="Q8" s="112"/>
      <c r="R8" s="114"/>
      <c r="S8" s="134"/>
    </row>
    <row r="9" spans="1:20" s="73" customFormat="1" ht="13.5">
      <c r="B9" s="104">
        <v>2</v>
      </c>
      <c r="C9" s="147" t="s">
        <v>3502</v>
      </c>
      <c r="D9" s="119" t="s">
        <v>42</v>
      </c>
      <c r="E9" s="107" t="s">
        <v>913</v>
      </c>
      <c r="F9" s="107">
        <v>8</v>
      </c>
      <c r="G9" s="108" t="s">
        <v>3503</v>
      </c>
      <c r="H9" s="109" t="s">
        <v>3503</v>
      </c>
      <c r="I9" s="110">
        <v>2</v>
      </c>
      <c r="J9" s="111" t="s">
        <v>3504</v>
      </c>
      <c r="K9" s="119" t="s">
        <v>42</v>
      </c>
      <c r="L9" s="113" t="s">
        <v>1354</v>
      </c>
      <c r="M9" s="112">
        <v>1000</v>
      </c>
      <c r="N9" s="114" t="s">
        <v>3503</v>
      </c>
      <c r="O9" s="114" t="s">
        <v>3503</v>
      </c>
      <c r="P9" s="112"/>
      <c r="Q9" s="112"/>
      <c r="R9" s="114"/>
      <c r="S9" s="134"/>
      <c r="T9" s="71"/>
    </row>
    <row r="10" spans="1:20" s="73" customFormat="1" ht="13.5">
      <c r="B10" s="104">
        <v>3</v>
      </c>
      <c r="C10" s="147" t="s">
        <v>3505</v>
      </c>
      <c r="D10" s="119" t="s">
        <v>42</v>
      </c>
      <c r="E10" s="107" t="s">
        <v>2024</v>
      </c>
      <c r="F10" s="107">
        <v>3</v>
      </c>
      <c r="G10" s="108" t="s">
        <v>3506</v>
      </c>
      <c r="H10" s="109" t="s">
        <v>3507</v>
      </c>
      <c r="I10" s="110">
        <v>3</v>
      </c>
      <c r="J10" s="111" t="s">
        <v>3508</v>
      </c>
      <c r="K10" s="119" t="s">
        <v>42</v>
      </c>
      <c r="L10" s="113" t="s">
        <v>1354</v>
      </c>
      <c r="M10" s="112">
        <v>1000</v>
      </c>
      <c r="N10" s="114" t="s">
        <v>3506</v>
      </c>
      <c r="O10" s="114" t="s">
        <v>3507</v>
      </c>
      <c r="P10" s="112"/>
      <c r="Q10" s="112"/>
      <c r="R10" s="114"/>
      <c r="S10" s="134"/>
      <c r="T10" s="71"/>
    </row>
    <row r="11" spans="1:20" s="73" customFormat="1" ht="13.5">
      <c r="B11" s="104">
        <v>4</v>
      </c>
      <c r="C11" s="147" t="s">
        <v>861</v>
      </c>
      <c r="D11" s="119" t="s">
        <v>42</v>
      </c>
      <c r="E11" s="107" t="s">
        <v>845</v>
      </c>
      <c r="F11" s="107">
        <v>4</v>
      </c>
      <c r="G11" s="108" t="s">
        <v>862</v>
      </c>
      <c r="H11" s="109" t="s">
        <v>863</v>
      </c>
      <c r="I11" s="110">
        <v>4</v>
      </c>
      <c r="J11" s="147" t="s">
        <v>864</v>
      </c>
      <c r="K11" s="119" t="s">
        <v>42</v>
      </c>
      <c r="L11" s="113" t="s">
        <v>1354</v>
      </c>
      <c r="M11" s="112">
        <v>1000</v>
      </c>
      <c r="N11" s="108" t="s">
        <v>862</v>
      </c>
      <c r="O11" s="108" t="s">
        <v>863</v>
      </c>
      <c r="P11" s="119"/>
      <c r="Q11" s="119"/>
      <c r="R11" s="108"/>
      <c r="S11" s="134"/>
    </row>
    <row r="12" spans="1:20" s="73" customFormat="1" ht="13.5">
      <c r="B12" s="104">
        <v>5</v>
      </c>
      <c r="C12" s="147" t="s">
        <v>3509</v>
      </c>
      <c r="D12" s="119" t="s">
        <v>42</v>
      </c>
      <c r="E12" s="107" t="s">
        <v>845</v>
      </c>
      <c r="F12" s="107">
        <v>1</v>
      </c>
      <c r="G12" s="108" t="s">
        <v>3510</v>
      </c>
      <c r="H12" s="109" t="s">
        <v>3511</v>
      </c>
      <c r="I12" s="110">
        <v>5</v>
      </c>
      <c r="J12" s="147" t="s">
        <v>3512</v>
      </c>
      <c r="K12" s="119" t="s">
        <v>42</v>
      </c>
      <c r="L12" s="113" t="s">
        <v>1354</v>
      </c>
      <c r="M12" s="112">
        <v>1000</v>
      </c>
      <c r="N12" s="108" t="s">
        <v>3510</v>
      </c>
      <c r="O12" s="108" t="s">
        <v>3511</v>
      </c>
      <c r="P12" s="119"/>
      <c r="Q12" s="119"/>
      <c r="R12" s="108"/>
      <c r="S12" s="134"/>
    </row>
    <row r="13" spans="1:20" s="73" customFormat="1" ht="13.5">
      <c r="B13" s="104">
        <v>6</v>
      </c>
      <c r="C13" s="147" t="s">
        <v>3513</v>
      </c>
      <c r="D13" s="119" t="s">
        <v>42</v>
      </c>
      <c r="E13" s="107" t="s">
        <v>845</v>
      </c>
      <c r="F13" s="107">
        <v>10</v>
      </c>
      <c r="G13" s="108" t="s">
        <v>3514</v>
      </c>
      <c r="H13" s="109" t="s">
        <v>3515</v>
      </c>
      <c r="I13" s="110">
        <v>6</v>
      </c>
      <c r="J13" s="147" t="s">
        <v>3516</v>
      </c>
      <c r="K13" s="119" t="s">
        <v>42</v>
      </c>
      <c r="L13" s="113" t="s">
        <v>1354</v>
      </c>
      <c r="M13" s="112">
        <v>1000</v>
      </c>
      <c r="N13" s="108" t="s">
        <v>3514</v>
      </c>
      <c r="O13" s="108" t="s">
        <v>3515</v>
      </c>
      <c r="P13" s="119"/>
      <c r="Q13" s="112"/>
      <c r="R13" s="114"/>
      <c r="S13" s="134"/>
    </row>
    <row r="14" spans="1:20" s="73" customFormat="1" ht="13.5">
      <c r="B14" s="104">
        <v>7</v>
      </c>
      <c r="C14" s="105" t="s">
        <v>869</v>
      </c>
      <c r="D14" s="119"/>
      <c r="E14" s="107" t="s">
        <v>845</v>
      </c>
      <c r="F14" s="107">
        <v>4</v>
      </c>
      <c r="G14" s="108" t="s">
        <v>870</v>
      </c>
      <c r="H14" s="109" t="s">
        <v>871</v>
      </c>
      <c r="I14" s="110">
        <v>7</v>
      </c>
      <c r="J14" s="118" t="s">
        <v>872</v>
      </c>
      <c r="K14" s="106"/>
      <c r="L14" s="113" t="s">
        <v>1354</v>
      </c>
      <c r="M14" s="112">
        <v>1000</v>
      </c>
      <c r="N14" s="108" t="s">
        <v>870</v>
      </c>
      <c r="O14" s="108" t="s">
        <v>871</v>
      </c>
      <c r="P14" s="119"/>
      <c r="Q14" s="112"/>
      <c r="R14" s="114"/>
      <c r="S14" s="134"/>
    </row>
    <row r="15" spans="1:20" s="73" customFormat="1" ht="13.5">
      <c r="B15" s="104">
        <v>8</v>
      </c>
      <c r="C15" s="105" t="s">
        <v>1773</v>
      </c>
      <c r="D15" s="119"/>
      <c r="E15" s="107" t="s">
        <v>845</v>
      </c>
      <c r="F15" s="107">
        <v>4</v>
      </c>
      <c r="G15" s="108" t="s">
        <v>1774</v>
      </c>
      <c r="H15" s="109" t="s">
        <v>1775</v>
      </c>
      <c r="I15" s="110">
        <v>8</v>
      </c>
      <c r="J15" s="118" t="s">
        <v>1776</v>
      </c>
      <c r="K15" s="106"/>
      <c r="L15" s="113" t="s">
        <v>1354</v>
      </c>
      <c r="M15" s="112">
        <v>1000</v>
      </c>
      <c r="N15" s="108" t="s">
        <v>1774</v>
      </c>
      <c r="O15" s="108" t="s">
        <v>1775</v>
      </c>
      <c r="P15" s="119"/>
      <c r="Q15" s="112"/>
      <c r="R15" s="114"/>
      <c r="S15" s="134"/>
    </row>
    <row r="16" spans="1:20" s="73" customFormat="1" ht="13.5">
      <c r="B16" s="104">
        <v>9</v>
      </c>
      <c r="C16" s="105" t="s">
        <v>3517</v>
      </c>
      <c r="D16" s="119"/>
      <c r="E16" s="107" t="s">
        <v>845</v>
      </c>
      <c r="F16" s="107">
        <v>10</v>
      </c>
      <c r="G16" s="108" t="s">
        <v>1948</v>
      </c>
      <c r="H16" s="109" t="s">
        <v>3518</v>
      </c>
      <c r="I16" s="110">
        <v>9</v>
      </c>
      <c r="J16" s="118" t="s">
        <v>3519</v>
      </c>
      <c r="K16" s="106"/>
      <c r="L16" s="113" t="s">
        <v>1354</v>
      </c>
      <c r="M16" s="112">
        <v>1000</v>
      </c>
      <c r="N16" s="108" t="s">
        <v>1948</v>
      </c>
      <c r="O16" s="108" t="s">
        <v>3518</v>
      </c>
      <c r="P16" s="119"/>
      <c r="Q16" s="112"/>
      <c r="R16" s="114"/>
      <c r="S16" s="134"/>
    </row>
    <row r="17" spans="2:19" s="73" customFormat="1" ht="13.5">
      <c r="B17" s="104">
        <v>10</v>
      </c>
      <c r="C17" s="105" t="s">
        <v>1674</v>
      </c>
      <c r="D17" s="119"/>
      <c r="E17" s="107" t="s">
        <v>845</v>
      </c>
      <c r="F17" s="107">
        <v>10</v>
      </c>
      <c r="G17" s="108" t="s">
        <v>3520</v>
      </c>
      <c r="H17" s="109" t="s">
        <v>3521</v>
      </c>
      <c r="I17" s="110">
        <v>10</v>
      </c>
      <c r="J17" s="117" t="s">
        <v>3522</v>
      </c>
      <c r="K17" s="120"/>
      <c r="L17" s="113" t="s">
        <v>1354</v>
      </c>
      <c r="M17" s="112">
        <v>1000</v>
      </c>
      <c r="N17" s="108" t="s">
        <v>3520</v>
      </c>
      <c r="O17" s="108" t="s">
        <v>3521</v>
      </c>
      <c r="P17" s="112"/>
      <c r="Q17" s="112"/>
      <c r="R17" s="114"/>
      <c r="S17" s="134"/>
    </row>
    <row r="18" spans="2:19" s="73" customFormat="1" ht="13.5">
      <c r="B18" s="104">
        <v>11</v>
      </c>
      <c r="C18" s="105" t="s">
        <v>1412</v>
      </c>
      <c r="D18" s="119"/>
      <c r="E18" s="107" t="s">
        <v>913</v>
      </c>
      <c r="F18" s="107">
        <v>8</v>
      </c>
      <c r="G18" s="108" t="s">
        <v>3523</v>
      </c>
      <c r="H18" s="109" t="s">
        <v>3524</v>
      </c>
      <c r="I18" s="110">
        <v>11</v>
      </c>
      <c r="J18" s="117" t="s">
        <v>1415</v>
      </c>
      <c r="K18" s="112"/>
      <c r="L18" s="113" t="s">
        <v>1354</v>
      </c>
      <c r="M18" s="112">
        <v>1000</v>
      </c>
      <c r="N18" s="114" t="s">
        <v>3523</v>
      </c>
      <c r="O18" s="114" t="s">
        <v>3524</v>
      </c>
      <c r="P18" s="112"/>
      <c r="Q18" s="112"/>
      <c r="R18" s="114"/>
      <c r="S18" s="134"/>
    </row>
    <row r="19" spans="2:19" s="73" customFormat="1" ht="13.5">
      <c r="B19" s="104">
        <v>12</v>
      </c>
      <c r="C19" s="121" t="s">
        <v>1416</v>
      </c>
      <c r="D19" s="119"/>
      <c r="E19" s="107" t="s">
        <v>913</v>
      </c>
      <c r="F19" s="107">
        <v>8</v>
      </c>
      <c r="G19" s="108" t="s">
        <v>3525</v>
      </c>
      <c r="H19" s="109" t="s">
        <v>3526</v>
      </c>
      <c r="I19" s="110">
        <v>12</v>
      </c>
      <c r="J19" s="117" t="s">
        <v>1419</v>
      </c>
      <c r="K19" s="120"/>
      <c r="L19" s="113" t="s">
        <v>1354</v>
      </c>
      <c r="M19" s="112">
        <v>1000</v>
      </c>
      <c r="N19" s="114" t="s">
        <v>3525</v>
      </c>
      <c r="O19" s="114" t="s">
        <v>3526</v>
      </c>
      <c r="P19" s="112"/>
      <c r="Q19" s="112"/>
      <c r="R19" s="114"/>
      <c r="S19" s="134"/>
    </row>
    <row r="20" spans="2:19" s="73" customFormat="1" ht="13.5">
      <c r="B20" s="104">
        <v>13</v>
      </c>
      <c r="C20" s="121" t="s">
        <v>3527</v>
      </c>
      <c r="D20" s="119"/>
      <c r="E20" s="107" t="s">
        <v>845</v>
      </c>
      <c r="F20" s="107">
        <v>1</v>
      </c>
      <c r="G20" s="108" t="s">
        <v>3528</v>
      </c>
      <c r="H20" s="109" t="s">
        <v>3529</v>
      </c>
      <c r="I20" s="110">
        <v>13</v>
      </c>
      <c r="J20" s="117" t="s">
        <v>3530</v>
      </c>
      <c r="K20" s="120"/>
      <c r="L20" s="113" t="s">
        <v>1354</v>
      </c>
      <c r="M20" s="112">
        <v>1000</v>
      </c>
      <c r="N20" s="114" t="s">
        <v>3528</v>
      </c>
      <c r="O20" s="114" t="s">
        <v>3529</v>
      </c>
      <c r="P20" s="112"/>
      <c r="Q20" s="112"/>
      <c r="R20" s="114"/>
      <c r="S20" s="134"/>
    </row>
    <row r="21" spans="2:19" s="73" customFormat="1" ht="13.5">
      <c r="B21" s="104">
        <v>14</v>
      </c>
      <c r="C21" s="121" t="s">
        <v>912</v>
      </c>
      <c r="D21" s="119"/>
      <c r="E21" s="107" t="s">
        <v>913</v>
      </c>
      <c r="F21" s="107">
        <v>8</v>
      </c>
      <c r="G21" s="108" t="s">
        <v>914</v>
      </c>
      <c r="H21" s="109" t="s">
        <v>915</v>
      </c>
      <c r="I21" s="110">
        <v>14</v>
      </c>
      <c r="J21" s="118"/>
      <c r="K21" s="119"/>
      <c r="L21" s="113"/>
      <c r="M21" s="112"/>
      <c r="N21" s="108"/>
      <c r="O21" s="108"/>
      <c r="P21" s="119"/>
      <c r="Q21" s="119"/>
      <c r="R21" s="108"/>
      <c r="S21" s="134"/>
    </row>
    <row r="22" spans="2:19" s="73" customFormat="1" ht="13.5">
      <c r="B22" s="104">
        <v>15</v>
      </c>
      <c r="C22" s="121" t="s">
        <v>923</v>
      </c>
      <c r="D22" s="119"/>
      <c r="E22" s="107" t="s">
        <v>924</v>
      </c>
      <c r="F22" s="107">
        <v>6</v>
      </c>
      <c r="G22" s="108" t="s">
        <v>925</v>
      </c>
      <c r="H22" s="109" t="s">
        <v>926</v>
      </c>
      <c r="I22" s="110">
        <v>15</v>
      </c>
      <c r="J22" s="118"/>
      <c r="K22" s="119"/>
      <c r="L22" s="113"/>
      <c r="M22" s="112"/>
      <c r="N22" s="108"/>
      <c r="O22" s="108"/>
      <c r="P22" s="119"/>
      <c r="Q22" s="119"/>
      <c r="R22" s="108"/>
      <c r="S22" s="134"/>
    </row>
    <row r="23" spans="2:19" s="73" customFormat="1" ht="13.5">
      <c r="B23" s="104">
        <v>16</v>
      </c>
      <c r="C23" s="121" t="s">
        <v>935</v>
      </c>
      <c r="D23" s="119"/>
      <c r="E23" s="107" t="s">
        <v>845</v>
      </c>
      <c r="F23" s="107">
        <v>12</v>
      </c>
      <c r="G23" s="108" t="s">
        <v>936</v>
      </c>
      <c r="H23" s="109" t="s">
        <v>937</v>
      </c>
      <c r="I23" s="110">
        <v>16</v>
      </c>
      <c r="J23" s="105"/>
      <c r="K23" s="119"/>
      <c r="L23" s="113"/>
      <c r="M23" s="112"/>
      <c r="N23" s="114"/>
      <c r="O23" s="114"/>
      <c r="P23" s="119"/>
      <c r="Q23" s="119"/>
      <c r="R23" s="108"/>
      <c r="S23" s="134"/>
    </row>
    <row r="24" spans="2:19" s="73" customFormat="1" ht="13.5">
      <c r="B24" s="104">
        <v>17</v>
      </c>
      <c r="C24" s="121" t="s">
        <v>945</v>
      </c>
      <c r="D24" s="119"/>
      <c r="E24" s="107" t="s">
        <v>913</v>
      </c>
      <c r="F24" s="107">
        <v>8</v>
      </c>
      <c r="G24" s="108" t="s">
        <v>946</v>
      </c>
      <c r="H24" s="109" t="s">
        <v>947</v>
      </c>
      <c r="I24" s="110">
        <v>17</v>
      </c>
      <c r="J24" s="105"/>
      <c r="K24" s="119"/>
      <c r="L24" s="113"/>
      <c r="M24" s="112"/>
      <c r="N24" s="114"/>
      <c r="O24" s="114"/>
      <c r="P24" s="119"/>
      <c r="Q24" s="119"/>
      <c r="R24" s="108"/>
      <c r="S24" s="134"/>
    </row>
    <row r="25" spans="2:19" s="73" customFormat="1" ht="13.5">
      <c r="B25" s="104">
        <v>18</v>
      </c>
      <c r="C25" s="121" t="s">
        <v>955</v>
      </c>
      <c r="D25" s="119"/>
      <c r="E25" s="107" t="s">
        <v>924</v>
      </c>
      <c r="F25" s="107">
        <v>6</v>
      </c>
      <c r="G25" s="108" t="s">
        <v>956</v>
      </c>
      <c r="H25" s="109" t="s">
        <v>957</v>
      </c>
      <c r="I25" s="110">
        <v>18</v>
      </c>
      <c r="J25" s="105"/>
      <c r="K25" s="119"/>
      <c r="L25" s="113"/>
      <c r="M25" s="112"/>
      <c r="N25" s="114"/>
      <c r="O25" s="114"/>
      <c r="P25" s="119"/>
      <c r="Q25" s="119"/>
      <c r="R25" s="108"/>
      <c r="S25" s="134"/>
    </row>
    <row r="26" spans="2:19" s="73" customFormat="1" ht="13.5">
      <c r="B26" s="104">
        <v>19</v>
      </c>
      <c r="C26" s="121" t="s">
        <v>962</v>
      </c>
      <c r="D26" s="119"/>
      <c r="E26" s="107" t="s">
        <v>845</v>
      </c>
      <c r="F26" s="107">
        <v>12</v>
      </c>
      <c r="G26" s="108" t="s">
        <v>963</v>
      </c>
      <c r="H26" s="109" t="s">
        <v>964</v>
      </c>
      <c r="I26" s="110">
        <v>19</v>
      </c>
      <c r="J26" s="105"/>
      <c r="K26" s="119"/>
      <c r="L26" s="113"/>
      <c r="M26" s="112"/>
      <c r="N26" s="114"/>
      <c r="O26" s="114"/>
      <c r="P26" s="119"/>
      <c r="Q26" s="119"/>
      <c r="R26" s="108"/>
      <c r="S26" s="134"/>
    </row>
    <row r="27" spans="2:19" s="73" customFormat="1" ht="27">
      <c r="B27" s="104">
        <v>20</v>
      </c>
      <c r="C27" s="121" t="s">
        <v>892</v>
      </c>
      <c r="D27" s="119"/>
      <c r="E27" s="107" t="s">
        <v>845</v>
      </c>
      <c r="F27" s="107">
        <v>1</v>
      </c>
      <c r="G27" s="108" t="s">
        <v>893</v>
      </c>
      <c r="H27" s="109" t="s">
        <v>894</v>
      </c>
      <c r="I27" s="110">
        <v>20</v>
      </c>
      <c r="J27" s="105" t="s">
        <v>895</v>
      </c>
      <c r="K27" s="119"/>
      <c r="L27" s="113" t="s">
        <v>1354</v>
      </c>
      <c r="M27" s="112">
        <v>1000</v>
      </c>
      <c r="N27" s="114" t="s">
        <v>893</v>
      </c>
      <c r="O27" s="114" t="s">
        <v>894</v>
      </c>
      <c r="P27" s="119"/>
      <c r="Q27" s="119"/>
      <c r="R27" s="108"/>
      <c r="S27" s="134"/>
    </row>
    <row r="28" spans="2:19" s="73" customFormat="1" ht="13.5">
      <c r="B28" s="104">
        <v>21</v>
      </c>
      <c r="C28" s="121" t="s">
        <v>899</v>
      </c>
      <c r="D28" s="119"/>
      <c r="E28" s="107" t="s">
        <v>845</v>
      </c>
      <c r="F28" s="107">
        <v>1</v>
      </c>
      <c r="G28" s="108" t="s">
        <v>900</v>
      </c>
      <c r="H28" s="109" t="s">
        <v>901</v>
      </c>
      <c r="I28" s="110">
        <v>21</v>
      </c>
      <c r="J28" s="105" t="s">
        <v>902</v>
      </c>
      <c r="K28" s="119"/>
      <c r="L28" s="113" t="s">
        <v>1354</v>
      </c>
      <c r="M28" s="112">
        <v>1000</v>
      </c>
      <c r="N28" s="114" t="s">
        <v>900</v>
      </c>
      <c r="O28" s="114" t="s">
        <v>901</v>
      </c>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20" s="73" customFormat="1" ht="13.5">
      <c r="B33" s="104">
        <v>26</v>
      </c>
      <c r="C33" s="121"/>
      <c r="D33" s="119"/>
      <c r="E33" s="107"/>
      <c r="F33" s="107"/>
      <c r="G33" s="108"/>
      <c r="H33" s="109"/>
      <c r="I33" s="110">
        <v>26</v>
      </c>
      <c r="J33" s="105"/>
      <c r="K33" s="119"/>
      <c r="L33" s="113"/>
      <c r="M33" s="112"/>
      <c r="N33" s="114"/>
      <c r="O33" s="114"/>
      <c r="P33" s="119"/>
      <c r="Q33" s="119"/>
      <c r="R33" s="108"/>
      <c r="S33" s="134"/>
    </row>
    <row r="34" spans="2:20" s="73" customFormat="1" ht="13.5">
      <c r="B34" s="104">
        <v>27</v>
      </c>
      <c r="C34" s="121"/>
      <c r="D34" s="119"/>
      <c r="E34" s="107"/>
      <c r="F34" s="107"/>
      <c r="G34" s="108"/>
      <c r="H34" s="109"/>
      <c r="I34" s="110">
        <v>27</v>
      </c>
      <c r="J34" s="105"/>
      <c r="K34" s="119"/>
      <c r="L34" s="113"/>
      <c r="M34" s="112"/>
      <c r="N34" s="114"/>
      <c r="O34" s="114"/>
      <c r="P34" s="119"/>
      <c r="Q34" s="119"/>
      <c r="R34" s="108"/>
      <c r="S34" s="134"/>
    </row>
    <row r="35" spans="2:20" s="73" customFormat="1" ht="13.5">
      <c r="B35" s="104">
        <v>28</v>
      </c>
      <c r="C35" s="121"/>
      <c r="D35" s="119"/>
      <c r="E35" s="107"/>
      <c r="F35" s="107"/>
      <c r="G35" s="108"/>
      <c r="H35" s="109"/>
      <c r="I35" s="110">
        <v>28</v>
      </c>
      <c r="J35" s="105"/>
      <c r="K35" s="119"/>
      <c r="L35" s="113"/>
      <c r="M35" s="112"/>
      <c r="N35" s="114"/>
      <c r="O35" s="114"/>
      <c r="P35" s="119"/>
      <c r="Q35" s="119"/>
      <c r="R35" s="108"/>
      <c r="S35" s="134"/>
    </row>
    <row r="36" spans="2:20" s="73" customFormat="1" ht="13.5">
      <c r="B36" s="104">
        <v>29</v>
      </c>
      <c r="C36" s="121"/>
      <c r="D36" s="119"/>
      <c r="E36" s="107"/>
      <c r="F36" s="107"/>
      <c r="G36" s="108"/>
      <c r="H36" s="109"/>
      <c r="I36" s="110">
        <v>29</v>
      </c>
      <c r="J36" s="105"/>
      <c r="K36" s="119"/>
      <c r="L36" s="113"/>
      <c r="M36" s="112"/>
      <c r="N36" s="114"/>
      <c r="O36" s="114"/>
      <c r="P36" s="119"/>
      <c r="Q36" s="119"/>
      <c r="R36" s="108"/>
      <c r="S36" s="134"/>
    </row>
    <row r="37" spans="2:20" s="73" customFormat="1" ht="13.5">
      <c r="B37" s="104">
        <v>30</v>
      </c>
      <c r="C37" s="121"/>
      <c r="D37" s="119"/>
      <c r="E37" s="107"/>
      <c r="F37" s="107"/>
      <c r="G37" s="108"/>
      <c r="H37" s="109"/>
      <c r="I37" s="110">
        <v>30</v>
      </c>
      <c r="J37" s="105"/>
      <c r="K37" s="119"/>
      <c r="L37" s="113"/>
      <c r="M37" s="112"/>
      <c r="N37" s="114"/>
      <c r="O37" s="114"/>
      <c r="P37" s="119"/>
      <c r="Q37" s="119"/>
      <c r="R37" s="108"/>
      <c r="S37" s="134"/>
    </row>
    <row r="38" spans="2:20" s="73" customFormat="1" ht="13.5">
      <c r="B38" s="104">
        <v>31</v>
      </c>
      <c r="C38" s="121"/>
      <c r="D38" s="119"/>
      <c r="E38" s="107"/>
      <c r="F38" s="107"/>
      <c r="G38" s="108"/>
      <c r="H38" s="109"/>
      <c r="I38" s="110">
        <v>31</v>
      </c>
      <c r="J38" s="105"/>
      <c r="K38" s="119"/>
      <c r="L38" s="113"/>
      <c r="M38" s="112"/>
      <c r="N38" s="114"/>
      <c r="O38" s="114"/>
      <c r="P38" s="119"/>
      <c r="Q38" s="119"/>
      <c r="R38" s="108"/>
      <c r="S38" s="134"/>
    </row>
    <row r="39" spans="2:20" s="73" customFormat="1" ht="14.25" thickBot="1">
      <c r="B39" s="129"/>
      <c r="C39" s="130"/>
      <c r="D39" s="131"/>
      <c r="E39" s="131"/>
      <c r="F39" s="131"/>
      <c r="G39" s="131"/>
      <c r="H39" s="132"/>
      <c r="I39" s="135"/>
      <c r="J39" s="130"/>
      <c r="K39" s="131"/>
      <c r="L39" s="130"/>
      <c r="M39" s="131"/>
      <c r="N39" s="131"/>
      <c r="O39" s="131"/>
      <c r="P39" s="131"/>
      <c r="Q39" s="131"/>
      <c r="R39" s="131"/>
      <c r="S39" s="136"/>
    </row>
    <row r="40" spans="2:20" ht="18.75" customHeight="1">
      <c r="B40" s="100"/>
      <c r="C40" s="100"/>
      <c r="D40" s="100"/>
      <c r="E40" s="100"/>
      <c r="F40" s="100"/>
      <c r="G40" s="100"/>
      <c r="H40" s="100"/>
      <c r="I40" s="100"/>
      <c r="J40" s="100"/>
      <c r="K40" s="100"/>
      <c r="L40" s="100"/>
      <c r="M40" s="100"/>
      <c r="N40" s="133"/>
      <c r="O40" s="133"/>
      <c r="P40" s="100"/>
      <c r="Q40" s="133"/>
      <c r="R40" s="133"/>
      <c r="S40" s="100"/>
      <c r="T40" s="100"/>
    </row>
    <row r="41" spans="2:20" ht="18.75" customHeight="1">
      <c r="B41" s="51" t="s">
        <v>1025</v>
      </c>
      <c r="C41" s="73"/>
      <c r="D41" s="73"/>
      <c r="E41" s="73"/>
      <c r="F41" s="73"/>
      <c r="G41" s="73"/>
      <c r="H41" s="73"/>
      <c r="I41" s="73"/>
      <c r="J41" s="73"/>
      <c r="K41" s="73"/>
      <c r="L41" s="73"/>
      <c r="M41" s="73"/>
      <c r="N41" s="75"/>
      <c r="O41" s="75"/>
      <c r="P41" s="73"/>
      <c r="Q41" s="75"/>
      <c r="R41" s="75"/>
      <c r="S41" s="73"/>
      <c r="T41" s="100"/>
    </row>
    <row r="42" spans="2:20" ht="18.75" customHeight="1">
      <c r="B42" s="976" t="s">
        <v>826</v>
      </c>
      <c r="C42" s="976"/>
      <c r="D42" s="976" t="s">
        <v>1029</v>
      </c>
      <c r="E42" s="976"/>
      <c r="F42" s="976"/>
      <c r="G42" s="976"/>
      <c r="H42" s="976"/>
      <c r="I42" s="976"/>
      <c r="J42" s="976"/>
      <c r="K42" s="976"/>
      <c r="L42" s="976"/>
      <c r="M42" s="976"/>
      <c r="N42" s="976"/>
      <c r="O42" s="976"/>
      <c r="P42" s="976"/>
      <c r="Q42" s="976"/>
      <c r="R42" s="976"/>
      <c r="S42" s="976"/>
      <c r="T42" s="100"/>
    </row>
    <row r="43" spans="2:20" ht="22.5" customHeight="1">
      <c r="B43" s="977" t="s">
        <v>1033</v>
      </c>
      <c r="C43" s="978"/>
      <c r="D43" s="989"/>
      <c r="E43" s="990"/>
      <c r="F43" s="990"/>
      <c r="G43" s="990"/>
      <c r="H43" s="990"/>
      <c r="I43" s="990"/>
      <c r="J43" s="990"/>
      <c r="K43" s="990"/>
      <c r="L43" s="990"/>
      <c r="M43" s="990"/>
      <c r="N43" s="990"/>
      <c r="O43" s="990"/>
      <c r="P43" s="990"/>
      <c r="Q43" s="990"/>
      <c r="R43" s="990"/>
      <c r="S43" s="991"/>
      <c r="T43" s="100"/>
    </row>
    <row r="44" spans="2:20"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row>
    <row r="45" spans="2:20" ht="18.75" customHeight="1">
      <c r="B45" s="75"/>
      <c r="C45" s="75"/>
      <c r="D45" s="75"/>
      <c r="E45" s="75"/>
      <c r="F45" s="75"/>
      <c r="G45" s="75"/>
      <c r="H45" s="75"/>
      <c r="I45" s="75"/>
      <c r="J45" s="75"/>
      <c r="K45" s="75"/>
      <c r="L45" s="75"/>
      <c r="M45" s="75"/>
      <c r="N45" s="75"/>
      <c r="O45" s="75"/>
      <c r="P45" s="75"/>
      <c r="Q45" s="75"/>
      <c r="R45" s="75"/>
      <c r="S45" s="75"/>
      <c r="T45" s="100"/>
    </row>
    <row r="46" spans="2:20" ht="18.75" customHeight="1">
      <c r="B46" s="51" t="s">
        <v>1045</v>
      </c>
      <c r="C46" s="73"/>
      <c r="D46" s="73"/>
      <c r="E46" s="73"/>
      <c r="F46" s="73"/>
      <c r="G46" s="73"/>
      <c r="H46" s="73"/>
      <c r="I46" s="73"/>
      <c r="J46" s="73"/>
      <c r="K46" s="73"/>
      <c r="L46" s="73"/>
      <c r="M46" s="73"/>
      <c r="N46" s="75"/>
      <c r="O46" s="75"/>
      <c r="P46" s="73"/>
      <c r="Q46" s="75"/>
      <c r="R46" s="75"/>
      <c r="S46" s="73"/>
      <c r="T46" s="100"/>
    </row>
    <row r="47" spans="2:20"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20"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s="73" customFormat="1" ht="15" customHeight="1"/>
    <row r="53" spans="2:19" s="73" customFormat="1" ht="15" customHeight="1"/>
    <row r="54" spans="2:19" s="73" customFormat="1" ht="15" customHeight="1"/>
    <row r="55" spans="2:19" s="73" customFormat="1" ht="15" customHeight="1"/>
    <row r="56" spans="2:19" s="73" customFormat="1" ht="15" customHeight="1"/>
    <row r="57" spans="2:19" s="73" customFormat="1" ht="15" customHeight="1"/>
    <row r="58" spans="2:19" s="73" customFormat="1" ht="15" customHeight="1"/>
    <row r="59" spans="2:19" s="73" customFormat="1" ht="15" customHeight="1"/>
    <row r="60" spans="2:19" s="73" customFormat="1" ht="15" customHeight="1"/>
    <row r="61" spans="2:19"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FBE8AFD4-D62B-4C59-8E23-43FD5CBEA7BA}"/>
  </hyperlinks>
  <pageMargins left="0.7" right="0.7" top="0.75" bottom="0.75" header="0.3" footer="0.3"/>
  <customProperties>
    <customPr name="_pios_id" r:id="rId1"/>
  </customProperties>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A5B5-15FF-4387-803C-50A07ADDC59B}">
  <dimension ref="A1:T71"/>
  <sheetViews>
    <sheetView showGridLines="0" topLeftCell="A5" zoomScale="125" zoomScaleNormal="100" workbookViewId="0">
      <selection activeCell="H23" sqref="H23"/>
    </sheetView>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16384" width="12.625" style="69"/>
  </cols>
  <sheetData>
    <row r="1" spans="1:20" ht="9.6" customHeight="1" thickBot="1">
      <c r="A1" s="67" t="s">
        <v>814</v>
      </c>
    </row>
    <row r="2" spans="1:20" ht="23.1" customHeight="1">
      <c r="B2" s="992" t="s">
        <v>3531</v>
      </c>
      <c r="C2" s="993"/>
      <c r="D2" s="993"/>
      <c r="E2" s="993"/>
      <c r="F2" s="993"/>
      <c r="G2" s="993"/>
      <c r="H2" s="993"/>
      <c r="I2" s="994"/>
      <c r="J2" s="70" t="s">
        <v>816</v>
      </c>
      <c r="K2" s="998" t="s">
        <v>145</v>
      </c>
      <c r="L2" s="999"/>
      <c r="M2" s="999"/>
      <c r="N2" s="1000"/>
      <c r="O2" s="70" t="s">
        <v>817</v>
      </c>
      <c r="P2" s="1001" t="s">
        <v>818</v>
      </c>
      <c r="Q2" s="1001"/>
      <c r="R2" s="1001"/>
      <c r="S2" s="1002"/>
      <c r="T2" s="71"/>
    </row>
    <row r="3" spans="1:20"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0" ht="26.1" customHeight="1" thickBot="1">
      <c r="B4" s="74" t="s">
        <v>822</v>
      </c>
      <c r="C4" s="73"/>
      <c r="D4" s="73"/>
      <c r="E4" s="73"/>
      <c r="F4" s="73"/>
      <c r="G4" s="73"/>
      <c r="H4" s="73"/>
      <c r="I4" s="73"/>
      <c r="J4" s="73"/>
      <c r="K4" s="73"/>
      <c r="L4" s="73"/>
      <c r="M4" s="73"/>
      <c r="N4" s="75"/>
      <c r="O4" s="75"/>
      <c r="P4" s="73"/>
      <c r="Q4" s="75"/>
      <c r="R4" s="75"/>
      <c r="S4" s="73"/>
      <c r="T4" s="73"/>
    </row>
    <row r="5" spans="1:20">
      <c r="B5" s="979" t="s">
        <v>823</v>
      </c>
      <c r="C5" s="980"/>
      <c r="D5" s="980"/>
      <c r="E5" s="980"/>
      <c r="F5" s="980"/>
      <c r="G5" s="980"/>
      <c r="H5" s="981"/>
      <c r="I5" s="982" t="s">
        <v>1390</v>
      </c>
      <c r="J5" s="980"/>
      <c r="K5" s="980"/>
      <c r="L5" s="980"/>
      <c r="M5" s="980"/>
      <c r="N5" s="980"/>
      <c r="O5" s="980"/>
      <c r="P5" s="980"/>
      <c r="Q5" s="980"/>
      <c r="R5" s="983" t="s">
        <v>825</v>
      </c>
      <c r="S5" s="985" t="s">
        <v>826</v>
      </c>
      <c r="T5" s="73"/>
    </row>
    <row r="6" spans="1:20" ht="32.1" customHeight="1">
      <c r="B6" s="78" t="s">
        <v>828</v>
      </c>
      <c r="C6" s="987"/>
      <c r="D6" s="984"/>
      <c r="E6" s="984"/>
      <c r="F6" s="984"/>
      <c r="G6" s="984"/>
      <c r="H6" s="986"/>
      <c r="I6" s="102" t="s">
        <v>829</v>
      </c>
      <c r="J6" s="988" t="s">
        <v>830</v>
      </c>
      <c r="K6" s="984"/>
      <c r="L6" s="984"/>
      <c r="M6" s="984"/>
      <c r="N6" s="984"/>
      <c r="O6" s="984"/>
      <c r="P6" s="984"/>
      <c r="Q6" s="984"/>
      <c r="R6" s="984"/>
      <c r="S6" s="986"/>
      <c r="T6" s="73"/>
    </row>
    <row r="7" spans="1:20"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row>
    <row r="8" spans="1:20" s="73" customFormat="1" ht="27">
      <c r="B8" s="104">
        <v>1</v>
      </c>
      <c r="C8" s="105" t="s">
        <v>2119</v>
      </c>
      <c r="D8" s="119" t="s">
        <v>42</v>
      </c>
      <c r="E8" s="107"/>
      <c r="F8" s="107"/>
      <c r="G8" s="108"/>
      <c r="H8" s="109"/>
      <c r="I8" s="110">
        <v>1</v>
      </c>
      <c r="J8" s="117" t="s">
        <v>2120</v>
      </c>
      <c r="K8" s="112" t="s">
        <v>42</v>
      </c>
      <c r="L8" s="113" t="s">
        <v>1354</v>
      </c>
      <c r="M8" s="112">
        <v>1000</v>
      </c>
      <c r="N8" s="114" t="s">
        <v>2121</v>
      </c>
      <c r="O8" s="114" t="s">
        <v>2122</v>
      </c>
      <c r="P8" s="112"/>
      <c r="Q8" s="112"/>
      <c r="R8" s="114"/>
      <c r="S8" s="134"/>
    </row>
    <row r="9" spans="1:20" s="73" customFormat="1" ht="27">
      <c r="B9" s="104">
        <v>2</v>
      </c>
      <c r="C9" s="342" t="s">
        <v>2123</v>
      </c>
      <c r="D9" s="119" t="s">
        <v>42</v>
      </c>
      <c r="E9" s="107"/>
      <c r="F9" s="107"/>
      <c r="G9" s="108"/>
      <c r="H9" s="109"/>
      <c r="I9" s="110">
        <v>2</v>
      </c>
      <c r="J9" s="117" t="s">
        <v>2124</v>
      </c>
      <c r="K9" s="119" t="s">
        <v>42</v>
      </c>
      <c r="L9" s="113" t="s">
        <v>1354</v>
      </c>
      <c r="M9" s="112">
        <v>1000</v>
      </c>
      <c r="N9" s="114" t="s">
        <v>2125</v>
      </c>
      <c r="O9" s="114" t="s">
        <v>1475</v>
      </c>
      <c r="P9" s="112"/>
      <c r="Q9" s="112"/>
      <c r="R9" s="114"/>
      <c r="S9" s="134"/>
      <c r="T9" s="71"/>
    </row>
    <row r="10" spans="1:20" s="73" customFormat="1" ht="13.5">
      <c r="B10" s="104">
        <v>3</v>
      </c>
      <c r="C10" s="105" t="s">
        <v>1547</v>
      </c>
      <c r="D10" s="119" t="s">
        <v>42</v>
      </c>
      <c r="E10" s="107"/>
      <c r="F10" s="107"/>
      <c r="G10" s="108"/>
      <c r="H10" s="109"/>
      <c r="I10" s="110">
        <v>3</v>
      </c>
      <c r="J10" s="117" t="s">
        <v>1271</v>
      </c>
      <c r="K10" s="119" t="s">
        <v>42</v>
      </c>
      <c r="L10" s="113" t="s">
        <v>1354</v>
      </c>
      <c r="M10" s="112">
        <v>1000</v>
      </c>
      <c r="N10" s="114" t="s">
        <v>1548</v>
      </c>
      <c r="O10" s="114" t="s">
        <v>1070</v>
      </c>
      <c r="P10" s="112"/>
      <c r="Q10" s="112"/>
      <c r="R10" s="114"/>
      <c r="S10" s="134"/>
      <c r="T10" s="71"/>
    </row>
    <row r="11" spans="1:20" s="73" customFormat="1" ht="13.5">
      <c r="B11" s="104">
        <v>4</v>
      </c>
      <c r="C11" s="105" t="s">
        <v>1538</v>
      </c>
      <c r="D11" s="119" t="s">
        <v>42</v>
      </c>
      <c r="E11" s="107"/>
      <c r="F11" s="107"/>
      <c r="G11" s="108"/>
      <c r="H11" s="109"/>
      <c r="I11" s="110">
        <v>4</v>
      </c>
      <c r="J11" s="118" t="s">
        <v>864</v>
      </c>
      <c r="K11" s="119" t="s">
        <v>42</v>
      </c>
      <c r="L11" s="113" t="s">
        <v>1354</v>
      </c>
      <c r="M11" s="112">
        <v>1000</v>
      </c>
      <c r="N11" s="108" t="s">
        <v>862</v>
      </c>
      <c r="O11" s="108" t="s">
        <v>863</v>
      </c>
      <c r="P11" s="119"/>
      <c r="Q11" s="119"/>
      <c r="R11" s="108"/>
      <c r="S11" s="134"/>
    </row>
    <row r="12" spans="1:20" s="73" customFormat="1" ht="13.5">
      <c r="B12" s="104">
        <v>5</v>
      </c>
      <c r="C12" s="105" t="s">
        <v>2127</v>
      </c>
      <c r="D12" s="119" t="s">
        <v>42</v>
      </c>
      <c r="E12" s="107"/>
      <c r="F12" s="107"/>
      <c r="G12" s="108"/>
      <c r="H12" s="109"/>
      <c r="I12" s="110">
        <v>5</v>
      </c>
      <c r="J12" s="118" t="s">
        <v>2128</v>
      </c>
      <c r="K12" s="119" t="s">
        <v>42</v>
      </c>
      <c r="L12" s="113" t="s">
        <v>1354</v>
      </c>
      <c r="M12" s="112">
        <v>1000</v>
      </c>
      <c r="N12" s="108" t="s">
        <v>1667</v>
      </c>
      <c r="O12" s="108" t="s">
        <v>1668</v>
      </c>
      <c r="P12" s="119"/>
      <c r="Q12" s="119"/>
      <c r="R12" s="108"/>
      <c r="S12" s="134"/>
    </row>
    <row r="13" spans="1:20" s="73" customFormat="1" ht="13.5">
      <c r="B13" s="104">
        <v>6</v>
      </c>
      <c r="C13" s="105" t="s">
        <v>2129</v>
      </c>
      <c r="D13" s="119"/>
      <c r="E13" s="107"/>
      <c r="F13" s="107"/>
      <c r="G13" s="108" t="s">
        <v>3532</v>
      </c>
      <c r="H13" s="109"/>
      <c r="I13" s="110">
        <v>6</v>
      </c>
      <c r="J13" s="118" t="s">
        <v>1101</v>
      </c>
      <c r="K13" s="119"/>
      <c r="L13" s="113" t="s">
        <v>1354</v>
      </c>
      <c r="M13" s="112">
        <v>1000</v>
      </c>
      <c r="N13" s="108" t="s">
        <v>1101</v>
      </c>
      <c r="O13" s="108" t="s">
        <v>1101</v>
      </c>
      <c r="P13" s="119"/>
      <c r="Q13" s="112"/>
      <c r="R13" s="114"/>
      <c r="S13" s="134"/>
    </row>
    <row r="14" spans="1:20" s="73" customFormat="1" ht="13.5">
      <c r="B14" s="104">
        <v>7</v>
      </c>
      <c r="C14" s="105"/>
      <c r="D14" s="119"/>
      <c r="E14" s="107"/>
      <c r="F14" s="107"/>
      <c r="G14" s="108" t="s">
        <v>3532</v>
      </c>
      <c r="H14" s="109"/>
      <c r="I14" s="110">
        <v>7</v>
      </c>
      <c r="J14" s="118" t="s">
        <v>3533</v>
      </c>
      <c r="K14" s="106"/>
      <c r="L14" s="113" t="s">
        <v>1354</v>
      </c>
      <c r="M14" s="112">
        <v>1000</v>
      </c>
      <c r="N14" s="108" t="s">
        <v>2631</v>
      </c>
      <c r="O14" s="108" t="s">
        <v>3534</v>
      </c>
      <c r="P14" s="119"/>
      <c r="Q14" s="112"/>
      <c r="R14" s="114"/>
      <c r="S14" s="134"/>
    </row>
    <row r="15" spans="1:20" s="73" customFormat="1" ht="13.5">
      <c r="B15" s="104">
        <v>8</v>
      </c>
      <c r="C15" s="105"/>
      <c r="D15" s="119"/>
      <c r="E15" s="107"/>
      <c r="F15" s="107"/>
      <c r="G15" s="108" t="s">
        <v>3532</v>
      </c>
      <c r="H15" s="109"/>
      <c r="I15" s="110">
        <v>8</v>
      </c>
      <c r="J15" s="118" t="s">
        <v>3535</v>
      </c>
      <c r="K15" s="106"/>
      <c r="L15" s="113" t="s">
        <v>1354</v>
      </c>
      <c r="M15" s="112">
        <v>1000</v>
      </c>
      <c r="N15" s="108" t="s">
        <v>3108</v>
      </c>
      <c r="O15" s="108" t="s">
        <v>3536</v>
      </c>
      <c r="P15" s="119"/>
      <c r="Q15" s="112"/>
      <c r="R15" s="114"/>
      <c r="S15" s="134"/>
    </row>
    <row r="16" spans="1:20" s="73" customFormat="1" ht="13.5">
      <c r="B16" s="104">
        <v>9</v>
      </c>
      <c r="C16" s="105"/>
      <c r="D16" s="119"/>
      <c r="E16" s="107"/>
      <c r="F16" s="107"/>
      <c r="G16" s="108" t="s">
        <v>3532</v>
      </c>
      <c r="H16" s="109"/>
      <c r="I16" s="110">
        <v>9</v>
      </c>
      <c r="J16" s="118" t="s">
        <v>3537</v>
      </c>
      <c r="K16" s="106"/>
      <c r="L16" s="113" t="s">
        <v>1354</v>
      </c>
      <c r="M16" s="112">
        <v>1000</v>
      </c>
      <c r="N16" s="108" t="s">
        <v>3112</v>
      </c>
      <c r="O16" s="108" t="s">
        <v>3538</v>
      </c>
      <c r="P16" s="119"/>
      <c r="Q16" s="112"/>
      <c r="R16" s="114"/>
      <c r="S16" s="134"/>
    </row>
    <row r="17" spans="2:19" s="73" customFormat="1" ht="13.5">
      <c r="B17" s="104">
        <v>10</v>
      </c>
      <c r="C17" s="105"/>
      <c r="D17" s="119"/>
      <c r="E17" s="107"/>
      <c r="F17" s="107"/>
      <c r="G17" s="108" t="s">
        <v>3532</v>
      </c>
      <c r="H17" s="109"/>
      <c r="I17" s="110">
        <v>10</v>
      </c>
      <c r="J17" s="117" t="s">
        <v>3539</v>
      </c>
      <c r="K17" s="120"/>
      <c r="L17" s="113" t="s">
        <v>1354</v>
      </c>
      <c r="M17" s="112">
        <v>1000</v>
      </c>
      <c r="N17" s="108" t="s">
        <v>3116</v>
      </c>
      <c r="O17" s="108" t="s">
        <v>3540</v>
      </c>
      <c r="P17" s="112"/>
      <c r="Q17" s="112"/>
      <c r="R17" s="114"/>
      <c r="S17" s="134"/>
    </row>
    <row r="18" spans="2:19" s="73" customFormat="1" ht="13.5">
      <c r="B18" s="104">
        <v>11</v>
      </c>
      <c r="C18" s="105"/>
      <c r="D18" s="119"/>
      <c r="E18" s="107"/>
      <c r="F18" s="107"/>
      <c r="G18" s="108" t="s">
        <v>3532</v>
      </c>
      <c r="H18" s="109"/>
      <c r="I18" s="110">
        <v>11</v>
      </c>
      <c r="J18" s="117" t="s">
        <v>3541</v>
      </c>
      <c r="K18" s="112"/>
      <c r="L18" s="113" t="s">
        <v>1354</v>
      </c>
      <c r="M18" s="112">
        <v>1000</v>
      </c>
      <c r="N18" s="114" t="s">
        <v>3120</v>
      </c>
      <c r="O18" s="114" t="s">
        <v>3542</v>
      </c>
      <c r="P18" s="112"/>
      <c r="Q18" s="112"/>
      <c r="R18" s="114"/>
      <c r="S18" s="134"/>
    </row>
    <row r="19" spans="2:19" s="73" customFormat="1" ht="13.5">
      <c r="B19" s="104">
        <v>12</v>
      </c>
      <c r="C19" s="121"/>
      <c r="D19" s="119"/>
      <c r="E19" s="107"/>
      <c r="F19" s="107"/>
      <c r="G19" s="108" t="s">
        <v>3532</v>
      </c>
      <c r="H19" s="109"/>
      <c r="I19" s="110">
        <v>12</v>
      </c>
      <c r="J19" s="117" t="s">
        <v>3543</v>
      </c>
      <c r="K19" s="120"/>
      <c r="L19" s="113" t="s">
        <v>1354</v>
      </c>
      <c r="M19" s="112">
        <v>1000</v>
      </c>
      <c r="N19" s="114" t="s">
        <v>3124</v>
      </c>
      <c r="O19" s="114" t="s">
        <v>3544</v>
      </c>
      <c r="P19" s="112"/>
      <c r="Q19" s="112"/>
      <c r="R19" s="114"/>
      <c r="S19" s="134"/>
    </row>
    <row r="20" spans="2:19" s="73" customFormat="1" ht="13.5">
      <c r="B20" s="104">
        <v>13</v>
      </c>
      <c r="C20" s="121"/>
      <c r="D20" s="119"/>
      <c r="E20" s="107"/>
      <c r="F20" s="107"/>
      <c r="G20" s="108" t="s">
        <v>3532</v>
      </c>
      <c r="H20" s="109"/>
      <c r="I20" s="110">
        <v>13</v>
      </c>
      <c r="J20" s="117" t="s">
        <v>3545</v>
      </c>
      <c r="K20" s="120"/>
      <c r="L20" s="113" t="s">
        <v>1354</v>
      </c>
      <c r="M20" s="112">
        <v>1000</v>
      </c>
      <c r="N20" s="114" t="s">
        <v>3128</v>
      </c>
      <c r="O20" s="114" t="s">
        <v>3546</v>
      </c>
      <c r="P20" s="112"/>
      <c r="Q20" s="112"/>
      <c r="R20" s="114"/>
      <c r="S20" s="134"/>
    </row>
    <row r="21" spans="2:19" s="73" customFormat="1" ht="13.5">
      <c r="B21" s="104">
        <v>14</v>
      </c>
      <c r="C21" s="121"/>
      <c r="D21" s="119"/>
      <c r="E21" s="107"/>
      <c r="F21" s="107"/>
      <c r="G21" s="108" t="s">
        <v>3532</v>
      </c>
      <c r="H21" s="109"/>
      <c r="I21" s="110">
        <v>14</v>
      </c>
      <c r="J21" s="118" t="s">
        <v>3547</v>
      </c>
      <c r="K21" s="119"/>
      <c r="L21" s="113" t="s">
        <v>1354</v>
      </c>
      <c r="M21" s="112">
        <v>1000</v>
      </c>
      <c r="N21" s="108" t="s">
        <v>3132</v>
      </c>
      <c r="O21" s="108" t="s">
        <v>3548</v>
      </c>
      <c r="P21" s="119"/>
      <c r="Q21" s="119"/>
      <c r="R21" s="108"/>
      <c r="S21" s="134"/>
    </row>
    <row r="22" spans="2:19" s="73" customFormat="1" ht="13.5">
      <c r="B22" s="104">
        <v>15</v>
      </c>
      <c r="C22" s="121"/>
      <c r="D22" s="119"/>
      <c r="E22" s="107"/>
      <c r="F22" s="107"/>
      <c r="G22" s="108" t="s">
        <v>3532</v>
      </c>
      <c r="H22" s="109"/>
      <c r="I22" s="110">
        <v>15</v>
      </c>
      <c r="J22" s="118" t="s">
        <v>3549</v>
      </c>
      <c r="K22" s="119"/>
      <c r="L22" s="113" t="s">
        <v>1354</v>
      </c>
      <c r="M22" s="112">
        <v>1000</v>
      </c>
      <c r="N22" s="108" t="s">
        <v>3136</v>
      </c>
      <c r="O22" s="108" t="s">
        <v>3550</v>
      </c>
      <c r="P22" s="119"/>
      <c r="Q22" s="119"/>
      <c r="R22" s="108"/>
      <c r="S22" s="134"/>
    </row>
    <row r="23" spans="2:19" s="73" customFormat="1" ht="13.5">
      <c r="B23" s="104">
        <v>16</v>
      </c>
      <c r="C23" s="121"/>
      <c r="D23" s="119"/>
      <c r="E23" s="107"/>
      <c r="F23" s="107"/>
      <c r="G23" s="108" t="s">
        <v>3532</v>
      </c>
      <c r="H23" s="109"/>
      <c r="I23" s="110">
        <v>16</v>
      </c>
      <c r="J23" s="105" t="s">
        <v>3551</v>
      </c>
      <c r="K23" s="119"/>
      <c r="L23" s="113" t="s">
        <v>1354</v>
      </c>
      <c r="M23" s="112">
        <v>1000</v>
      </c>
      <c r="N23" s="114" t="s">
        <v>1061</v>
      </c>
      <c r="O23" s="114" t="s">
        <v>3552</v>
      </c>
      <c r="P23" s="119"/>
      <c r="Q23" s="119"/>
      <c r="R23" s="108"/>
      <c r="S23" s="134"/>
    </row>
    <row r="24" spans="2:19" s="73" customFormat="1" ht="13.5">
      <c r="B24" s="104">
        <v>17</v>
      </c>
      <c r="C24" s="121" t="s">
        <v>3099</v>
      </c>
      <c r="D24" s="119"/>
      <c r="E24" s="107"/>
      <c r="F24" s="107"/>
      <c r="G24" s="108" t="s">
        <v>3532</v>
      </c>
      <c r="H24" s="109"/>
      <c r="I24" s="110">
        <v>17</v>
      </c>
      <c r="J24" s="105" t="s">
        <v>3553</v>
      </c>
      <c r="K24" s="119"/>
      <c r="L24" s="113" t="s">
        <v>1354</v>
      </c>
      <c r="M24" s="112">
        <v>1000</v>
      </c>
      <c r="N24" s="114" t="s">
        <v>3554</v>
      </c>
      <c r="O24" s="114" t="s">
        <v>2136</v>
      </c>
      <c r="P24" s="119"/>
      <c r="Q24" s="119"/>
      <c r="R24" s="108"/>
      <c r="S24" s="134"/>
    </row>
    <row r="25" spans="2:19" s="73" customFormat="1" ht="13.5">
      <c r="B25" s="104">
        <v>18</v>
      </c>
      <c r="C25" s="121" t="s">
        <v>3099</v>
      </c>
      <c r="D25" s="119"/>
      <c r="E25" s="107"/>
      <c r="F25" s="107"/>
      <c r="G25" s="108" t="s">
        <v>3100</v>
      </c>
      <c r="H25" s="109"/>
      <c r="I25" s="110">
        <v>18</v>
      </c>
      <c r="J25" s="105" t="s">
        <v>3555</v>
      </c>
      <c r="K25" s="119"/>
      <c r="L25" s="113" t="s">
        <v>1354</v>
      </c>
      <c r="M25" s="112">
        <v>1000</v>
      </c>
      <c r="N25" s="114" t="s">
        <v>3556</v>
      </c>
      <c r="O25" s="114" t="s">
        <v>3557</v>
      </c>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20" s="73" customFormat="1" ht="13.5">
      <c r="B33" s="104">
        <v>26</v>
      </c>
      <c r="C33" s="121"/>
      <c r="D33" s="119"/>
      <c r="E33" s="107"/>
      <c r="F33" s="107"/>
      <c r="G33" s="108"/>
      <c r="H33" s="109"/>
      <c r="I33" s="110">
        <v>26</v>
      </c>
      <c r="J33" s="105"/>
      <c r="K33" s="119"/>
      <c r="L33" s="113"/>
      <c r="M33" s="112"/>
      <c r="N33" s="114"/>
      <c r="O33" s="114"/>
      <c r="P33" s="119"/>
      <c r="Q33" s="119"/>
      <c r="R33" s="108"/>
      <c r="S33" s="134"/>
    </row>
    <row r="34" spans="2:20" s="73" customFormat="1" ht="13.5">
      <c r="B34" s="104">
        <v>27</v>
      </c>
      <c r="C34" s="121"/>
      <c r="D34" s="119"/>
      <c r="E34" s="107"/>
      <c r="F34" s="107"/>
      <c r="G34" s="108"/>
      <c r="H34" s="109"/>
      <c r="I34" s="110">
        <v>27</v>
      </c>
      <c r="J34" s="105"/>
      <c r="K34" s="119"/>
      <c r="L34" s="113"/>
      <c r="M34" s="112"/>
      <c r="N34" s="114"/>
      <c r="O34" s="114"/>
      <c r="P34" s="119"/>
      <c r="Q34" s="119"/>
      <c r="R34" s="108"/>
      <c r="S34" s="134"/>
    </row>
    <row r="35" spans="2:20" s="73" customFormat="1" ht="13.5">
      <c r="B35" s="104">
        <v>28</v>
      </c>
      <c r="C35" s="121"/>
      <c r="D35" s="119"/>
      <c r="E35" s="107"/>
      <c r="F35" s="107"/>
      <c r="G35" s="108"/>
      <c r="H35" s="109"/>
      <c r="I35" s="110">
        <v>28</v>
      </c>
      <c r="J35" s="105"/>
      <c r="K35" s="119"/>
      <c r="L35" s="113"/>
      <c r="M35" s="112"/>
      <c r="N35" s="114"/>
      <c r="O35" s="114"/>
      <c r="P35" s="119"/>
      <c r="Q35" s="119"/>
      <c r="R35" s="108"/>
      <c r="S35" s="134"/>
    </row>
    <row r="36" spans="2:20" s="73" customFormat="1" ht="13.5">
      <c r="B36" s="104">
        <v>29</v>
      </c>
      <c r="C36" s="121"/>
      <c r="D36" s="119"/>
      <c r="E36" s="107"/>
      <c r="F36" s="107"/>
      <c r="G36" s="108"/>
      <c r="H36" s="109"/>
      <c r="I36" s="110">
        <v>29</v>
      </c>
      <c r="J36" s="105"/>
      <c r="K36" s="119"/>
      <c r="L36" s="113"/>
      <c r="M36" s="112"/>
      <c r="N36" s="114"/>
      <c r="O36" s="114"/>
      <c r="P36" s="119"/>
      <c r="Q36" s="119"/>
      <c r="R36" s="108"/>
      <c r="S36" s="134"/>
    </row>
    <row r="37" spans="2:20" s="73" customFormat="1" ht="13.5">
      <c r="B37" s="104">
        <v>30</v>
      </c>
      <c r="C37" s="121"/>
      <c r="D37" s="119"/>
      <c r="E37" s="107"/>
      <c r="F37" s="107"/>
      <c r="G37" s="108"/>
      <c r="H37" s="109"/>
      <c r="I37" s="110">
        <v>30</v>
      </c>
      <c r="J37" s="105"/>
      <c r="K37" s="119"/>
      <c r="L37" s="113"/>
      <c r="M37" s="112"/>
      <c r="N37" s="114"/>
      <c r="O37" s="114"/>
      <c r="P37" s="119"/>
      <c r="Q37" s="119"/>
      <c r="R37" s="108"/>
      <c r="S37" s="134"/>
    </row>
    <row r="38" spans="2:20" s="73" customFormat="1" ht="13.5">
      <c r="B38" s="104">
        <v>31</v>
      </c>
      <c r="C38" s="121"/>
      <c r="D38" s="119"/>
      <c r="E38" s="107"/>
      <c r="F38" s="107"/>
      <c r="G38" s="108"/>
      <c r="H38" s="109"/>
      <c r="I38" s="110">
        <v>31</v>
      </c>
      <c r="J38" s="105"/>
      <c r="K38" s="119"/>
      <c r="L38" s="113"/>
      <c r="M38" s="112"/>
      <c r="N38" s="114"/>
      <c r="O38" s="114"/>
      <c r="P38" s="119"/>
      <c r="Q38" s="119"/>
      <c r="R38" s="108"/>
      <c r="S38" s="134"/>
    </row>
    <row r="39" spans="2:20" s="73" customFormat="1" ht="14.25" thickBot="1">
      <c r="B39" s="129"/>
      <c r="C39" s="130"/>
      <c r="D39" s="131"/>
      <c r="E39" s="131"/>
      <c r="F39" s="131"/>
      <c r="G39" s="131"/>
      <c r="H39" s="132"/>
      <c r="I39" s="135"/>
      <c r="J39" s="130"/>
      <c r="K39" s="131"/>
      <c r="L39" s="130"/>
      <c r="M39" s="131"/>
      <c r="N39" s="131"/>
      <c r="O39" s="131"/>
      <c r="P39" s="131"/>
      <c r="Q39" s="131"/>
      <c r="R39" s="131"/>
      <c r="S39" s="136"/>
    </row>
    <row r="40" spans="2:20" ht="18.75" customHeight="1">
      <c r="B40" s="100"/>
      <c r="C40" s="100"/>
      <c r="D40" s="100"/>
      <c r="E40" s="100"/>
      <c r="F40" s="100"/>
      <c r="G40" s="100"/>
      <c r="H40" s="100"/>
      <c r="I40" s="100"/>
      <c r="J40" s="100"/>
      <c r="K40" s="100"/>
      <c r="L40" s="100"/>
      <c r="M40" s="100"/>
      <c r="N40" s="133"/>
      <c r="O40" s="133"/>
      <c r="P40" s="100"/>
      <c r="Q40" s="133"/>
      <c r="R40" s="133"/>
      <c r="S40" s="100"/>
      <c r="T40" s="100"/>
    </row>
    <row r="41" spans="2:20" ht="18.75" customHeight="1">
      <c r="B41" s="51" t="s">
        <v>1025</v>
      </c>
      <c r="C41" s="73"/>
      <c r="D41" s="73"/>
      <c r="E41" s="73"/>
      <c r="F41" s="73"/>
      <c r="G41" s="73"/>
      <c r="H41" s="73"/>
      <c r="I41" s="73"/>
      <c r="J41" s="73"/>
      <c r="K41" s="73"/>
      <c r="L41" s="73"/>
      <c r="M41" s="73"/>
      <c r="N41" s="75"/>
      <c r="O41" s="75"/>
      <c r="P41" s="73"/>
      <c r="Q41" s="75"/>
      <c r="R41" s="75"/>
      <c r="S41" s="73"/>
      <c r="T41" s="100"/>
    </row>
    <row r="42" spans="2:20" ht="18.75" customHeight="1">
      <c r="B42" s="976" t="s">
        <v>826</v>
      </c>
      <c r="C42" s="976"/>
      <c r="D42" s="976" t="s">
        <v>1029</v>
      </c>
      <c r="E42" s="976"/>
      <c r="F42" s="976"/>
      <c r="G42" s="976"/>
      <c r="H42" s="976"/>
      <c r="I42" s="976"/>
      <c r="J42" s="976"/>
      <c r="K42" s="976"/>
      <c r="L42" s="976"/>
      <c r="M42" s="976"/>
      <c r="N42" s="976"/>
      <c r="O42" s="976"/>
      <c r="P42" s="976"/>
      <c r="Q42" s="976"/>
      <c r="R42" s="976"/>
      <c r="S42" s="976"/>
      <c r="T42" s="100"/>
    </row>
    <row r="43" spans="2:20" ht="22.5" customHeight="1">
      <c r="B43" s="977" t="s">
        <v>1033</v>
      </c>
      <c r="C43" s="978"/>
      <c r="D43" s="989"/>
      <c r="E43" s="990"/>
      <c r="F43" s="990"/>
      <c r="G43" s="990"/>
      <c r="H43" s="990"/>
      <c r="I43" s="990"/>
      <c r="J43" s="990"/>
      <c r="K43" s="990"/>
      <c r="L43" s="990"/>
      <c r="M43" s="990"/>
      <c r="N43" s="990"/>
      <c r="O43" s="990"/>
      <c r="P43" s="990"/>
      <c r="Q43" s="990"/>
      <c r="R43" s="990"/>
      <c r="S43" s="991"/>
      <c r="T43" s="100"/>
    </row>
    <row r="44" spans="2:20"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row>
    <row r="45" spans="2:20" ht="18.75" customHeight="1">
      <c r="B45" s="75"/>
      <c r="C45" s="75"/>
      <c r="D45" s="75"/>
      <c r="E45" s="75"/>
      <c r="F45" s="75"/>
      <c r="G45" s="75"/>
      <c r="H45" s="75"/>
      <c r="I45" s="75"/>
      <c r="J45" s="75"/>
      <c r="K45" s="75"/>
      <c r="L45" s="75"/>
      <c r="M45" s="75"/>
      <c r="N45" s="75"/>
      <c r="O45" s="75"/>
      <c r="P45" s="75"/>
      <c r="Q45" s="75"/>
      <c r="R45" s="75"/>
      <c r="S45" s="75"/>
      <c r="T45" s="100"/>
    </row>
    <row r="46" spans="2:20" ht="18.75" customHeight="1">
      <c r="B46" s="51" t="s">
        <v>1045</v>
      </c>
      <c r="C46" s="73"/>
      <c r="D46" s="73"/>
      <c r="E46" s="73"/>
      <c r="F46" s="73"/>
      <c r="G46" s="73"/>
      <c r="H46" s="73"/>
      <c r="I46" s="73"/>
      <c r="J46" s="73"/>
      <c r="K46" s="73"/>
      <c r="L46" s="73"/>
      <c r="M46" s="73"/>
      <c r="N46" s="75"/>
      <c r="O46" s="75"/>
      <c r="P46" s="73"/>
      <c r="Q46" s="75"/>
      <c r="R46" s="75"/>
      <c r="S46" s="73"/>
      <c r="T46" s="100"/>
    </row>
    <row r="47" spans="2:20"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20"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5" customHeight="1"/>
    <row r="53" spans="2:19" customFormat="1" ht="15" customHeight="1"/>
    <row r="54" spans="2:19" customFormat="1" ht="15" customHeight="1"/>
    <row r="55" spans="2:19" customFormat="1" ht="15" customHeight="1"/>
    <row r="56" spans="2:19" customFormat="1" ht="15" customHeight="1"/>
    <row r="57" spans="2:19" customFormat="1" ht="15" customHeight="1"/>
    <row r="58" spans="2:19" customFormat="1" ht="15" customHeight="1"/>
    <row r="59" spans="2:19" customFormat="1" ht="15" customHeight="1"/>
    <row r="60" spans="2:19" customFormat="1" ht="15" customHeight="1"/>
    <row r="61" spans="2:19" customFormat="1" ht="15" customHeight="1"/>
    <row r="62" spans="2:19" customFormat="1" ht="15" customHeight="1"/>
    <row r="63" spans="2:19" customFormat="1" ht="15" customHeight="1"/>
    <row r="64" spans="2:19" customFormat="1" ht="15" customHeight="1"/>
    <row r="65" customFormat="1" ht="15" customHeight="1"/>
    <row r="66" customFormat="1" ht="15" customHeight="1"/>
    <row r="67" customFormat="1" ht="15" customHeight="1"/>
    <row r="68" s="73" customFormat="1" ht="15" customHeight="1"/>
    <row r="69" s="73" customFormat="1" ht="15" customHeight="1"/>
    <row r="70" s="73" customFormat="1" ht="15" customHeight="1"/>
    <row r="71"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9344DB5A-1D95-4195-9349-CDD96AE1BC61}"/>
  </hyperlinks>
  <pageMargins left="0.7" right="0.7" top="0.75" bottom="0.75" header="0.3" footer="0.3"/>
  <customProperties>
    <customPr name="_pios_id" r:id="rId1"/>
  </customPropertie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2327B-848A-40D8-B8C9-608F00AC1E19}">
  <sheetPr>
    <tabColor rgb="FFFFFF00"/>
  </sheetPr>
  <dimension ref="A1:T96"/>
  <sheetViews>
    <sheetView showGridLines="0" zoomScaleNormal="100" workbookViewId="0">
      <selection activeCell="N19" sqref="N19"/>
    </sheetView>
  </sheetViews>
  <sheetFormatPr defaultColWidth="12.625" defaultRowHeight="16.5"/>
  <cols>
    <col min="1" max="1" width="2.125" style="69" customWidth="1"/>
    <col min="2" max="2" width="5.125" style="69" customWidth="1"/>
    <col min="3" max="3" width="23.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24"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20" width="26.125" style="69" customWidth="1"/>
    <col min="21" max="24" width="2.125" style="69" customWidth="1"/>
    <col min="25" max="16384" width="12.625" style="69"/>
  </cols>
  <sheetData>
    <row r="1" spans="1:20" ht="9.6" customHeight="1" thickBot="1">
      <c r="A1" s="67" t="s">
        <v>814</v>
      </c>
    </row>
    <row r="2" spans="1:20" ht="23.1" customHeight="1">
      <c r="B2" s="992" t="s">
        <v>3558</v>
      </c>
      <c r="C2" s="993"/>
      <c r="D2" s="993"/>
      <c r="E2" s="993"/>
      <c r="F2" s="993"/>
      <c r="G2" s="993"/>
      <c r="H2" s="993"/>
      <c r="I2" s="994"/>
      <c r="J2" s="70" t="s">
        <v>816</v>
      </c>
      <c r="K2" s="998" t="s">
        <v>145</v>
      </c>
      <c r="L2" s="999"/>
      <c r="M2" s="999"/>
      <c r="N2" s="1000"/>
      <c r="O2" s="70" t="s">
        <v>817</v>
      </c>
      <c r="P2" s="1001" t="s">
        <v>818</v>
      </c>
      <c r="Q2" s="1001"/>
      <c r="R2" s="1001"/>
      <c r="S2" s="1002"/>
      <c r="T2" s="71"/>
    </row>
    <row r="3" spans="1:20" ht="22.35" customHeight="1" thickBot="1">
      <c r="B3" s="995"/>
      <c r="C3" s="996"/>
      <c r="D3" s="996"/>
      <c r="E3" s="996"/>
      <c r="F3" s="996"/>
      <c r="G3" s="996"/>
      <c r="H3" s="996"/>
      <c r="I3" s="997"/>
      <c r="J3" s="72" t="s">
        <v>819</v>
      </c>
      <c r="K3" s="1003" t="s">
        <v>820</v>
      </c>
      <c r="L3" s="1004"/>
      <c r="M3" s="1004"/>
      <c r="N3" s="1005"/>
      <c r="O3" s="72" t="s">
        <v>821</v>
      </c>
      <c r="P3" s="1006">
        <v>0.1</v>
      </c>
      <c r="Q3" s="1006"/>
      <c r="R3" s="1006"/>
      <c r="S3" s="1007"/>
      <c r="T3" s="73"/>
    </row>
    <row r="4" spans="1:20" ht="26.1" customHeight="1" thickBot="1">
      <c r="B4" s="74" t="s">
        <v>822</v>
      </c>
      <c r="C4" s="73"/>
      <c r="D4" s="73"/>
      <c r="E4" s="73"/>
      <c r="F4" s="73"/>
      <c r="G4" s="73"/>
      <c r="H4" s="73"/>
      <c r="I4" s="73"/>
      <c r="J4" s="73"/>
      <c r="K4" s="73"/>
      <c r="L4" s="73"/>
      <c r="M4" s="73"/>
      <c r="N4" s="75"/>
      <c r="O4" s="75"/>
      <c r="P4" s="73"/>
      <c r="Q4" s="75"/>
      <c r="R4" s="75"/>
      <c r="S4" s="73"/>
      <c r="T4" s="73"/>
    </row>
    <row r="5" spans="1:20">
      <c r="B5" s="979" t="s">
        <v>823</v>
      </c>
      <c r="C5" s="980"/>
      <c r="D5" s="980"/>
      <c r="E5" s="980"/>
      <c r="F5" s="980"/>
      <c r="G5" s="980"/>
      <c r="H5" s="981"/>
      <c r="I5" s="982" t="s">
        <v>1390</v>
      </c>
      <c r="J5" s="980"/>
      <c r="K5" s="980"/>
      <c r="L5" s="980"/>
      <c r="M5" s="980"/>
      <c r="N5" s="980"/>
      <c r="O5" s="980"/>
      <c r="P5" s="980"/>
      <c r="Q5" s="980"/>
      <c r="R5" s="983" t="s">
        <v>825</v>
      </c>
      <c r="S5" s="985" t="s">
        <v>826</v>
      </c>
      <c r="T5" s="73"/>
    </row>
    <row r="6" spans="1:20" ht="32.1" customHeight="1">
      <c r="B6" s="78" t="s">
        <v>828</v>
      </c>
      <c r="C6" s="987"/>
      <c r="D6" s="984"/>
      <c r="E6" s="984"/>
      <c r="F6" s="984"/>
      <c r="G6" s="984"/>
      <c r="H6" s="986"/>
      <c r="I6" s="102" t="s">
        <v>829</v>
      </c>
      <c r="J6" s="988" t="s">
        <v>830</v>
      </c>
      <c r="K6" s="984"/>
      <c r="L6" s="984"/>
      <c r="M6" s="984"/>
      <c r="N6" s="984"/>
      <c r="O6" s="984"/>
      <c r="P6" s="984"/>
      <c r="Q6" s="984"/>
      <c r="R6" s="984"/>
      <c r="S6" s="986"/>
      <c r="T6" s="73"/>
    </row>
    <row r="7" spans="1:20"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c r="T7" s="73"/>
    </row>
    <row r="8" spans="1:20" s="73" customFormat="1" ht="13.5">
      <c r="B8" s="104">
        <v>1</v>
      </c>
      <c r="C8" s="342" t="s">
        <v>3559</v>
      </c>
      <c r="D8" s="119"/>
      <c r="E8" s="107"/>
      <c r="F8" s="107"/>
      <c r="G8" s="108"/>
      <c r="H8" s="109"/>
      <c r="I8" s="110">
        <v>1</v>
      </c>
      <c r="J8" s="117" t="s">
        <v>3560</v>
      </c>
      <c r="K8" s="112" t="s">
        <v>42</v>
      </c>
      <c r="L8" s="113" t="s">
        <v>1354</v>
      </c>
      <c r="M8" s="112">
        <v>1000</v>
      </c>
      <c r="N8" s="114" t="s">
        <v>3561</v>
      </c>
      <c r="O8" s="114" t="s">
        <v>3562</v>
      </c>
      <c r="P8" s="112"/>
      <c r="Q8" s="112"/>
      <c r="R8" s="114"/>
      <c r="S8" s="134"/>
    </row>
    <row r="9" spans="1:20" s="73" customFormat="1" ht="13.5">
      <c r="B9" s="104">
        <v>2</v>
      </c>
      <c r="C9" s="105" t="s">
        <v>3563</v>
      </c>
      <c r="D9" s="119"/>
      <c r="E9" s="107"/>
      <c r="F9" s="107"/>
      <c r="G9" s="108"/>
      <c r="H9" s="109"/>
      <c r="I9" s="110">
        <v>2</v>
      </c>
      <c r="J9" s="117" t="s">
        <v>3564</v>
      </c>
      <c r="K9" s="119" t="s">
        <v>42</v>
      </c>
      <c r="L9" s="113" t="s">
        <v>1354</v>
      </c>
      <c r="M9" s="112">
        <v>1000</v>
      </c>
      <c r="N9" s="114" t="s">
        <v>2981</v>
      </c>
      <c r="O9" s="114" t="s">
        <v>2981</v>
      </c>
      <c r="P9" s="112"/>
      <c r="Q9" s="112"/>
      <c r="R9" s="114"/>
      <c r="S9" s="134"/>
      <c r="T9" s="71"/>
    </row>
    <row r="10" spans="1:20" s="73" customFormat="1" ht="13.5">
      <c r="B10" s="104">
        <v>3</v>
      </c>
      <c r="C10" s="105" t="s">
        <v>2975</v>
      </c>
      <c r="D10" s="119"/>
      <c r="E10" s="107"/>
      <c r="F10" s="107"/>
      <c r="G10" s="108"/>
      <c r="H10" s="109"/>
      <c r="I10" s="110">
        <v>3</v>
      </c>
      <c r="J10" s="117" t="s">
        <v>1271</v>
      </c>
      <c r="K10" s="119" t="s">
        <v>42</v>
      </c>
      <c r="L10" s="113" t="s">
        <v>1354</v>
      </c>
      <c r="M10" s="112">
        <v>1000</v>
      </c>
      <c r="N10" s="114" t="s">
        <v>1548</v>
      </c>
      <c r="O10" s="114" t="s">
        <v>1070</v>
      </c>
      <c r="P10" s="112"/>
      <c r="Q10" s="112"/>
      <c r="R10" s="114"/>
      <c r="S10" s="134"/>
      <c r="T10" s="71"/>
    </row>
    <row r="11" spans="1:20" s="73" customFormat="1" ht="13.5">
      <c r="B11" s="104">
        <v>4</v>
      </c>
      <c r="C11" s="105" t="s">
        <v>2131</v>
      </c>
      <c r="D11" s="119"/>
      <c r="E11" s="107"/>
      <c r="F11" s="107"/>
      <c r="G11" s="108"/>
      <c r="H11" s="109"/>
      <c r="I11" s="110">
        <v>4</v>
      </c>
      <c r="J11" s="118" t="s">
        <v>1405</v>
      </c>
      <c r="K11" s="119"/>
      <c r="L11" s="113" t="s">
        <v>1354</v>
      </c>
      <c r="M11" s="112">
        <v>1000</v>
      </c>
      <c r="N11" s="108" t="s">
        <v>1404</v>
      </c>
      <c r="O11" s="108" t="s">
        <v>1405</v>
      </c>
      <c r="P11" s="119"/>
      <c r="Q11" s="119"/>
      <c r="R11" s="108"/>
      <c r="S11" s="134"/>
    </row>
    <row r="12" spans="1:20" s="73" customFormat="1" ht="13.5">
      <c r="B12" s="104">
        <v>5</v>
      </c>
      <c r="C12" s="105" t="s">
        <v>2129</v>
      </c>
      <c r="D12" s="119"/>
      <c r="E12" s="107"/>
      <c r="F12" s="107"/>
      <c r="G12" s="108"/>
      <c r="H12" s="109"/>
      <c r="I12" s="110">
        <v>5</v>
      </c>
      <c r="J12" s="118" t="s">
        <v>1101</v>
      </c>
      <c r="K12" s="119"/>
      <c r="L12" s="113" t="s">
        <v>1354</v>
      </c>
      <c r="M12" s="112">
        <v>1000</v>
      </c>
      <c r="N12" s="108" t="s">
        <v>1101</v>
      </c>
      <c r="O12" s="108" t="s">
        <v>1101</v>
      </c>
      <c r="P12" s="119"/>
      <c r="Q12" s="119"/>
      <c r="R12" s="108"/>
      <c r="S12" s="134"/>
    </row>
    <row r="13" spans="1:20" s="73" customFormat="1" ht="13.5">
      <c r="B13" s="104">
        <v>6</v>
      </c>
      <c r="C13" s="105" t="s">
        <v>3222</v>
      </c>
      <c r="D13" s="119"/>
      <c r="E13" s="107"/>
      <c r="F13" s="107"/>
      <c r="G13" s="108"/>
      <c r="H13" s="109"/>
      <c r="I13" s="110">
        <v>6</v>
      </c>
      <c r="J13" s="118" t="s">
        <v>3565</v>
      </c>
      <c r="K13" s="119"/>
      <c r="L13" s="113" t="s">
        <v>1354</v>
      </c>
      <c r="M13" s="112">
        <v>1000</v>
      </c>
      <c r="N13" s="108" t="s">
        <v>3223</v>
      </c>
      <c r="O13" s="108" t="s">
        <v>3566</v>
      </c>
      <c r="P13" s="119"/>
      <c r="Q13" s="112"/>
      <c r="R13" s="114"/>
      <c r="S13" s="134"/>
    </row>
    <row r="14" spans="1:20" s="73" customFormat="1" ht="13.5">
      <c r="B14" s="104">
        <v>7</v>
      </c>
      <c r="C14" s="105" t="s">
        <v>3225</v>
      </c>
      <c r="D14" s="119"/>
      <c r="E14" s="107"/>
      <c r="F14" s="107"/>
      <c r="G14" s="108"/>
      <c r="H14" s="109"/>
      <c r="I14" s="110">
        <v>7</v>
      </c>
      <c r="J14" s="118" t="s">
        <v>3567</v>
      </c>
      <c r="K14" s="106"/>
      <c r="L14" s="113" t="s">
        <v>1354</v>
      </c>
      <c r="M14" s="112">
        <v>1000</v>
      </c>
      <c r="N14" s="108" t="s">
        <v>3226</v>
      </c>
      <c r="O14" s="108" t="s">
        <v>3568</v>
      </c>
      <c r="P14" s="119"/>
      <c r="Q14" s="112"/>
      <c r="R14" s="114"/>
      <c r="S14" s="134"/>
    </row>
    <row r="15" spans="1:20" s="73" customFormat="1" ht="27">
      <c r="B15" s="104">
        <v>8</v>
      </c>
      <c r="C15" s="105" t="s">
        <v>3228</v>
      </c>
      <c r="D15" s="119"/>
      <c r="E15" s="107"/>
      <c r="F15" s="107"/>
      <c r="G15" s="108"/>
      <c r="H15" s="109"/>
      <c r="I15" s="110">
        <v>8</v>
      </c>
      <c r="J15" s="118" t="s">
        <v>3569</v>
      </c>
      <c r="K15" s="106"/>
      <c r="L15" s="113" t="s">
        <v>1354</v>
      </c>
      <c r="M15" s="112">
        <v>1000</v>
      </c>
      <c r="N15" s="108" t="s">
        <v>3229</v>
      </c>
      <c r="O15" s="108" t="s">
        <v>3570</v>
      </c>
      <c r="P15" s="119"/>
      <c r="Q15" s="112"/>
      <c r="R15" s="114"/>
      <c r="S15" s="134"/>
    </row>
    <row r="16" spans="1:20" s="73" customFormat="1" ht="13.5">
      <c r="B16" s="104">
        <v>9</v>
      </c>
      <c r="C16" s="105" t="s">
        <v>3571</v>
      </c>
      <c r="D16" s="119"/>
      <c r="E16" s="107"/>
      <c r="F16" s="107"/>
      <c r="G16" s="108"/>
      <c r="H16" s="109"/>
      <c r="I16" s="110">
        <v>9</v>
      </c>
      <c r="J16" s="118" t="s">
        <v>3572</v>
      </c>
      <c r="K16" s="106"/>
      <c r="L16" s="113" t="s">
        <v>1354</v>
      </c>
      <c r="M16" s="112">
        <v>1000</v>
      </c>
      <c r="N16" s="108" t="s">
        <v>3232</v>
      </c>
      <c r="O16" s="108" t="s">
        <v>3573</v>
      </c>
      <c r="P16" s="119"/>
      <c r="Q16" s="112"/>
      <c r="R16" s="114"/>
      <c r="S16" s="134"/>
    </row>
    <row r="17" spans="2:19" s="73" customFormat="1" ht="13.5">
      <c r="B17" s="104">
        <v>10</v>
      </c>
      <c r="C17" s="105" t="s">
        <v>3234</v>
      </c>
      <c r="D17" s="119"/>
      <c r="E17" s="107"/>
      <c r="F17" s="107"/>
      <c r="G17" s="108"/>
      <c r="H17" s="109"/>
      <c r="I17" s="110">
        <v>10</v>
      </c>
      <c r="J17" s="117" t="s">
        <v>3574</v>
      </c>
      <c r="K17" s="120"/>
      <c r="L17" s="113" t="s">
        <v>1354</v>
      </c>
      <c r="M17" s="112">
        <v>1000</v>
      </c>
      <c r="N17" s="108" t="s">
        <v>3235</v>
      </c>
      <c r="O17" s="108" t="s">
        <v>3575</v>
      </c>
      <c r="P17" s="112"/>
      <c r="Q17" s="112"/>
      <c r="R17" s="114"/>
      <c r="S17" s="134"/>
    </row>
    <row r="18" spans="2:19" s="73" customFormat="1" ht="13.5">
      <c r="B18" s="104">
        <v>11</v>
      </c>
      <c r="C18" s="105" t="s">
        <v>3237</v>
      </c>
      <c r="D18" s="119"/>
      <c r="E18" s="107"/>
      <c r="F18" s="107"/>
      <c r="G18" s="108"/>
      <c r="H18" s="109"/>
      <c r="I18" s="110">
        <v>11</v>
      </c>
      <c r="J18" s="117" t="s">
        <v>3576</v>
      </c>
      <c r="K18" s="112"/>
      <c r="L18" s="113" t="s">
        <v>1354</v>
      </c>
      <c r="M18" s="112">
        <v>1000</v>
      </c>
      <c r="N18" s="114" t="s">
        <v>3238</v>
      </c>
      <c r="O18" s="114" t="s">
        <v>3577</v>
      </c>
      <c r="P18" s="112"/>
      <c r="Q18" s="112"/>
      <c r="R18" s="114"/>
      <c r="S18" s="134"/>
    </row>
    <row r="19" spans="2:19" s="73" customFormat="1" ht="13.5">
      <c r="B19" s="104">
        <v>12</v>
      </c>
      <c r="C19" s="121" t="s">
        <v>3241</v>
      </c>
      <c r="D19" s="119"/>
      <c r="E19" s="107"/>
      <c r="F19" s="107"/>
      <c r="G19" s="108"/>
      <c r="H19" s="109"/>
      <c r="I19" s="110">
        <v>12</v>
      </c>
      <c r="J19" s="117" t="s">
        <v>3578</v>
      </c>
      <c r="K19" s="120"/>
      <c r="L19" s="113" t="s">
        <v>1354</v>
      </c>
      <c r="M19" s="112">
        <v>1000</v>
      </c>
      <c r="N19" s="114" t="s">
        <v>3242</v>
      </c>
      <c r="O19" s="114" t="s">
        <v>3579</v>
      </c>
      <c r="P19" s="112"/>
      <c r="Q19" s="112"/>
      <c r="R19" s="114"/>
      <c r="S19" s="134"/>
    </row>
    <row r="20" spans="2:19" s="73" customFormat="1" ht="13.5">
      <c r="B20" s="104">
        <v>13</v>
      </c>
      <c r="C20" s="121" t="s">
        <v>3243</v>
      </c>
      <c r="D20" s="119"/>
      <c r="E20" s="107"/>
      <c r="F20" s="107"/>
      <c r="G20" s="108"/>
      <c r="H20" s="109"/>
      <c r="I20" s="110">
        <v>13</v>
      </c>
      <c r="J20" s="117" t="s">
        <v>3580</v>
      </c>
      <c r="K20" s="120"/>
      <c r="L20" s="113" t="s">
        <v>1354</v>
      </c>
      <c r="M20" s="112">
        <v>1000</v>
      </c>
      <c r="N20" s="114" t="s">
        <v>3244</v>
      </c>
      <c r="O20" s="114" t="s">
        <v>3581</v>
      </c>
      <c r="P20" s="112"/>
      <c r="Q20" s="112"/>
      <c r="R20" s="114"/>
      <c r="S20" s="134"/>
    </row>
    <row r="21" spans="2:19" s="73" customFormat="1" ht="13.5">
      <c r="B21" s="104">
        <v>14</v>
      </c>
      <c r="C21" s="121" t="s">
        <v>3245</v>
      </c>
      <c r="D21" s="119"/>
      <c r="E21" s="107"/>
      <c r="F21" s="107"/>
      <c r="G21" s="108"/>
      <c r="H21" s="109"/>
      <c r="I21" s="110">
        <v>14</v>
      </c>
      <c r="J21" s="118" t="s">
        <v>3582</v>
      </c>
      <c r="K21" s="119"/>
      <c r="L21" s="113" t="s">
        <v>1354</v>
      </c>
      <c r="M21" s="112">
        <v>1000</v>
      </c>
      <c r="N21" s="108" t="s">
        <v>3246</v>
      </c>
      <c r="O21" s="108" t="s">
        <v>3583</v>
      </c>
      <c r="P21" s="119"/>
      <c r="Q21" s="119"/>
      <c r="R21" s="108"/>
      <c r="S21" s="134"/>
    </row>
    <row r="22" spans="2:19" s="73" customFormat="1" ht="13.5">
      <c r="B22" s="104">
        <v>15</v>
      </c>
      <c r="C22" s="121" t="s">
        <v>3247</v>
      </c>
      <c r="D22" s="119"/>
      <c r="E22" s="107"/>
      <c r="F22" s="107"/>
      <c r="G22" s="108"/>
      <c r="H22" s="109"/>
      <c r="I22" s="110">
        <v>15</v>
      </c>
      <c r="J22" s="118" t="s">
        <v>3584</v>
      </c>
      <c r="K22" s="119"/>
      <c r="L22" s="113" t="s">
        <v>1354</v>
      </c>
      <c r="M22" s="112">
        <v>1000</v>
      </c>
      <c r="N22" s="108" t="s">
        <v>3248</v>
      </c>
      <c r="O22" s="108" t="s">
        <v>3585</v>
      </c>
      <c r="P22" s="119"/>
      <c r="Q22" s="119"/>
      <c r="R22" s="108"/>
      <c r="S22" s="134"/>
    </row>
    <row r="23" spans="2:19" s="73" customFormat="1" ht="13.5">
      <c r="B23" s="104">
        <v>16</v>
      </c>
      <c r="C23" s="121" t="s">
        <v>3249</v>
      </c>
      <c r="D23" s="119"/>
      <c r="E23" s="107"/>
      <c r="F23" s="107"/>
      <c r="G23" s="108"/>
      <c r="H23" s="109"/>
      <c r="I23" s="110">
        <v>16</v>
      </c>
      <c r="J23" s="105" t="s">
        <v>3586</v>
      </c>
      <c r="K23" s="119"/>
      <c r="L23" s="113" t="s">
        <v>1354</v>
      </c>
      <c r="M23" s="112">
        <v>1000</v>
      </c>
      <c r="N23" s="114" t="s">
        <v>3250</v>
      </c>
      <c r="O23" s="114" t="s">
        <v>3587</v>
      </c>
      <c r="P23" s="119"/>
      <c r="Q23" s="119"/>
      <c r="R23" s="108"/>
      <c r="S23" s="134"/>
    </row>
    <row r="24" spans="2:19" s="73" customFormat="1" ht="13.5">
      <c r="B24" s="104">
        <v>17</v>
      </c>
      <c r="C24" s="121" t="s">
        <v>3251</v>
      </c>
      <c r="D24" s="119"/>
      <c r="E24" s="107"/>
      <c r="F24" s="107"/>
      <c r="G24" s="108"/>
      <c r="H24" s="109"/>
      <c r="I24" s="110">
        <v>17</v>
      </c>
      <c r="J24" s="105" t="s">
        <v>3588</v>
      </c>
      <c r="K24" s="119"/>
      <c r="L24" s="113" t="s">
        <v>1354</v>
      </c>
      <c r="M24" s="112">
        <v>1000</v>
      </c>
      <c r="N24" s="114" t="s">
        <v>3252</v>
      </c>
      <c r="O24" s="114" t="s">
        <v>3589</v>
      </c>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54" t="s">
        <v>916</v>
      </c>
      <c r="K26" s="155"/>
      <c r="L26" s="156" t="s">
        <v>917</v>
      </c>
      <c r="M26" s="157"/>
      <c r="N26" s="158" t="s">
        <v>918</v>
      </c>
      <c r="O26" s="158" t="s">
        <v>919</v>
      </c>
      <c r="P26" s="157"/>
      <c r="Q26" s="157"/>
      <c r="R26" s="159"/>
      <c r="S26" s="160"/>
    </row>
    <row r="27" spans="2:19" s="73" customFormat="1" ht="13.5">
      <c r="B27" s="104">
        <v>20</v>
      </c>
      <c r="C27" s="121"/>
      <c r="D27" s="119"/>
      <c r="E27" s="107"/>
      <c r="F27" s="107"/>
      <c r="G27" s="108"/>
      <c r="H27" s="109"/>
      <c r="I27" s="110">
        <v>20</v>
      </c>
      <c r="J27" s="154" t="s">
        <v>927</v>
      </c>
      <c r="K27" s="157"/>
      <c r="L27" s="156" t="s">
        <v>928</v>
      </c>
      <c r="M27" s="157">
        <v>30</v>
      </c>
      <c r="N27" s="159" t="s">
        <v>929</v>
      </c>
      <c r="O27" s="159" t="s">
        <v>930</v>
      </c>
      <c r="P27" s="157"/>
      <c r="Q27" s="157"/>
      <c r="R27" s="159"/>
      <c r="S27" s="160"/>
    </row>
    <row r="28" spans="2:19" s="73" customFormat="1" ht="13.5">
      <c r="B28" s="104">
        <v>21</v>
      </c>
      <c r="C28" s="121"/>
      <c r="D28" s="119"/>
      <c r="E28" s="107"/>
      <c r="F28" s="107"/>
      <c r="G28" s="108"/>
      <c r="H28" s="109"/>
      <c r="I28" s="110">
        <v>21</v>
      </c>
      <c r="J28" s="154" t="s">
        <v>938</v>
      </c>
      <c r="K28" s="157"/>
      <c r="L28" s="156" t="s">
        <v>917</v>
      </c>
      <c r="M28" s="157"/>
      <c r="N28" s="159" t="s">
        <v>939</v>
      </c>
      <c r="O28" s="159" t="s">
        <v>940</v>
      </c>
      <c r="P28" s="157"/>
      <c r="Q28" s="157"/>
      <c r="R28" s="159"/>
      <c r="S28" s="160"/>
    </row>
    <row r="29" spans="2:19" s="73" customFormat="1" ht="13.5">
      <c r="B29" s="104">
        <v>22</v>
      </c>
      <c r="C29" s="121"/>
      <c r="D29" s="119"/>
      <c r="E29" s="107"/>
      <c r="F29" s="107"/>
      <c r="G29" s="108"/>
      <c r="H29" s="109"/>
      <c r="I29" s="110">
        <v>22</v>
      </c>
      <c r="J29" s="154" t="s">
        <v>948</v>
      </c>
      <c r="K29" s="157"/>
      <c r="L29" s="156" t="s">
        <v>949</v>
      </c>
      <c r="M29" s="157"/>
      <c r="N29" s="159" t="s">
        <v>950</v>
      </c>
      <c r="O29" s="159" t="s">
        <v>951</v>
      </c>
      <c r="P29" s="157"/>
      <c r="Q29" s="157"/>
      <c r="R29" s="159"/>
      <c r="S29" s="160"/>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20" s="73" customFormat="1" ht="13.5">
      <c r="B33" s="104">
        <v>26</v>
      </c>
      <c r="C33" s="121"/>
      <c r="D33" s="119"/>
      <c r="E33" s="107"/>
      <c r="F33" s="107"/>
      <c r="G33" s="108"/>
      <c r="H33" s="109"/>
      <c r="I33" s="110">
        <v>26</v>
      </c>
      <c r="J33" s="105"/>
      <c r="K33" s="119"/>
      <c r="L33" s="113"/>
      <c r="M33" s="112"/>
      <c r="N33" s="114"/>
      <c r="O33" s="114"/>
      <c r="P33" s="119"/>
      <c r="Q33" s="119"/>
      <c r="R33" s="108"/>
      <c r="S33" s="134"/>
    </row>
    <row r="34" spans="2:20" s="73" customFormat="1" ht="13.5">
      <c r="B34" s="104">
        <v>27</v>
      </c>
      <c r="C34" s="121"/>
      <c r="D34" s="119"/>
      <c r="E34" s="107"/>
      <c r="F34" s="107"/>
      <c r="G34" s="108"/>
      <c r="H34" s="109"/>
      <c r="I34" s="110">
        <v>27</v>
      </c>
      <c r="J34" s="105"/>
      <c r="K34" s="119"/>
      <c r="L34" s="113"/>
      <c r="M34" s="112"/>
      <c r="N34" s="114"/>
      <c r="O34" s="114"/>
      <c r="P34" s="119"/>
      <c r="Q34" s="119"/>
      <c r="R34" s="108"/>
      <c r="S34" s="134"/>
    </row>
    <row r="35" spans="2:20" s="73" customFormat="1" ht="13.5">
      <c r="B35" s="104">
        <v>28</v>
      </c>
      <c r="C35" s="121"/>
      <c r="D35" s="119"/>
      <c r="E35" s="107"/>
      <c r="F35" s="107"/>
      <c r="G35" s="108"/>
      <c r="H35" s="109"/>
      <c r="I35" s="110">
        <v>28</v>
      </c>
      <c r="J35" s="105"/>
      <c r="K35" s="119"/>
      <c r="L35" s="113"/>
      <c r="M35" s="112"/>
      <c r="N35" s="114"/>
      <c r="O35" s="114"/>
      <c r="P35" s="119"/>
      <c r="Q35" s="119"/>
      <c r="R35" s="108"/>
      <c r="S35" s="134"/>
    </row>
    <row r="36" spans="2:20" s="73" customFormat="1" ht="13.5">
      <c r="B36" s="104">
        <v>29</v>
      </c>
      <c r="C36" s="121"/>
      <c r="D36" s="119"/>
      <c r="E36" s="107"/>
      <c r="F36" s="107"/>
      <c r="G36" s="108"/>
      <c r="H36" s="109"/>
      <c r="I36" s="110">
        <v>29</v>
      </c>
      <c r="J36" s="105"/>
      <c r="K36" s="119"/>
      <c r="L36" s="113"/>
      <c r="M36" s="112"/>
      <c r="N36" s="114"/>
      <c r="O36" s="114"/>
      <c r="P36" s="119"/>
      <c r="Q36" s="119"/>
      <c r="R36" s="108"/>
      <c r="S36" s="134"/>
    </row>
    <row r="37" spans="2:20" s="73" customFormat="1" ht="13.5">
      <c r="B37" s="104">
        <v>30</v>
      </c>
      <c r="C37" s="121"/>
      <c r="D37" s="119"/>
      <c r="E37" s="107"/>
      <c r="F37" s="107"/>
      <c r="G37" s="108"/>
      <c r="H37" s="109"/>
      <c r="I37" s="110">
        <v>30</v>
      </c>
      <c r="J37" s="105"/>
      <c r="K37" s="119"/>
      <c r="L37" s="113"/>
      <c r="M37" s="112"/>
      <c r="N37" s="114"/>
      <c r="O37" s="114"/>
      <c r="P37" s="119"/>
      <c r="Q37" s="119"/>
      <c r="R37" s="108"/>
      <c r="S37" s="134"/>
    </row>
    <row r="38" spans="2:20" s="73" customFormat="1" ht="13.5">
      <c r="B38" s="104">
        <v>31</v>
      </c>
      <c r="C38" s="121"/>
      <c r="D38" s="119"/>
      <c r="E38" s="107"/>
      <c r="F38" s="107"/>
      <c r="G38" s="108"/>
      <c r="H38" s="109"/>
      <c r="I38" s="110">
        <v>31</v>
      </c>
      <c r="J38" s="105"/>
      <c r="K38" s="119"/>
      <c r="L38" s="113"/>
      <c r="M38" s="112"/>
      <c r="N38" s="114"/>
      <c r="O38" s="114"/>
      <c r="P38" s="119"/>
      <c r="Q38" s="119"/>
      <c r="R38" s="108"/>
      <c r="S38" s="134"/>
    </row>
    <row r="39" spans="2:20" s="73" customFormat="1" ht="14.25" thickBot="1">
      <c r="B39" s="129"/>
      <c r="C39" s="130"/>
      <c r="D39" s="131"/>
      <c r="E39" s="131"/>
      <c r="F39" s="131"/>
      <c r="G39" s="131"/>
      <c r="H39" s="132"/>
      <c r="I39" s="135"/>
      <c r="J39" s="130"/>
      <c r="K39" s="131"/>
      <c r="L39" s="130"/>
      <c r="M39" s="131"/>
      <c r="N39" s="131"/>
      <c r="O39" s="131"/>
      <c r="P39" s="131"/>
      <c r="Q39" s="131"/>
      <c r="R39" s="131"/>
      <c r="S39" s="136"/>
    </row>
    <row r="40" spans="2:20" ht="18.75" customHeight="1">
      <c r="B40" s="100"/>
      <c r="C40" s="100"/>
      <c r="D40" s="100"/>
      <c r="E40" s="100"/>
      <c r="F40" s="100"/>
      <c r="G40" s="100"/>
      <c r="H40" s="100"/>
      <c r="I40" s="100"/>
      <c r="J40" s="100"/>
      <c r="K40" s="100"/>
      <c r="L40" s="100"/>
      <c r="M40" s="100"/>
      <c r="N40" s="133"/>
      <c r="O40" s="133"/>
      <c r="P40" s="100"/>
      <c r="Q40" s="133"/>
      <c r="R40" s="133"/>
      <c r="S40" s="100"/>
      <c r="T40" s="100"/>
    </row>
    <row r="41" spans="2:20" ht="18.75" customHeight="1">
      <c r="B41" s="51" t="s">
        <v>1025</v>
      </c>
      <c r="C41" s="73"/>
      <c r="D41" s="73"/>
      <c r="E41" s="73"/>
      <c r="F41" s="73"/>
      <c r="G41" s="73"/>
      <c r="H41" s="73"/>
      <c r="I41" s="73"/>
      <c r="J41" s="73"/>
      <c r="K41" s="73"/>
      <c r="L41" s="73"/>
      <c r="M41" s="73"/>
      <c r="N41" s="75"/>
      <c r="O41" s="75"/>
      <c r="P41" s="73"/>
      <c r="Q41" s="75"/>
      <c r="R41" s="75"/>
      <c r="S41" s="73"/>
      <c r="T41" s="100"/>
    </row>
    <row r="42" spans="2:20" ht="18.75" customHeight="1">
      <c r="B42" s="976" t="s">
        <v>826</v>
      </c>
      <c r="C42" s="976"/>
      <c r="D42" s="976" t="s">
        <v>1029</v>
      </c>
      <c r="E42" s="976"/>
      <c r="F42" s="976"/>
      <c r="G42" s="976"/>
      <c r="H42" s="976"/>
      <c r="I42" s="976"/>
      <c r="J42" s="976"/>
      <c r="K42" s="976"/>
      <c r="L42" s="976"/>
      <c r="M42" s="976"/>
      <c r="N42" s="976"/>
      <c r="O42" s="976"/>
      <c r="P42" s="976"/>
      <c r="Q42" s="976"/>
      <c r="R42" s="976"/>
      <c r="S42" s="976"/>
      <c r="T42" s="100"/>
    </row>
    <row r="43" spans="2:20" ht="22.5" customHeight="1">
      <c r="B43" s="977" t="s">
        <v>1033</v>
      </c>
      <c r="C43" s="978"/>
      <c r="D43" s="989"/>
      <c r="E43" s="990"/>
      <c r="F43" s="990"/>
      <c r="G43" s="990"/>
      <c r="H43" s="990"/>
      <c r="I43" s="990"/>
      <c r="J43" s="990"/>
      <c r="K43" s="990"/>
      <c r="L43" s="990"/>
      <c r="M43" s="990"/>
      <c r="N43" s="990"/>
      <c r="O43" s="990"/>
      <c r="P43" s="990"/>
      <c r="Q43" s="990"/>
      <c r="R43" s="990"/>
      <c r="S43" s="991"/>
      <c r="T43" s="100"/>
    </row>
    <row r="44" spans="2:20" ht="24.75" customHeight="1">
      <c r="B44" s="1008" t="s">
        <v>1038</v>
      </c>
      <c r="C44" s="1009"/>
      <c r="D44" s="1010"/>
      <c r="E44" s="1011"/>
      <c r="F44" s="1011"/>
      <c r="G44" s="1011"/>
      <c r="H44" s="1011"/>
      <c r="I44" s="1011"/>
      <c r="J44" s="1011"/>
      <c r="K44" s="1011"/>
      <c r="L44" s="1011"/>
      <c r="M44" s="1011"/>
      <c r="N44" s="1011"/>
      <c r="O44" s="1011"/>
      <c r="P44" s="1011"/>
      <c r="Q44" s="1011"/>
      <c r="R44" s="1011"/>
      <c r="S44" s="1012"/>
      <c r="T44" s="100"/>
    </row>
    <row r="45" spans="2:20" ht="18.75" customHeight="1">
      <c r="B45" s="75"/>
      <c r="C45" s="75"/>
      <c r="D45" s="75"/>
      <c r="E45" s="75"/>
      <c r="F45" s="75"/>
      <c r="G45" s="75"/>
      <c r="H45" s="75"/>
      <c r="I45" s="75"/>
      <c r="J45" s="75"/>
      <c r="K45" s="75"/>
      <c r="L45" s="75"/>
      <c r="M45" s="75"/>
      <c r="N45" s="75"/>
      <c r="O45" s="75"/>
      <c r="P45" s="75"/>
      <c r="Q45" s="75"/>
      <c r="R45" s="75"/>
      <c r="S45" s="75"/>
      <c r="T45" s="100"/>
    </row>
    <row r="46" spans="2:20" ht="18.75" customHeight="1">
      <c r="B46" s="51" t="s">
        <v>1045</v>
      </c>
      <c r="C46" s="73"/>
      <c r="D46" s="73"/>
      <c r="E46" s="73"/>
      <c r="F46" s="73"/>
      <c r="G46" s="73"/>
      <c r="H46" s="73"/>
      <c r="I46" s="73"/>
      <c r="J46" s="73"/>
      <c r="K46" s="73"/>
      <c r="L46" s="73"/>
      <c r="M46" s="73"/>
      <c r="N46" s="75"/>
      <c r="O46" s="75"/>
      <c r="P46" s="73"/>
      <c r="Q46" s="75"/>
      <c r="R46" s="75"/>
      <c r="S46" s="73"/>
      <c r="T46" s="100"/>
    </row>
    <row r="47" spans="2:20"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20"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s="73" customFormat="1" ht="15" customHeight="1"/>
    <row r="53" spans="2:19" s="73" customFormat="1" ht="15" customHeight="1"/>
    <row r="54" spans="2:19" s="73" customFormat="1" ht="15" customHeight="1"/>
    <row r="55" spans="2:19" s="73" customFormat="1" ht="15" customHeight="1"/>
    <row r="56" spans="2:19" s="73" customFormat="1" ht="15" customHeight="1"/>
    <row r="57" spans="2:19" s="73" customFormat="1" ht="15" customHeight="1"/>
    <row r="58" spans="2:19" s="73" customFormat="1" ht="15" customHeight="1"/>
    <row r="59" spans="2:19" s="73" customFormat="1" ht="15" customHeight="1"/>
    <row r="60" spans="2:19" s="73" customFormat="1" ht="15" customHeight="1"/>
    <row r="61" spans="2:19" s="73" customFormat="1" ht="15" customHeight="1"/>
    <row r="62" spans="2:19" s="73" customFormat="1" ht="15" customHeight="1"/>
    <row r="63" spans="2:19" s="73" customFormat="1" ht="15" customHeight="1"/>
    <row r="64" spans="2:1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F7B61FC6-2B04-4FEB-B0E1-41E5AE9C6746}"/>
  </hyperlinks>
  <pageMargins left="0.7" right="0.7" top="0.75" bottom="0.75" header="0.3" footer="0.3"/>
  <customProperties>
    <customPr name="_pios_id" r:id="rId1"/>
  </customPropertie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C79F-8688-46F4-AD02-2A822AFA4EE6}">
  <dimension ref="A1:S96"/>
  <sheetViews>
    <sheetView zoomScaleNormal="100" workbookViewId="0">
      <selection activeCell="J24" sqref="J24"/>
    </sheetView>
  </sheetViews>
  <sheetFormatPr defaultColWidth="12.625" defaultRowHeight="16.5"/>
  <cols>
    <col min="1" max="1" width="2.125" style="69" customWidth="1"/>
    <col min="2" max="2" width="5.125" style="69" customWidth="1"/>
    <col min="3" max="3" width="10.12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3590</v>
      </c>
      <c r="C2" s="993"/>
      <c r="D2" s="993"/>
      <c r="E2" s="993"/>
      <c r="F2" s="993"/>
      <c r="G2" s="993"/>
      <c r="H2" s="993"/>
      <c r="I2" s="994"/>
      <c r="J2" s="70" t="s">
        <v>816</v>
      </c>
      <c r="K2" s="998" t="s">
        <v>145</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823</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38" t="s">
        <v>3591</v>
      </c>
      <c r="D8" s="119" t="s">
        <v>42</v>
      </c>
      <c r="E8" s="107"/>
      <c r="F8" s="107"/>
      <c r="G8" s="108"/>
      <c r="H8" s="109"/>
      <c r="I8" s="110">
        <v>1</v>
      </c>
      <c r="J8" s="117" t="s">
        <v>1184</v>
      </c>
      <c r="K8" s="112" t="s">
        <v>42</v>
      </c>
      <c r="L8" s="113" t="s">
        <v>1354</v>
      </c>
      <c r="M8" s="112">
        <v>1000</v>
      </c>
      <c r="N8" s="114" t="s">
        <v>1182</v>
      </c>
      <c r="O8" s="114" t="s">
        <v>1183</v>
      </c>
      <c r="P8" s="112"/>
      <c r="Q8" s="112"/>
      <c r="R8" s="114"/>
      <c r="S8" s="134"/>
    </row>
    <row r="9" spans="1:19" s="73" customFormat="1" ht="13.5">
      <c r="B9" s="104">
        <v>2</v>
      </c>
      <c r="C9" s="138" t="s">
        <v>1539</v>
      </c>
      <c r="D9" s="119" t="s">
        <v>42</v>
      </c>
      <c r="E9" s="107"/>
      <c r="F9" s="107"/>
      <c r="G9" s="108"/>
      <c r="H9" s="109"/>
      <c r="I9" s="110">
        <v>2</v>
      </c>
      <c r="J9" s="117" t="s">
        <v>1540</v>
      </c>
      <c r="K9" s="119" t="s">
        <v>42</v>
      </c>
      <c r="L9" s="113" t="s">
        <v>1354</v>
      </c>
      <c r="M9" s="112">
        <v>1000</v>
      </c>
      <c r="N9" s="114" t="s">
        <v>1541</v>
      </c>
      <c r="O9" s="114" t="s">
        <v>1542</v>
      </c>
      <c r="P9" s="112"/>
      <c r="Q9" s="112"/>
      <c r="R9" s="114"/>
      <c r="S9" s="134"/>
    </row>
    <row r="10" spans="1:19" s="73" customFormat="1" ht="13.5">
      <c r="B10" s="104">
        <v>3</v>
      </c>
      <c r="C10" s="139" t="s">
        <v>2129</v>
      </c>
      <c r="D10" s="119"/>
      <c r="E10" s="107"/>
      <c r="F10" s="107"/>
      <c r="G10" s="108"/>
      <c r="H10" s="109"/>
      <c r="I10" s="110">
        <v>3</v>
      </c>
      <c r="J10" s="117" t="s">
        <v>1101</v>
      </c>
      <c r="K10" s="119"/>
      <c r="L10" s="113" t="s">
        <v>1354</v>
      </c>
      <c r="M10" s="112">
        <v>1000</v>
      </c>
      <c r="N10" s="114" t="s">
        <v>1101</v>
      </c>
      <c r="O10" s="114" t="s">
        <v>1101</v>
      </c>
      <c r="P10" s="112"/>
      <c r="Q10" s="112"/>
      <c r="R10" s="114"/>
      <c r="S10" s="134"/>
    </row>
    <row r="11" spans="1:19" s="73" customFormat="1" ht="13.5">
      <c r="B11" s="104">
        <v>4</v>
      </c>
      <c r="C11" s="138" t="s">
        <v>3592</v>
      </c>
      <c r="D11" s="119"/>
      <c r="E11" s="107"/>
      <c r="F11" s="107"/>
      <c r="G11" s="108"/>
      <c r="H11" s="109"/>
      <c r="I11" s="110">
        <v>4</v>
      </c>
      <c r="J11" s="118" t="s">
        <v>3593</v>
      </c>
      <c r="K11" s="119"/>
      <c r="L11" s="113" t="s">
        <v>1354</v>
      </c>
      <c r="M11" s="112">
        <v>1000</v>
      </c>
      <c r="N11" s="108" t="s">
        <v>3594</v>
      </c>
      <c r="O11" s="108" t="s">
        <v>3595</v>
      </c>
      <c r="P11" s="119"/>
      <c r="Q11" s="119"/>
      <c r="R11" s="108"/>
      <c r="S11" s="134"/>
    </row>
    <row r="12" spans="1:19" s="73" customFormat="1" ht="13.5">
      <c r="B12" s="104">
        <v>5</v>
      </c>
      <c r="C12" s="105"/>
      <c r="D12" s="119"/>
      <c r="E12" s="107"/>
      <c r="F12" s="107"/>
      <c r="G12" s="108"/>
      <c r="H12" s="109"/>
      <c r="I12" s="110">
        <v>5</v>
      </c>
      <c r="J12" s="118"/>
      <c r="K12" s="119"/>
      <c r="L12" s="113"/>
      <c r="M12" s="112"/>
      <c r="N12" s="108"/>
      <c r="O12" s="108"/>
      <c r="P12" s="119"/>
      <c r="Q12" s="119"/>
      <c r="R12" s="108"/>
      <c r="S12" s="134"/>
    </row>
    <row r="13" spans="1:19" s="73" customFormat="1" ht="13.5">
      <c r="B13" s="104">
        <v>6</v>
      </c>
      <c r="C13" s="105"/>
      <c r="D13" s="119"/>
      <c r="E13" s="107"/>
      <c r="F13" s="107"/>
      <c r="G13" s="108"/>
      <c r="H13" s="109"/>
      <c r="I13" s="110">
        <v>6</v>
      </c>
      <c r="J13" s="118"/>
      <c r="K13" s="119"/>
      <c r="L13" s="113"/>
      <c r="M13" s="112"/>
      <c r="N13" s="108"/>
      <c r="O13" s="108"/>
      <c r="P13" s="119"/>
      <c r="Q13" s="112"/>
      <c r="R13" s="114"/>
      <c r="S13" s="134"/>
    </row>
    <row r="14" spans="1:19" s="73" customFormat="1" ht="13.5">
      <c r="B14" s="104">
        <v>7</v>
      </c>
      <c r="C14" s="105"/>
      <c r="D14" s="119"/>
      <c r="E14" s="107"/>
      <c r="F14" s="107"/>
      <c r="G14" s="108"/>
      <c r="H14" s="109"/>
      <c r="I14" s="110">
        <v>7</v>
      </c>
      <c r="J14" s="118"/>
      <c r="K14" s="106"/>
      <c r="L14" s="113"/>
      <c r="M14" s="112"/>
      <c r="N14" s="108"/>
      <c r="O14" s="108"/>
      <c r="P14" s="119"/>
      <c r="Q14" s="112"/>
      <c r="R14" s="114"/>
      <c r="S14" s="134"/>
    </row>
    <row r="15" spans="1:19" s="73" customFormat="1" ht="13.5">
      <c r="B15" s="104">
        <v>8</v>
      </c>
      <c r="C15" s="105"/>
      <c r="D15" s="119"/>
      <c r="E15" s="107"/>
      <c r="F15" s="107"/>
      <c r="G15" s="108"/>
      <c r="H15" s="109"/>
      <c r="I15" s="110">
        <v>8</v>
      </c>
      <c r="J15" s="118"/>
      <c r="K15" s="106"/>
      <c r="L15" s="113"/>
      <c r="M15" s="112"/>
      <c r="N15" s="108"/>
      <c r="O15" s="108"/>
      <c r="P15" s="119"/>
      <c r="Q15" s="112"/>
      <c r="R15" s="114"/>
      <c r="S15" s="134"/>
    </row>
    <row r="16" spans="1:19" s="73" customFormat="1" ht="13.5">
      <c r="B16" s="104">
        <v>9</v>
      </c>
      <c r="C16" s="105"/>
      <c r="D16" s="119"/>
      <c r="E16" s="107"/>
      <c r="F16" s="107"/>
      <c r="G16" s="108"/>
      <c r="H16" s="109"/>
      <c r="I16" s="110">
        <v>9</v>
      </c>
      <c r="J16" s="118"/>
      <c r="K16" s="106"/>
      <c r="L16" s="113"/>
      <c r="M16" s="112"/>
      <c r="N16" s="108"/>
      <c r="O16" s="108"/>
      <c r="P16" s="119"/>
      <c r="Q16" s="112"/>
      <c r="R16" s="114"/>
      <c r="S16" s="134"/>
    </row>
    <row r="17" spans="2:19" s="73" customFormat="1" ht="13.5">
      <c r="B17" s="104">
        <v>10</v>
      </c>
      <c r="C17" s="105"/>
      <c r="D17" s="119"/>
      <c r="E17" s="107"/>
      <c r="F17" s="107"/>
      <c r="G17" s="108"/>
      <c r="H17" s="109"/>
      <c r="I17" s="110">
        <v>10</v>
      </c>
      <c r="J17" s="117"/>
      <c r="K17" s="120"/>
      <c r="L17" s="113"/>
      <c r="M17" s="112"/>
      <c r="N17" s="108"/>
      <c r="O17" s="108"/>
      <c r="P17" s="112"/>
      <c r="Q17" s="112"/>
      <c r="R17" s="114"/>
      <c r="S17" s="134"/>
    </row>
    <row r="18" spans="2:19" s="73" customFormat="1" ht="13.5">
      <c r="B18" s="104">
        <v>11</v>
      </c>
      <c r="C18" s="105"/>
      <c r="D18" s="119"/>
      <c r="E18" s="107"/>
      <c r="F18" s="107"/>
      <c r="G18" s="108"/>
      <c r="H18" s="109"/>
      <c r="I18" s="110">
        <v>11</v>
      </c>
      <c r="J18" s="117"/>
      <c r="K18" s="112"/>
      <c r="L18" s="113"/>
      <c r="M18" s="112"/>
      <c r="N18" s="114"/>
      <c r="O18" s="114"/>
      <c r="P18" s="112"/>
      <c r="Q18" s="112"/>
      <c r="R18" s="114"/>
      <c r="S18" s="134"/>
    </row>
    <row r="19" spans="2:19" s="73" customFormat="1" ht="13.5">
      <c r="B19" s="104">
        <v>12</v>
      </c>
      <c r="C19" s="121"/>
      <c r="D19" s="119"/>
      <c r="E19" s="107"/>
      <c r="F19" s="107"/>
      <c r="G19" s="108"/>
      <c r="H19" s="109"/>
      <c r="I19" s="110">
        <v>12</v>
      </c>
      <c r="J19" s="117"/>
      <c r="K19" s="120"/>
      <c r="L19" s="113"/>
      <c r="M19" s="112"/>
      <c r="N19" s="114"/>
      <c r="O19" s="114"/>
      <c r="P19" s="112"/>
      <c r="Q19" s="112"/>
      <c r="R19" s="114"/>
      <c r="S19" s="134"/>
    </row>
    <row r="20" spans="2:19" s="73" customFormat="1" ht="13.5">
      <c r="B20" s="104">
        <v>13</v>
      </c>
      <c r="C20" s="121"/>
      <c r="D20" s="119"/>
      <c r="E20" s="107"/>
      <c r="F20" s="107"/>
      <c r="G20" s="108"/>
      <c r="H20" s="109"/>
      <c r="I20" s="110">
        <v>13</v>
      </c>
      <c r="J20" s="117"/>
      <c r="K20" s="120"/>
      <c r="L20" s="113"/>
      <c r="M20" s="112"/>
      <c r="N20" s="114"/>
      <c r="O20" s="114"/>
      <c r="P20" s="112"/>
      <c r="Q20" s="112"/>
      <c r="R20" s="114"/>
      <c r="S20" s="134"/>
    </row>
    <row r="21" spans="2:19" s="73" customFormat="1" ht="13.5">
      <c r="B21" s="104">
        <v>14</v>
      </c>
      <c r="C21" s="121"/>
      <c r="D21" s="119"/>
      <c r="E21" s="107"/>
      <c r="F21" s="107"/>
      <c r="G21" s="108"/>
      <c r="H21" s="109"/>
      <c r="I21" s="110">
        <v>14</v>
      </c>
      <c r="J21" s="118"/>
      <c r="K21" s="119"/>
      <c r="L21" s="113"/>
      <c r="M21" s="112"/>
      <c r="N21" s="108"/>
      <c r="O21" s="108"/>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s="73" customFormat="1" ht="15" customHeight="1"/>
    <row r="53" spans="2:19" s="73" customFormat="1" ht="15" customHeight="1"/>
    <row r="54" spans="2:19" s="73" customFormat="1" ht="15" customHeight="1"/>
    <row r="55" spans="2:19" s="73" customFormat="1" ht="15" customHeight="1"/>
    <row r="56" spans="2:19" s="73" customFormat="1" ht="15" customHeight="1"/>
    <row r="57" spans="2:19" s="73" customFormat="1" ht="15" customHeight="1"/>
    <row r="58" spans="2:19" s="73" customFormat="1" ht="15" customHeight="1"/>
    <row r="59" spans="2:19" s="73" customFormat="1" ht="15" customHeight="1"/>
    <row r="60" spans="2:19" s="73" customFormat="1" ht="15" customHeight="1"/>
    <row r="61" spans="2:19" s="73" customFormat="1" ht="15" customHeight="1"/>
    <row r="62" spans="2:19" s="73" customFormat="1" ht="15" customHeight="1"/>
    <row r="63" spans="2:19" s="73" customFormat="1" ht="15" customHeight="1"/>
    <row r="64" spans="2:19" s="73" customFormat="1" ht="15" customHeight="1"/>
    <row r="65" s="73" customFormat="1" ht="15" customHeight="1"/>
    <row r="66" s="73" customFormat="1" ht="15" customHeight="1"/>
    <row r="67" s="73" customFormat="1" ht="15" customHeight="1"/>
    <row r="68" s="73" customFormat="1" ht="15" customHeight="1"/>
    <row r="69" s="73" customFormat="1" ht="15" customHeight="1"/>
    <row r="70" s="73" customFormat="1" ht="15" customHeight="1"/>
    <row r="71" s="73" customFormat="1" ht="15" customHeight="1"/>
    <row r="72" s="73" customFormat="1" ht="15" customHeight="1"/>
    <row r="73" s="73" customFormat="1" ht="15" customHeight="1"/>
    <row r="74" s="73" customFormat="1" ht="15" customHeight="1"/>
    <row r="75" s="73" customFormat="1" ht="15" customHeight="1"/>
    <row r="76" s="73" customFormat="1" ht="15" customHeight="1"/>
    <row r="77" s="73" customFormat="1" ht="15" customHeight="1"/>
    <row r="78" s="73" customFormat="1" ht="15" customHeight="1"/>
    <row r="79" s="73" customFormat="1" ht="15" customHeight="1"/>
    <row r="80" s="73" customFormat="1" ht="15" customHeight="1"/>
    <row r="81" s="73" customFormat="1" ht="15" customHeight="1"/>
    <row r="82" s="73" customFormat="1" ht="15" customHeight="1"/>
    <row r="83" s="73" customFormat="1" ht="15" customHeight="1"/>
    <row r="84" s="73" customFormat="1" ht="15" customHeight="1"/>
    <row r="85" s="73" customFormat="1" ht="15" customHeight="1"/>
    <row r="86" s="73" customFormat="1" ht="15" customHeight="1"/>
    <row r="87" s="73" customFormat="1" ht="15" customHeight="1"/>
    <row r="88" s="73" customFormat="1" ht="15" customHeight="1"/>
    <row r="89" s="73" customFormat="1" ht="15" customHeight="1"/>
    <row r="90" s="73" customFormat="1" ht="15" customHeight="1"/>
    <row r="91" s="73" customFormat="1" ht="15" customHeight="1"/>
    <row r="92" s="73" customFormat="1" ht="15" customHeight="1"/>
    <row r="93" s="73" customFormat="1" ht="15" customHeight="1"/>
    <row r="94" s="73" customFormat="1" ht="15" customHeight="1"/>
    <row r="95" s="73" customFormat="1" ht="15" customHeight="1"/>
    <row r="96"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0F0375E1-AB31-4C7D-8004-63191CF18BD8}"/>
  </hyperlinks>
  <pageMargins left="0.7" right="0.7" top="0.75" bottom="0.75" header="0.3" footer="0.3"/>
  <customProperties>
    <customPr name="_pios_id" r:id="rId1"/>
  </customPropertie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8FA79-524B-4863-BA6E-441BBA9E674B}">
  <sheetPr>
    <tabColor rgb="FFFFFF00"/>
  </sheetPr>
  <dimension ref="A1:S86"/>
  <sheetViews>
    <sheetView showGridLines="0" zoomScaleNormal="100" workbookViewId="0"/>
  </sheetViews>
  <sheetFormatPr defaultColWidth="12.625" defaultRowHeight="16.5"/>
  <cols>
    <col min="1" max="1" width="2.125" style="69" customWidth="1"/>
    <col min="2" max="2" width="5.125" style="69" customWidth="1"/>
    <col min="3" max="3" width="14.125" style="69"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3596</v>
      </c>
      <c r="C2" s="993"/>
      <c r="D2" s="993"/>
      <c r="E2" s="993"/>
      <c r="F2" s="993"/>
      <c r="G2" s="993"/>
      <c r="H2" s="993"/>
      <c r="I2" s="994"/>
      <c r="J2" s="70" t="s">
        <v>816</v>
      </c>
      <c r="K2" s="998" t="s">
        <v>128</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3597</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t="s">
        <v>3598</v>
      </c>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2181</v>
      </c>
      <c r="D8" s="119" t="s">
        <v>42</v>
      </c>
      <c r="E8" s="107" t="s">
        <v>845</v>
      </c>
      <c r="F8" s="107">
        <v>8</v>
      </c>
      <c r="G8" s="108" t="s">
        <v>2182</v>
      </c>
      <c r="H8" s="109" t="s">
        <v>2183</v>
      </c>
      <c r="I8" s="110">
        <v>1</v>
      </c>
      <c r="J8" s="117" t="s">
        <v>2184</v>
      </c>
      <c r="K8" s="112" t="s">
        <v>42</v>
      </c>
      <c r="L8" s="113" t="s">
        <v>1354</v>
      </c>
      <c r="M8" s="112">
        <v>1000</v>
      </c>
      <c r="N8" s="114" t="s">
        <v>3599</v>
      </c>
      <c r="O8" s="114" t="s">
        <v>2183</v>
      </c>
      <c r="P8" s="112"/>
      <c r="Q8" s="112"/>
      <c r="R8" s="114"/>
      <c r="S8" s="134"/>
    </row>
    <row r="9" spans="1:19" s="73" customFormat="1" ht="13.5">
      <c r="B9" s="104">
        <v>2</v>
      </c>
      <c r="C9" s="105" t="s">
        <v>3600</v>
      </c>
      <c r="D9" s="119"/>
      <c r="E9" s="107" t="s">
        <v>845</v>
      </c>
      <c r="F9" s="107">
        <v>40</v>
      </c>
      <c r="G9" s="108" t="s">
        <v>3601</v>
      </c>
      <c r="H9" s="109" t="s">
        <v>3602</v>
      </c>
      <c r="I9" s="110">
        <v>2</v>
      </c>
      <c r="J9" s="117" t="s">
        <v>3603</v>
      </c>
      <c r="K9" s="119"/>
      <c r="L9" s="113" t="s">
        <v>1354</v>
      </c>
      <c r="M9" s="112">
        <v>1000</v>
      </c>
      <c r="N9" s="114" t="s">
        <v>3604</v>
      </c>
      <c r="O9" s="114" t="s">
        <v>3602</v>
      </c>
      <c r="P9" s="112"/>
      <c r="Q9" s="112"/>
      <c r="R9" s="114"/>
      <c r="S9" s="134"/>
    </row>
    <row r="10" spans="1:19" s="73" customFormat="1" ht="13.5">
      <c r="B10" s="104">
        <v>3</v>
      </c>
      <c r="C10" s="105" t="s">
        <v>1273</v>
      </c>
      <c r="D10" s="119" t="s">
        <v>42</v>
      </c>
      <c r="E10" s="107" t="s">
        <v>845</v>
      </c>
      <c r="F10" s="107">
        <v>4</v>
      </c>
      <c r="G10" s="108" t="s">
        <v>1274</v>
      </c>
      <c r="H10" s="109" t="s">
        <v>1599</v>
      </c>
      <c r="I10" s="110">
        <v>3</v>
      </c>
      <c r="J10" s="117" t="s">
        <v>1144</v>
      </c>
      <c r="K10" s="119" t="s">
        <v>42</v>
      </c>
      <c r="L10" s="113" t="s">
        <v>1354</v>
      </c>
      <c r="M10" s="112">
        <v>1000</v>
      </c>
      <c r="N10" s="114" t="s">
        <v>3605</v>
      </c>
      <c r="O10" s="114" t="s">
        <v>1599</v>
      </c>
      <c r="P10" s="112"/>
      <c r="Q10" s="112"/>
      <c r="R10" s="114"/>
      <c r="S10" s="134"/>
    </row>
    <row r="11" spans="1:19" s="73" customFormat="1" ht="13.5">
      <c r="B11" s="104">
        <v>4</v>
      </c>
      <c r="C11" s="105"/>
      <c r="D11" s="119"/>
      <c r="E11" s="107"/>
      <c r="F11" s="107"/>
      <c r="G11" s="108"/>
      <c r="H11" s="109"/>
      <c r="I11" s="110">
        <v>4</v>
      </c>
      <c r="J11" s="118"/>
      <c r="K11" s="119"/>
      <c r="L11" s="113"/>
      <c r="M11" s="112"/>
      <c r="N11" s="108"/>
      <c r="O11" s="108"/>
      <c r="P11" s="119"/>
      <c r="Q11" s="119"/>
      <c r="R11" s="108"/>
      <c r="S11" s="134"/>
    </row>
    <row r="12" spans="1:19" s="73" customFormat="1" ht="13.5">
      <c r="B12" s="104">
        <v>5</v>
      </c>
      <c r="C12" s="105"/>
      <c r="D12" s="119"/>
      <c r="E12" s="107"/>
      <c r="F12" s="107"/>
      <c r="G12" s="108"/>
      <c r="H12" s="109"/>
      <c r="I12" s="110">
        <v>5</v>
      </c>
      <c r="J12" s="118"/>
      <c r="K12" s="119"/>
      <c r="L12" s="113"/>
      <c r="M12" s="112"/>
      <c r="N12" s="108"/>
      <c r="O12" s="108"/>
      <c r="P12" s="119"/>
      <c r="Q12" s="119"/>
      <c r="R12" s="108"/>
      <c r="S12" s="134"/>
    </row>
    <row r="13" spans="1:19" s="73" customFormat="1" ht="13.5">
      <c r="B13" s="104">
        <v>6</v>
      </c>
      <c r="C13" s="105"/>
      <c r="D13" s="119"/>
      <c r="E13" s="107"/>
      <c r="F13" s="107"/>
      <c r="G13" s="108"/>
      <c r="H13" s="109"/>
      <c r="I13" s="110">
        <v>6</v>
      </c>
      <c r="J13" s="118"/>
      <c r="K13" s="119"/>
      <c r="L13" s="113"/>
      <c r="M13" s="112"/>
      <c r="N13" s="108"/>
      <c r="O13" s="108"/>
      <c r="P13" s="119"/>
      <c r="Q13" s="112"/>
      <c r="R13" s="114"/>
      <c r="S13" s="134"/>
    </row>
    <row r="14" spans="1:19" s="73" customFormat="1" ht="13.5">
      <c r="B14" s="104">
        <v>7</v>
      </c>
      <c r="C14" s="105"/>
      <c r="D14" s="119"/>
      <c r="E14" s="107"/>
      <c r="F14" s="107"/>
      <c r="G14" s="108"/>
      <c r="H14" s="109"/>
      <c r="I14" s="110">
        <v>7</v>
      </c>
      <c r="J14" s="118"/>
      <c r="K14" s="106"/>
      <c r="L14" s="113"/>
      <c r="M14" s="112"/>
      <c r="N14" s="108"/>
      <c r="O14" s="108"/>
      <c r="P14" s="119"/>
      <c r="Q14" s="112"/>
      <c r="R14" s="114"/>
      <c r="S14" s="134"/>
    </row>
    <row r="15" spans="1:19" s="73" customFormat="1" ht="13.5">
      <c r="B15" s="104">
        <v>8</v>
      </c>
      <c r="C15" s="105"/>
      <c r="D15" s="119"/>
      <c r="E15" s="107"/>
      <c r="F15" s="107"/>
      <c r="G15" s="108"/>
      <c r="H15" s="109"/>
      <c r="I15" s="110">
        <v>8</v>
      </c>
      <c r="J15" s="118"/>
      <c r="K15" s="106"/>
      <c r="L15" s="113"/>
      <c r="M15" s="112"/>
      <c r="N15" s="108"/>
      <c r="O15" s="108"/>
      <c r="P15" s="119"/>
      <c r="Q15" s="112"/>
      <c r="R15" s="114"/>
      <c r="S15" s="134"/>
    </row>
    <row r="16" spans="1:19" s="73" customFormat="1" ht="13.5">
      <c r="B16" s="104">
        <v>9</v>
      </c>
      <c r="C16" s="105"/>
      <c r="D16" s="119"/>
      <c r="E16" s="107"/>
      <c r="F16" s="107"/>
      <c r="G16" s="108"/>
      <c r="H16" s="109"/>
      <c r="I16" s="110">
        <v>9</v>
      </c>
      <c r="J16" s="118"/>
      <c r="K16" s="106"/>
      <c r="L16" s="113"/>
      <c r="M16" s="112"/>
      <c r="N16" s="108"/>
      <c r="O16" s="108"/>
      <c r="P16" s="119"/>
      <c r="Q16" s="112"/>
      <c r="R16" s="114"/>
      <c r="S16" s="134"/>
    </row>
    <row r="17" spans="2:19" s="73" customFormat="1" ht="13.5">
      <c r="B17" s="104">
        <v>10</v>
      </c>
      <c r="C17" s="105"/>
      <c r="D17" s="119"/>
      <c r="E17" s="107"/>
      <c r="F17" s="107"/>
      <c r="G17" s="108"/>
      <c r="H17" s="109"/>
      <c r="I17" s="110">
        <v>10</v>
      </c>
      <c r="J17" s="117"/>
      <c r="K17" s="120"/>
      <c r="L17" s="113"/>
      <c r="M17" s="112"/>
      <c r="N17" s="108"/>
      <c r="O17" s="108"/>
      <c r="P17" s="112"/>
      <c r="Q17" s="112"/>
      <c r="R17" s="114"/>
      <c r="S17" s="134"/>
    </row>
    <row r="18" spans="2:19" s="73" customFormat="1" ht="13.5">
      <c r="B18" s="104">
        <v>11</v>
      </c>
      <c r="C18" s="105"/>
      <c r="D18" s="119"/>
      <c r="E18" s="107"/>
      <c r="F18" s="107"/>
      <c r="G18" s="108"/>
      <c r="H18" s="109"/>
      <c r="I18" s="110">
        <v>11</v>
      </c>
      <c r="J18" s="117"/>
      <c r="K18" s="112"/>
      <c r="L18" s="113"/>
      <c r="M18" s="112"/>
      <c r="N18" s="114"/>
      <c r="O18" s="114"/>
      <c r="P18" s="112"/>
      <c r="Q18" s="112"/>
      <c r="R18" s="114"/>
      <c r="S18" s="134"/>
    </row>
    <row r="19" spans="2:19" s="73" customFormat="1" ht="13.5">
      <c r="B19" s="104">
        <v>12</v>
      </c>
      <c r="C19" s="121"/>
      <c r="D19" s="119"/>
      <c r="E19" s="107"/>
      <c r="F19" s="107"/>
      <c r="G19" s="108"/>
      <c r="H19" s="109"/>
      <c r="I19" s="110">
        <v>12</v>
      </c>
      <c r="J19" s="117"/>
      <c r="K19" s="120"/>
      <c r="L19" s="113"/>
      <c r="M19" s="112"/>
      <c r="N19" s="114"/>
      <c r="O19" s="114"/>
      <c r="P19" s="112"/>
      <c r="Q19" s="112"/>
      <c r="R19" s="114"/>
      <c r="S19" s="134"/>
    </row>
    <row r="20" spans="2:19" s="73" customFormat="1" ht="13.5">
      <c r="B20" s="104">
        <v>13</v>
      </c>
      <c r="C20" s="121"/>
      <c r="D20" s="119"/>
      <c r="E20" s="107"/>
      <c r="F20" s="107"/>
      <c r="G20" s="108"/>
      <c r="H20" s="109"/>
      <c r="I20" s="110">
        <v>13</v>
      </c>
      <c r="J20" s="117"/>
      <c r="K20" s="120"/>
      <c r="L20" s="113"/>
      <c r="M20" s="112"/>
      <c r="N20" s="114"/>
      <c r="O20" s="114"/>
      <c r="P20" s="112"/>
      <c r="Q20" s="112"/>
      <c r="R20" s="114"/>
      <c r="S20" s="134"/>
    </row>
    <row r="21" spans="2:19" s="73" customFormat="1" ht="13.5">
      <c r="B21" s="104">
        <v>14</v>
      </c>
      <c r="C21" s="121"/>
      <c r="D21" s="119"/>
      <c r="E21" s="107"/>
      <c r="F21" s="107"/>
      <c r="G21" s="108"/>
      <c r="H21" s="109"/>
      <c r="I21" s="110">
        <v>14</v>
      </c>
      <c r="J21" s="118"/>
      <c r="K21" s="119"/>
      <c r="L21" s="113"/>
      <c r="M21" s="112"/>
      <c r="N21" s="108"/>
      <c r="O21" s="108"/>
      <c r="P21" s="119"/>
      <c r="Q21" s="119"/>
      <c r="R21" s="108"/>
      <c r="S21" s="134"/>
    </row>
    <row r="22" spans="2:19" s="73" customFormat="1" ht="13.5">
      <c r="B22" s="104">
        <v>15</v>
      </c>
      <c r="C22" s="121"/>
      <c r="D22" s="119"/>
      <c r="E22" s="107"/>
      <c r="F22" s="107"/>
      <c r="G22" s="108"/>
      <c r="H22" s="109"/>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9.5" customHeight="1">
      <c r="C52" s="21"/>
      <c r="D52" s="20"/>
      <c r="E52" s="20"/>
      <c r="F52" s="20"/>
      <c r="G52" s="20"/>
      <c r="H52" s="20"/>
      <c r="I52" s="20"/>
      <c r="J52" s="20"/>
      <c r="K52" s="20"/>
      <c r="L52" s="20"/>
      <c r="M52" s="20"/>
      <c r="N52" s="20"/>
      <c r="O52" s="21"/>
      <c r="P52" s="21"/>
      <c r="Q52" s="20"/>
      <c r="R52" s="21"/>
      <c r="S52" s="21"/>
    </row>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c r="C55" s="21"/>
      <c r="D55" s="20"/>
      <c r="E55" s="20"/>
      <c r="F55" s="20"/>
      <c r="G55" s="20"/>
      <c r="H55" s="20"/>
      <c r="I55" s="20"/>
      <c r="J55" s="20"/>
      <c r="K55" s="20"/>
      <c r="L55" s="20"/>
      <c r="M55" s="20"/>
      <c r="N55" s="20"/>
      <c r="O55" s="21"/>
      <c r="P55" s="21"/>
      <c r="Q55" s="20"/>
      <c r="R55" s="21"/>
      <c r="S55" s="21"/>
    </row>
    <row r="56" spans="2:19" customFormat="1" ht="19.5" customHeight="1">
      <c r="C56" s="21"/>
      <c r="D56" s="20"/>
      <c r="E56" s="20"/>
      <c r="F56" s="20"/>
      <c r="G56" s="20"/>
      <c r="H56" s="20"/>
      <c r="I56" s="20"/>
      <c r="J56" s="20"/>
      <c r="K56" s="20"/>
      <c r="L56" s="20"/>
      <c r="M56" s="20"/>
      <c r="N56" s="20"/>
      <c r="O56" s="21"/>
      <c r="P56" s="21"/>
      <c r="Q56" s="20"/>
      <c r="R56" s="21"/>
      <c r="S56" s="21"/>
    </row>
    <row r="57" spans="2:19" customFormat="1" ht="19.5" customHeight="1">
      <c r="C57" s="21"/>
      <c r="D57" s="20"/>
      <c r="E57" s="20"/>
      <c r="F57" s="20"/>
      <c r="G57" s="20"/>
      <c r="H57" s="20"/>
      <c r="I57" s="20"/>
      <c r="J57" s="20"/>
      <c r="K57" s="20"/>
      <c r="L57" s="20"/>
      <c r="M57" s="20"/>
      <c r="N57" s="20"/>
      <c r="O57" s="21"/>
      <c r="P57" s="21"/>
      <c r="Q57" s="20"/>
      <c r="R57" s="21"/>
      <c r="S57" s="21"/>
    </row>
    <row r="58" spans="2:19" customFormat="1" ht="19.5" customHeight="1">
      <c r="C58" s="21"/>
      <c r="D58" s="20"/>
      <c r="E58" s="20"/>
      <c r="F58" s="20"/>
      <c r="G58" s="20"/>
      <c r="H58" s="20"/>
      <c r="I58" s="20"/>
      <c r="J58" s="20"/>
      <c r="K58" s="20"/>
      <c r="L58" s="20"/>
      <c r="M58" s="20"/>
      <c r="N58" s="20"/>
      <c r="O58" s="21"/>
      <c r="P58" s="21"/>
      <c r="Q58" s="20"/>
      <c r="R58" s="21"/>
      <c r="S58" s="21"/>
    </row>
    <row r="59" spans="2:19" customFormat="1" ht="19.5" customHeight="1"/>
    <row r="60" spans="2:19" customFormat="1" ht="19.5" customHeight="1"/>
    <row r="61" spans="2:19" customFormat="1" ht="19.5" customHeight="1"/>
    <row r="62" spans="2:19" customFormat="1" ht="19.5" customHeight="1"/>
    <row r="63" spans="2:19" customFormat="1" ht="1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customFormat="1" ht="15" customHeight="1"/>
    <row r="80" customFormat="1" ht="15" customHeight="1"/>
    <row r="81" customFormat="1" ht="15" customHeight="1"/>
    <row r="82" customFormat="1" ht="15" customHeight="1"/>
    <row r="83" s="73" customFormat="1" ht="15" customHeight="1"/>
    <row r="84" s="73" customFormat="1" ht="15" customHeight="1"/>
    <row r="85" s="73" customFormat="1" ht="15" customHeight="1"/>
    <row r="86"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DB6F3035-4AA8-4C50-9AF6-A5F51073A22E}"/>
  </hyperlinks>
  <pageMargins left="0.7" right="0.7" top="0.75" bottom="0.75" header="0.3" footer="0.3"/>
  <customProperties>
    <customPr name="_pios_id" r:id="rId1"/>
  </customPropertie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15C20-C571-469E-8934-5AE09A77326B}">
  <sheetPr>
    <tabColor rgb="FFFFFF00"/>
  </sheetPr>
  <dimension ref="A1:S82"/>
  <sheetViews>
    <sheetView showGridLines="0" zoomScaleNormal="100" workbookViewId="0"/>
  </sheetViews>
  <sheetFormatPr defaultColWidth="12.625" defaultRowHeight="16.5"/>
  <cols>
    <col min="1" max="1" width="2.125" style="69" customWidth="1"/>
    <col min="2" max="2" width="5.125" style="69" customWidth="1"/>
    <col min="3" max="3" width="23.375" style="69" bestFit="1" customWidth="1"/>
    <col min="4" max="4" width="3.875" style="69" customWidth="1"/>
    <col min="5" max="5" width="9.125" style="69" customWidth="1"/>
    <col min="6" max="6" width="6.5" style="69" customWidth="1"/>
    <col min="7" max="7" width="25.125" style="69" customWidth="1"/>
    <col min="8" max="8" width="27.625" style="69" customWidth="1"/>
    <col min="9" max="9" width="5.625" style="69" customWidth="1"/>
    <col min="10" max="10" width="16.125" style="69" customWidth="1"/>
    <col min="11" max="11" width="4.625" style="69" customWidth="1"/>
    <col min="12" max="12" width="11" style="69" customWidth="1"/>
    <col min="13" max="13" width="5.625" style="69" customWidth="1"/>
    <col min="14" max="14" width="25.5" style="69" customWidth="1"/>
    <col min="15" max="15" width="26.375" style="69" customWidth="1"/>
    <col min="16" max="16" width="4.375" style="69" customWidth="1"/>
    <col min="17" max="17" width="3.875" style="69" customWidth="1"/>
    <col min="18" max="18" width="6" style="69" customWidth="1"/>
    <col min="19" max="19" width="7.5" style="69" customWidth="1"/>
    <col min="20" max="16384" width="12.625" style="69"/>
  </cols>
  <sheetData>
    <row r="1" spans="1:19" ht="9.6" customHeight="1" thickBot="1">
      <c r="A1" s="67" t="s">
        <v>814</v>
      </c>
    </row>
    <row r="2" spans="1:19" ht="23.1" customHeight="1">
      <c r="B2" s="992" t="s">
        <v>3606</v>
      </c>
      <c r="C2" s="993"/>
      <c r="D2" s="993"/>
      <c r="E2" s="993"/>
      <c r="F2" s="993"/>
      <c r="G2" s="993"/>
      <c r="H2" s="993"/>
      <c r="I2" s="994"/>
      <c r="J2" s="70" t="s">
        <v>816</v>
      </c>
      <c r="K2" s="998" t="s">
        <v>128</v>
      </c>
      <c r="L2" s="999"/>
      <c r="M2" s="999"/>
      <c r="N2" s="1000"/>
      <c r="O2" s="70" t="s">
        <v>817</v>
      </c>
      <c r="P2" s="1001" t="s">
        <v>818</v>
      </c>
      <c r="Q2" s="1001"/>
      <c r="R2" s="1001"/>
      <c r="S2" s="1002"/>
    </row>
    <row r="3" spans="1:19" ht="22.35" customHeight="1" thickBot="1">
      <c r="B3" s="995"/>
      <c r="C3" s="996"/>
      <c r="D3" s="996"/>
      <c r="E3" s="996"/>
      <c r="F3" s="996"/>
      <c r="G3" s="996"/>
      <c r="H3" s="996"/>
      <c r="I3" s="997"/>
      <c r="J3" s="72" t="s">
        <v>819</v>
      </c>
      <c r="K3" s="1003" t="s">
        <v>820</v>
      </c>
      <c r="L3" s="1004"/>
      <c r="M3" s="1004"/>
      <c r="N3" s="1005"/>
      <c r="O3" s="72" t="s">
        <v>821</v>
      </c>
      <c r="P3" s="1006">
        <v>0.1</v>
      </c>
      <c r="Q3" s="1006"/>
      <c r="R3" s="1006"/>
      <c r="S3" s="1007"/>
    </row>
    <row r="4" spans="1:19" ht="26.1" customHeight="1" thickBot="1">
      <c r="B4" s="74" t="s">
        <v>822</v>
      </c>
      <c r="C4" s="73"/>
      <c r="D4" s="73"/>
      <c r="E4" s="73"/>
      <c r="F4" s="73"/>
      <c r="G4" s="73"/>
      <c r="H4" s="73"/>
      <c r="I4" s="73"/>
      <c r="J4" s="73"/>
      <c r="K4" s="73"/>
      <c r="L4" s="73"/>
      <c r="M4" s="73"/>
      <c r="N4" s="75"/>
      <c r="O4" s="75"/>
      <c r="P4" s="73"/>
      <c r="Q4" s="75"/>
      <c r="R4" s="75"/>
      <c r="S4" s="73"/>
    </row>
    <row r="5" spans="1:19">
      <c r="B5" s="979" t="s">
        <v>3607</v>
      </c>
      <c r="C5" s="980"/>
      <c r="D5" s="980"/>
      <c r="E5" s="980"/>
      <c r="F5" s="980"/>
      <c r="G5" s="980"/>
      <c r="H5" s="981"/>
      <c r="I5" s="982" t="s">
        <v>1390</v>
      </c>
      <c r="J5" s="980"/>
      <c r="K5" s="980"/>
      <c r="L5" s="980"/>
      <c r="M5" s="980"/>
      <c r="N5" s="980"/>
      <c r="O5" s="980"/>
      <c r="P5" s="980"/>
      <c r="Q5" s="980"/>
      <c r="R5" s="983" t="s">
        <v>825</v>
      </c>
      <c r="S5" s="985" t="s">
        <v>826</v>
      </c>
    </row>
    <row r="6" spans="1:19" ht="32.1"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s="73" customFormat="1" ht="13.5">
      <c r="B8" s="104">
        <v>1</v>
      </c>
      <c r="C8" s="105" t="s">
        <v>3608</v>
      </c>
      <c r="D8" s="119" t="s">
        <v>833</v>
      </c>
      <c r="E8" s="107" t="s">
        <v>845</v>
      </c>
      <c r="F8" s="107">
        <v>4</v>
      </c>
      <c r="G8" s="108" t="s">
        <v>3609</v>
      </c>
      <c r="H8" s="109" t="s">
        <v>1477</v>
      </c>
      <c r="I8" s="110">
        <v>1</v>
      </c>
      <c r="J8" s="117" t="s">
        <v>1144</v>
      </c>
      <c r="K8" s="112"/>
      <c r="L8" s="113" t="s">
        <v>1354</v>
      </c>
      <c r="M8" s="112">
        <v>1000</v>
      </c>
      <c r="N8" s="114" t="s">
        <v>3609</v>
      </c>
      <c r="O8" s="114" t="s">
        <v>1477</v>
      </c>
      <c r="P8" s="112"/>
      <c r="Q8" s="112"/>
      <c r="R8" s="114"/>
      <c r="S8" s="134"/>
    </row>
    <row r="9" spans="1:19" s="73" customFormat="1" ht="13.5">
      <c r="B9" s="104">
        <v>2</v>
      </c>
      <c r="C9" s="105" t="s">
        <v>3610</v>
      </c>
      <c r="D9" s="119" t="s">
        <v>833</v>
      </c>
      <c r="E9" s="107" t="s">
        <v>1377</v>
      </c>
      <c r="F9" s="107">
        <v>14</v>
      </c>
      <c r="G9" s="108" t="s">
        <v>3611</v>
      </c>
      <c r="H9" s="109" t="s">
        <v>3612</v>
      </c>
      <c r="I9" s="110">
        <v>2</v>
      </c>
      <c r="J9" s="117" t="s">
        <v>3613</v>
      </c>
      <c r="K9" s="119"/>
      <c r="L9" s="113" t="s">
        <v>1354</v>
      </c>
      <c r="M9" s="112">
        <v>1000</v>
      </c>
      <c r="N9" s="114" t="s">
        <v>3611</v>
      </c>
      <c r="O9" s="114" t="s">
        <v>3612</v>
      </c>
      <c r="P9" s="112"/>
      <c r="Q9" s="112"/>
      <c r="R9" s="114"/>
      <c r="S9" s="134"/>
    </row>
    <row r="10" spans="1:19" s="73" customFormat="1" ht="13.5">
      <c r="B10" s="104">
        <v>3</v>
      </c>
      <c r="C10" s="105" t="s">
        <v>3614</v>
      </c>
      <c r="D10" s="119" t="s">
        <v>833</v>
      </c>
      <c r="E10" s="107" t="s">
        <v>1421</v>
      </c>
      <c r="F10" s="107">
        <v>10</v>
      </c>
      <c r="G10" s="108" t="s">
        <v>3615</v>
      </c>
      <c r="H10" s="109" t="s">
        <v>3616</v>
      </c>
      <c r="I10" s="110">
        <v>3</v>
      </c>
      <c r="J10" s="117" t="s">
        <v>3617</v>
      </c>
      <c r="K10" s="119"/>
      <c r="L10" s="113" t="s">
        <v>1354</v>
      </c>
      <c r="M10" s="112">
        <v>1000</v>
      </c>
      <c r="N10" s="114" t="s">
        <v>3615</v>
      </c>
      <c r="O10" s="114" t="s">
        <v>3616</v>
      </c>
      <c r="P10" s="112"/>
      <c r="Q10" s="112"/>
      <c r="R10" s="114"/>
      <c r="S10" s="134"/>
    </row>
    <row r="11" spans="1:19" s="73" customFormat="1" ht="54">
      <c r="B11" s="104">
        <v>4</v>
      </c>
      <c r="C11" s="105" t="s">
        <v>3618</v>
      </c>
      <c r="D11" s="119"/>
      <c r="E11" s="107" t="s">
        <v>845</v>
      </c>
      <c r="F11" s="107">
        <v>1</v>
      </c>
      <c r="G11" s="108" t="s">
        <v>3619</v>
      </c>
      <c r="H11" s="109" t="s">
        <v>3620</v>
      </c>
      <c r="I11" s="110">
        <v>4</v>
      </c>
      <c r="J11" s="118" t="s">
        <v>895</v>
      </c>
      <c r="K11" s="119"/>
      <c r="L11" s="113" t="s">
        <v>1354</v>
      </c>
      <c r="M11" s="112">
        <v>1000</v>
      </c>
      <c r="N11" s="108" t="s">
        <v>3619</v>
      </c>
      <c r="O11" s="108" t="s">
        <v>3620</v>
      </c>
      <c r="P11" s="119"/>
      <c r="Q11" s="119"/>
      <c r="R11" s="108"/>
      <c r="S11" s="134"/>
    </row>
    <row r="12" spans="1:19" s="73" customFormat="1" ht="13.5">
      <c r="B12" s="104">
        <v>5</v>
      </c>
      <c r="C12" s="105" t="s">
        <v>3621</v>
      </c>
      <c r="D12" s="119"/>
      <c r="E12" s="107" t="s">
        <v>1377</v>
      </c>
      <c r="F12" s="107">
        <v>8</v>
      </c>
      <c r="G12" s="108" t="s">
        <v>3622</v>
      </c>
      <c r="H12" s="109" t="s">
        <v>3623</v>
      </c>
      <c r="I12" s="110">
        <v>5</v>
      </c>
      <c r="J12" s="118" t="s">
        <v>3504</v>
      </c>
      <c r="K12" s="119"/>
      <c r="L12" s="113" t="s">
        <v>1354</v>
      </c>
      <c r="M12" s="112">
        <v>1000</v>
      </c>
      <c r="N12" s="108" t="s">
        <v>3622</v>
      </c>
      <c r="O12" s="108" t="s">
        <v>3623</v>
      </c>
      <c r="P12" s="119"/>
      <c r="Q12" s="119"/>
      <c r="R12" s="108"/>
      <c r="S12" s="134"/>
    </row>
    <row r="13" spans="1:19" s="73" customFormat="1" ht="13.5">
      <c r="B13" s="104">
        <v>6</v>
      </c>
      <c r="C13" s="105" t="s">
        <v>3624</v>
      </c>
      <c r="D13" s="119"/>
      <c r="E13" s="107" t="s">
        <v>1377</v>
      </c>
      <c r="F13" s="107">
        <v>8</v>
      </c>
      <c r="G13" s="108" t="s">
        <v>2182</v>
      </c>
      <c r="H13" s="109" t="s">
        <v>2183</v>
      </c>
      <c r="I13" s="110">
        <v>6</v>
      </c>
      <c r="J13" s="118" t="s">
        <v>2184</v>
      </c>
      <c r="K13" s="119"/>
      <c r="L13" s="113" t="s">
        <v>1354</v>
      </c>
      <c r="M13" s="112">
        <v>1000</v>
      </c>
      <c r="N13" s="108" t="s">
        <v>2182</v>
      </c>
      <c r="O13" s="108" t="s">
        <v>2183</v>
      </c>
      <c r="P13" s="119"/>
      <c r="Q13" s="112"/>
      <c r="R13" s="114"/>
      <c r="S13" s="134"/>
    </row>
    <row r="14" spans="1:19" s="73" customFormat="1" ht="13.5">
      <c r="B14" s="104">
        <v>7</v>
      </c>
      <c r="C14" s="105" t="s">
        <v>3625</v>
      </c>
      <c r="D14" s="119"/>
      <c r="E14" s="107" t="s">
        <v>1377</v>
      </c>
      <c r="F14" s="107">
        <v>18</v>
      </c>
      <c r="G14" s="108" t="s">
        <v>3626</v>
      </c>
      <c r="H14" s="109" t="s">
        <v>1070</v>
      </c>
      <c r="I14" s="110">
        <v>7</v>
      </c>
      <c r="J14" s="118" t="s">
        <v>1271</v>
      </c>
      <c r="K14" s="106"/>
      <c r="L14" s="113" t="s">
        <v>1354</v>
      </c>
      <c r="M14" s="112">
        <v>1000</v>
      </c>
      <c r="N14" s="108" t="s">
        <v>3626</v>
      </c>
      <c r="O14" s="108" t="s">
        <v>1070</v>
      </c>
      <c r="P14" s="119"/>
      <c r="Q14" s="112"/>
      <c r="R14" s="114"/>
      <c r="S14" s="134"/>
    </row>
    <row r="15" spans="1:19" s="73" customFormat="1" ht="13.5">
      <c r="B15" s="104">
        <v>8</v>
      </c>
      <c r="C15" s="105" t="s">
        <v>3627</v>
      </c>
      <c r="D15" s="119"/>
      <c r="E15" s="107" t="s">
        <v>1377</v>
      </c>
      <c r="F15" s="107">
        <v>6</v>
      </c>
      <c r="G15" s="108" t="s">
        <v>3628</v>
      </c>
      <c r="H15" s="109" t="s">
        <v>3629</v>
      </c>
      <c r="I15" s="110">
        <v>8</v>
      </c>
      <c r="J15" s="118" t="s">
        <v>3629</v>
      </c>
      <c r="K15" s="106"/>
      <c r="L15" s="113" t="s">
        <v>1354</v>
      </c>
      <c r="M15" s="112">
        <v>1000</v>
      </c>
      <c r="N15" s="108" t="s">
        <v>3628</v>
      </c>
      <c r="O15" s="108" t="s">
        <v>3629</v>
      </c>
      <c r="P15" s="119"/>
      <c r="Q15" s="112"/>
      <c r="R15" s="114"/>
      <c r="S15" s="134"/>
    </row>
    <row r="16" spans="1:19" s="73" customFormat="1" ht="13.5">
      <c r="B16" s="104">
        <v>9</v>
      </c>
      <c r="C16" s="105" t="s">
        <v>3630</v>
      </c>
      <c r="D16" s="119"/>
      <c r="E16" s="107" t="s">
        <v>1421</v>
      </c>
      <c r="F16" s="107" t="s">
        <v>3631</v>
      </c>
      <c r="G16" s="108" t="s">
        <v>3349</v>
      </c>
      <c r="H16" s="109" t="s">
        <v>3632</v>
      </c>
      <c r="I16" s="110">
        <v>9</v>
      </c>
      <c r="J16" s="118" t="s">
        <v>3633</v>
      </c>
      <c r="K16" s="106"/>
      <c r="L16" s="113" t="s">
        <v>1354</v>
      </c>
      <c r="M16" s="112">
        <v>1000</v>
      </c>
      <c r="N16" s="108" t="s">
        <v>3349</v>
      </c>
      <c r="O16" s="108" t="s">
        <v>3632</v>
      </c>
      <c r="P16" s="119"/>
      <c r="Q16" s="112"/>
      <c r="R16" s="114"/>
      <c r="S16" s="134"/>
    </row>
    <row r="17" spans="2:19" s="73" customFormat="1" ht="13.5">
      <c r="B17" s="104">
        <v>10</v>
      </c>
      <c r="C17" s="105" t="s">
        <v>3634</v>
      </c>
      <c r="D17" s="119"/>
      <c r="E17" s="107" t="s">
        <v>1421</v>
      </c>
      <c r="F17" s="107" t="s">
        <v>3631</v>
      </c>
      <c r="G17" s="108" t="s">
        <v>3635</v>
      </c>
      <c r="H17" s="109" t="s">
        <v>3636</v>
      </c>
      <c r="I17" s="110">
        <v>10</v>
      </c>
      <c r="J17" s="117" t="s">
        <v>3637</v>
      </c>
      <c r="K17" s="120"/>
      <c r="L17" s="113" t="s">
        <v>1354</v>
      </c>
      <c r="M17" s="112">
        <v>1000</v>
      </c>
      <c r="N17" s="108" t="s">
        <v>3635</v>
      </c>
      <c r="O17" s="108" t="s">
        <v>3636</v>
      </c>
      <c r="P17" s="112"/>
      <c r="Q17" s="112"/>
      <c r="R17" s="114"/>
      <c r="S17" s="134"/>
    </row>
    <row r="18" spans="2:19" s="73" customFormat="1" ht="13.5">
      <c r="B18" s="104">
        <v>11</v>
      </c>
      <c r="C18" s="105" t="s">
        <v>3638</v>
      </c>
      <c r="D18" s="119"/>
      <c r="E18" s="107" t="s">
        <v>1421</v>
      </c>
      <c r="F18" s="107" t="s">
        <v>3631</v>
      </c>
      <c r="G18" s="108" t="s">
        <v>3346</v>
      </c>
      <c r="H18" s="109" t="s">
        <v>3639</v>
      </c>
      <c r="I18" s="110">
        <v>11</v>
      </c>
      <c r="J18" s="117" t="s">
        <v>3640</v>
      </c>
      <c r="K18" s="112"/>
      <c r="L18" s="113" t="s">
        <v>1354</v>
      </c>
      <c r="M18" s="112">
        <v>1000</v>
      </c>
      <c r="N18" s="114" t="s">
        <v>3346</v>
      </c>
      <c r="O18" s="114" t="s">
        <v>3639</v>
      </c>
      <c r="P18" s="112"/>
      <c r="Q18" s="112"/>
      <c r="R18" s="114"/>
      <c r="S18" s="134"/>
    </row>
    <row r="19" spans="2:19" s="73" customFormat="1" ht="13.5">
      <c r="B19" s="104">
        <v>12</v>
      </c>
      <c r="C19" s="121" t="s">
        <v>3641</v>
      </c>
      <c r="D19" s="119"/>
      <c r="E19" s="107" t="s">
        <v>1421</v>
      </c>
      <c r="F19" s="107" t="s">
        <v>3631</v>
      </c>
      <c r="G19" s="108" t="s">
        <v>3642</v>
      </c>
      <c r="H19" s="109" t="s">
        <v>3643</v>
      </c>
      <c r="I19" s="110">
        <v>12</v>
      </c>
      <c r="J19" s="117" t="s">
        <v>3644</v>
      </c>
      <c r="K19" s="120"/>
      <c r="L19" s="113" t="s">
        <v>1354</v>
      </c>
      <c r="M19" s="112">
        <v>1000</v>
      </c>
      <c r="N19" s="114" t="s">
        <v>3642</v>
      </c>
      <c r="O19" s="114" t="s">
        <v>3643</v>
      </c>
      <c r="P19" s="112"/>
      <c r="Q19" s="112"/>
      <c r="R19" s="114"/>
      <c r="S19" s="134"/>
    </row>
    <row r="20" spans="2:19" s="73" customFormat="1" ht="13.5">
      <c r="B20" s="104">
        <v>13</v>
      </c>
      <c r="C20" s="121" t="s">
        <v>3645</v>
      </c>
      <c r="D20" s="119"/>
      <c r="E20" s="107" t="s">
        <v>1377</v>
      </c>
      <c r="F20" s="107">
        <v>8</v>
      </c>
      <c r="G20" s="108" t="s">
        <v>3645</v>
      </c>
      <c r="H20" s="109" t="s">
        <v>3646</v>
      </c>
      <c r="I20" s="110">
        <v>13</v>
      </c>
      <c r="J20" s="117" t="s">
        <v>799</v>
      </c>
      <c r="K20" s="120"/>
      <c r="L20" s="113" t="s">
        <v>1354</v>
      </c>
      <c r="M20" s="112">
        <v>1000</v>
      </c>
      <c r="N20" s="114" t="s">
        <v>3645</v>
      </c>
      <c r="O20" s="114" t="s">
        <v>3646</v>
      </c>
      <c r="P20" s="112"/>
      <c r="Q20" s="112"/>
      <c r="R20" s="114"/>
      <c r="S20" s="134"/>
    </row>
    <row r="21" spans="2:19" s="73" customFormat="1" ht="13.5">
      <c r="B21" s="104">
        <v>14</v>
      </c>
      <c r="C21" s="121" t="s">
        <v>3647</v>
      </c>
      <c r="D21" s="119"/>
      <c r="E21" s="107" t="s">
        <v>1377</v>
      </c>
      <c r="F21" s="107">
        <v>8</v>
      </c>
      <c r="G21" s="108" t="s">
        <v>2170</v>
      </c>
      <c r="H21" s="109" t="s">
        <v>2171</v>
      </c>
      <c r="I21" s="110">
        <v>14</v>
      </c>
      <c r="J21" s="118" t="s">
        <v>1419</v>
      </c>
      <c r="K21" s="119"/>
      <c r="L21" s="113" t="s">
        <v>1354</v>
      </c>
      <c r="M21" s="112">
        <v>1000</v>
      </c>
      <c r="N21" s="108" t="s">
        <v>2170</v>
      </c>
      <c r="O21" s="108" t="s">
        <v>2171</v>
      </c>
      <c r="P21" s="119"/>
      <c r="Q21" s="119"/>
      <c r="R21" s="108"/>
      <c r="S21" s="134"/>
    </row>
    <row r="22" spans="2:19" s="73" customFormat="1" ht="13.5">
      <c r="B22" s="104">
        <v>15</v>
      </c>
      <c r="C22" s="121" t="s">
        <v>3648</v>
      </c>
      <c r="D22" s="119"/>
      <c r="E22" s="107" t="s">
        <v>1377</v>
      </c>
      <c r="F22" s="107">
        <v>40</v>
      </c>
      <c r="G22" s="108" t="s">
        <v>3649</v>
      </c>
      <c r="H22" s="109" t="s">
        <v>3650</v>
      </c>
      <c r="I22" s="110">
        <v>15</v>
      </c>
      <c r="J22" s="118" t="s">
        <v>3651</v>
      </c>
      <c r="K22" s="119"/>
      <c r="L22" s="113" t="s">
        <v>1354</v>
      </c>
      <c r="M22" s="112">
        <v>1000</v>
      </c>
      <c r="N22" s="108" t="s">
        <v>3649</v>
      </c>
      <c r="O22" s="108" t="s">
        <v>3650</v>
      </c>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ht="18.75" customHeight="1">
      <c r="B40" s="100"/>
      <c r="C40" s="100"/>
      <c r="D40" s="100"/>
      <c r="E40" s="100"/>
      <c r="F40" s="100"/>
      <c r="G40" s="100"/>
      <c r="H40" s="100"/>
      <c r="I40" s="100"/>
      <c r="J40" s="100"/>
      <c r="K40" s="100"/>
      <c r="L40" s="100"/>
      <c r="M40" s="100"/>
      <c r="N40" s="133"/>
      <c r="O40" s="133"/>
      <c r="P40" s="100"/>
      <c r="Q40" s="133"/>
      <c r="R40" s="133"/>
      <c r="S40" s="100"/>
    </row>
    <row r="41" spans="2:19" ht="18.75" customHeight="1">
      <c r="B41" s="51" t="s">
        <v>1025</v>
      </c>
      <c r="C41" s="73"/>
      <c r="D41" s="73"/>
      <c r="E41" s="73"/>
      <c r="F41" s="73"/>
      <c r="G41" s="73"/>
      <c r="H41" s="73"/>
      <c r="I41" s="73"/>
      <c r="J41" s="73"/>
      <c r="K41" s="73"/>
      <c r="L41" s="73"/>
      <c r="M41" s="73"/>
      <c r="N41" s="75"/>
      <c r="O41" s="75"/>
      <c r="P41" s="73"/>
      <c r="Q41" s="75"/>
      <c r="R41" s="75"/>
      <c r="S41" s="73"/>
    </row>
    <row r="42" spans="2:19" ht="18.75" customHeight="1">
      <c r="B42" s="976" t="s">
        <v>826</v>
      </c>
      <c r="C42" s="976"/>
      <c r="D42" s="976" t="s">
        <v>1029</v>
      </c>
      <c r="E42" s="976"/>
      <c r="F42" s="976"/>
      <c r="G42" s="976"/>
      <c r="H42" s="976"/>
      <c r="I42" s="976"/>
      <c r="J42" s="976"/>
      <c r="K42" s="976"/>
      <c r="L42" s="976"/>
      <c r="M42" s="976"/>
      <c r="N42" s="976"/>
      <c r="O42" s="976"/>
      <c r="P42" s="976"/>
      <c r="Q42" s="976"/>
      <c r="R42" s="976"/>
      <c r="S42" s="976"/>
    </row>
    <row r="43" spans="2:19" ht="22.5" customHeight="1">
      <c r="B43" s="977" t="s">
        <v>1033</v>
      </c>
      <c r="C43" s="978"/>
      <c r="D43" s="989"/>
      <c r="E43" s="990"/>
      <c r="F43" s="990"/>
      <c r="G43" s="990"/>
      <c r="H43" s="990"/>
      <c r="I43" s="990"/>
      <c r="J43" s="990"/>
      <c r="K43" s="990"/>
      <c r="L43" s="990"/>
      <c r="M43" s="990"/>
      <c r="N43" s="990"/>
      <c r="O43" s="990"/>
      <c r="P43" s="990"/>
      <c r="Q43" s="990"/>
      <c r="R43" s="990"/>
      <c r="S43" s="991"/>
    </row>
    <row r="44" spans="2:19" ht="24.75" customHeight="1">
      <c r="B44" s="1008" t="s">
        <v>1038</v>
      </c>
      <c r="C44" s="1009"/>
      <c r="D44" s="1010"/>
      <c r="E44" s="1011"/>
      <c r="F44" s="1011"/>
      <c r="G44" s="1011"/>
      <c r="H44" s="1011"/>
      <c r="I44" s="1011"/>
      <c r="J44" s="1011"/>
      <c r="K44" s="1011"/>
      <c r="L44" s="1011"/>
      <c r="M44" s="1011"/>
      <c r="N44" s="1011"/>
      <c r="O44" s="1011"/>
      <c r="P44" s="1011"/>
      <c r="Q44" s="1011"/>
      <c r="R44" s="1011"/>
      <c r="S44" s="1012"/>
    </row>
    <row r="45" spans="2:19" ht="18.75" customHeight="1">
      <c r="B45" s="75"/>
      <c r="C45" s="75"/>
      <c r="D45" s="75"/>
      <c r="E45" s="75"/>
      <c r="F45" s="75"/>
      <c r="G45" s="75"/>
      <c r="H45" s="75"/>
      <c r="I45" s="75"/>
      <c r="J45" s="75"/>
      <c r="K45" s="75"/>
      <c r="L45" s="75"/>
      <c r="M45" s="75"/>
      <c r="N45" s="75"/>
      <c r="O45" s="75"/>
      <c r="P45" s="75"/>
      <c r="Q45" s="75"/>
      <c r="R45" s="75"/>
      <c r="S45" s="75"/>
    </row>
    <row r="46" spans="2:19" ht="18.75" customHeight="1">
      <c r="B46" s="51" t="s">
        <v>1045</v>
      </c>
      <c r="C46" s="73"/>
      <c r="D46" s="73"/>
      <c r="E46" s="73"/>
      <c r="F46" s="73"/>
      <c r="G46" s="73"/>
      <c r="H46" s="73"/>
      <c r="I46" s="73"/>
      <c r="J46" s="73"/>
      <c r="K46" s="73"/>
      <c r="L46" s="73"/>
      <c r="M46" s="73"/>
      <c r="N46" s="75"/>
      <c r="O46" s="75"/>
      <c r="P46" s="73"/>
      <c r="Q46" s="75"/>
      <c r="R46" s="75"/>
      <c r="S46" s="73"/>
    </row>
    <row r="47" spans="2:19" ht="54" customHeight="1">
      <c r="B47" s="1014" t="s">
        <v>1049</v>
      </c>
      <c r="C47" s="1014"/>
      <c r="D47" s="1013"/>
      <c r="E47" s="1013"/>
      <c r="F47" s="1013"/>
      <c r="G47" s="1013"/>
      <c r="H47" s="1013"/>
      <c r="I47" s="1013"/>
      <c r="J47" s="1013"/>
      <c r="K47" s="1013"/>
      <c r="L47" s="1013"/>
      <c r="M47" s="1013"/>
      <c r="N47" s="1013"/>
      <c r="O47" s="1013"/>
      <c r="P47" s="1013"/>
      <c r="Q47" s="1013"/>
      <c r="R47" s="1013"/>
      <c r="S47" s="1013"/>
    </row>
    <row r="48" spans="2:19" ht="33" customHeight="1">
      <c r="B48" s="976" t="s">
        <v>1053</v>
      </c>
      <c r="C48" s="976"/>
      <c r="D48" s="1013"/>
      <c r="E48" s="1013"/>
      <c r="F48" s="1013"/>
      <c r="G48" s="1013"/>
      <c r="H48" s="1013"/>
      <c r="I48" s="1013"/>
      <c r="J48" s="1013"/>
      <c r="K48" s="1013"/>
      <c r="L48" s="1013"/>
      <c r="M48" s="1013"/>
      <c r="N48" s="1013"/>
      <c r="O48" s="1013"/>
      <c r="P48" s="1013"/>
      <c r="Q48" s="1013"/>
      <c r="R48" s="1013"/>
      <c r="S48" s="1013"/>
    </row>
    <row r="49" spans="2:19" ht="71.25" customHeight="1">
      <c r="B49" s="976" t="s">
        <v>1057</v>
      </c>
      <c r="C49" s="976"/>
      <c r="D49" s="1013"/>
      <c r="E49" s="1013"/>
      <c r="F49" s="1013"/>
      <c r="G49" s="1013"/>
      <c r="H49" s="1013"/>
      <c r="I49" s="1013"/>
      <c r="J49" s="1013"/>
      <c r="K49" s="1013"/>
      <c r="L49" s="1013"/>
      <c r="M49" s="1013"/>
      <c r="N49" s="1013"/>
      <c r="O49" s="1013"/>
      <c r="P49" s="1013"/>
      <c r="Q49" s="1013"/>
      <c r="R49" s="1013"/>
      <c r="S49" s="1013"/>
    </row>
    <row r="50" spans="2:19" ht="38.25" customHeight="1">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5" customHeight="1"/>
    <row r="52" spans="2:19" customFormat="1" ht="19.5" customHeight="1">
      <c r="C52" s="21"/>
      <c r="D52" s="20"/>
      <c r="E52" s="20"/>
      <c r="F52" s="20"/>
      <c r="G52" s="20"/>
      <c r="H52" s="20"/>
      <c r="I52" s="20"/>
      <c r="J52" s="20"/>
      <c r="K52" s="20"/>
      <c r="L52" s="20"/>
      <c r="M52" s="20"/>
      <c r="N52" s="20"/>
      <c r="O52" s="21"/>
      <c r="P52" s="21"/>
      <c r="Q52" s="20"/>
      <c r="R52" s="21"/>
      <c r="S52" s="21"/>
    </row>
    <row r="53" spans="2:19" customFormat="1" ht="19.5" customHeight="1">
      <c r="C53" s="21"/>
      <c r="D53" s="20"/>
      <c r="E53" s="20"/>
      <c r="F53" s="20"/>
      <c r="G53" s="20"/>
      <c r="H53" s="20"/>
      <c r="I53" s="20"/>
      <c r="J53" s="20"/>
      <c r="K53" s="20"/>
      <c r="L53" s="20"/>
      <c r="M53" s="20"/>
      <c r="N53" s="20"/>
      <c r="O53" s="21"/>
      <c r="P53" s="21"/>
      <c r="Q53" s="20"/>
      <c r="R53" s="21"/>
      <c r="S53" s="21"/>
    </row>
    <row r="54" spans="2:19" customFormat="1" ht="19.5" customHeight="1">
      <c r="C54" s="21"/>
      <c r="D54" s="20"/>
      <c r="E54" s="20"/>
      <c r="F54" s="20"/>
      <c r="G54" s="20"/>
      <c r="H54" s="20"/>
      <c r="I54" s="20"/>
      <c r="J54" s="20"/>
      <c r="K54" s="20"/>
      <c r="L54" s="20"/>
      <c r="M54" s="20"/>
      <c r="N54" s="20"/>
      <c r="O54" s="21"/>
      <c r="P54" s="21"/>
      <c r="Q54" s="20"/>
      <c r="R54" s="21"/>
      <c r="S54" s="21"/>
    </row>
    <row r="55" spans="2:19" customFormat="1" ht="19.5" customHeight="1"/>
    <row r="56" spans="2:19" customFormat="1" ht="19.5" customHeight="1"/>
    <row r="57" spans="2:19" customFormat="1" ht="19.5" customHeight="1"/>
    <row r="58" spans="2:19" customFormat="1" ht="19.5" customHeight="1"/>
    <row r="59" spans="2:19" customFormat="1" ht="15" customHeight="1"/>
    <row r="60" spans="2:19" customFormat="1" ht="15" customHeight="1"/>
    <row r="61" spans="2:19" customFormat="1" ht="15" customHeight="1"/>
    <row r="62" spans="2:19" customFormat="1" ht="15" customHeight="1"/>
    <row r="63" spans="2:19" customFormat="1" ht="15" customHeight="1"/>
    <row r="64" spans="2:19" customFormat="1" ht="15" customHeight="1"/>
    <row r="65" customFormat="1" ht="15" customHeight="1"/>
    <row r="66" customFormat="1" ht="15" customHeight="1"/>
    <row r="67" customFormat="1" ht="15" customHeight="1"/>
    <row r="68" customFormat="1" ht="15" customHeight="1"/>
    <row r="69" customFormat="1" ht="15" customHeight="1"/>
    <row r="70" customFormat="1" ht="15" customHeight="1"/>
    <row r="71" customFormat="1" ht="15" customHeight="1"/>
    <row r="72" customFormat="1" ht="15" customHeight="1"/>
    <row r="73" customFormat="1" ht="15" customHeight="1"/>
    <row r="74" customFormat="1" ht="15" customHeight="1"/>
    <row r="75" customFormat="1" ht="15" customHeight="1"/>
    <row r="76" customFormat="1" ht="15" customHeight="1"/>
    <row r="77" customFormat="1" ht="15" customHeight="1"/>
    <row r="78" customFormat="1" ht="15" customHeight="1"/>
    <row r="79" s="73" customFormat="1" ht="15" customHeight="1"/>
    <row r="80" s="73" customFormat="1" ht="15" customHeight="1"/>
    <row r="81" s="73" customFormat="1" ht="15" customHeight="1"/>
    <row r="82" s="73" customFormat="1" ht="15" customHeight="1"/>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0D5630C5-CA68-42D1-84C4-3C43B4779CEC}"/>
  </hyperlinks>
  <pageMargins left="0.7" right="0.7" top="0.75" bottom="0.75" header="0.3" footer="0.3"/>
  <customProperties>
    <customPr name="_pios_id" r:id="rId1"/>
  </customPropertie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96BB1-46D5-4B7D-B614-7C3A3D89D9D2}">
  <sheetPr>
    <tabColor theme="9" tint="0.79998168889431442"/>
  </sheetPr>
  <dimension ref="A1:S62"/>
  <sheetViews>
    <sheetView showGridLines="0" workbookViewId="0">
      <selection activeCell="V23" sqref="V23"/>
    </sheetView>
  </sheetViews>
  <sheetFormatPr defaultRowHeight="16.5"/>
  <cols>
    <col min="1" max="1" width="3.375" customWidth="1"/>
    <col min="2" max="2" width="6.125" customWidth="1"/>
    <col min="3" max="3" width="18.25" customWidth="1"/>
    <col min="4" max="4" width="5.25" customWidth="1"/>
    <col min="5" max="5" width="7" customWidth="1"/>
    <col min="6" max="6" width="5.25" customWidth="1"/>
    <col min="7" max="7" width="16.375" customWidth="1"/>
    <col min="8" max="8" width="17.75" customWidth="1"/>
    <col min="9" max="9" width="6" customWidth="1"/>
    <col min="10" max="10" width="17.25" customWidth="1"/>
    <col min="11" max="11" width="5.875" customWidth="1"/>
    <col min="12" max="12" width="12.75" customWidth="1"/>
    <col min="13" max="13" width="6.5" customWidth="1"/>
    <col min="14" max="14" width="17.75" customWidth="1"/>
    <col min="15" max="15" width="15.625" customWidth="1"/>
  </cols>
  <sheetData>
    <row r="1" spans="1:19" ht="17.25" thickBot="1">
      <c r="A1" s="557" t="s">
        <v>814</v>
      </c>
    </row>
    <row r="2" spans="1:19">
      <c r="B2" s="992" t="s">
        <v>3652</v>
      </c>
      <c r="C2" s="993"/>
      <c r="D2" s="993"/>
      <c r="E2" s="993"/>
      <c r="F2" s="993"/>
      <c r="G2" s="993"/>
      <c r="H2" s="993"/>
      <c r="I2" s="994"/>
      <c r="J2" s="70" t="s">
        <v>816</v>
      </c>
      <c r="K2" s="998" t="s">
        <v>128</v>
      </c>
      <c r="L2" s="999"/>
      <c r="M2" s="999"/>
      <c r="N2" s="1000"/>
      <c r="O2" s="70" t="s">
        <v>817</v>
      </c>
      <c r="P2" s="1001" t="s">
        <v>818</v>
      </c>
      <c r="Q2" s="1001"/>
      <c r="R2" s="1001"/>
      <c r="S2" s="1002"/>
    </row>
    <row r="3" spans="1:19" ht="17.25" thickBot="1">
      <c r="B3" s="995"/>
      <c r="C3" s="996"/>
      <c r="D3" s="996"/>
      <c r="E3" s="996"/>
      <c r="F3" s="996"/>
      <c r="G3" s="996"/>
      <c r="H3" s="996"/>
      <c r="I3" s="997"/>
      <c r="J3" s="72" t="s">
        <v>819</v>
      </c>
      <c r="K3" s="1003" t="s">
        <v>820</v>
      </c>
      <c r="L3" s="1004"/>
      <c r="M3" s="1004"/>
      <c r="N3" s="1005"/>
      <c r="O3" s="72" t="s">
        <v>821</v>
      </c>
      <c r="P3" s="1006">
        <v>0.1</v>
      </c>
      <c r="Q3" s="1006"/>
      <c r="R3" s="1006"/>
      <c r="S3" s="1007"/>
    </row>
    <row r="4" spans="1:19" ht="17.25" thickBot="1">
      <c r="B4" s="74" t="s">
        <v>822</v>
      </c>
      <c r="C4" s="73"/>
      <c r="D4" s="73"/>
      <c r="E4" s="73"/>
      <c r="F4" s="73"/>
      <c r="G4" s="73"/>
      <c r="H4" s="73"/>
      <c r="I4" s="73"/>
      <c r="J4" s="73"/>
      <c r="K4" s="73"/>
      <c r="L4" s="73"/>
      <c r="M4" s="73"/>
      <c r="N4" s="75"/>
      <c r="O4" s="75"/>
      <c r="P4" s="73"/>
      <c r="Q4" s="75"/>
      <c r="R4" s="75"/>
      <c r="S4" s="73"/>
    </row>
    <row r="5" spans="1:19" ht="17.45" customHeight="1">
      <c r="B5" s="979" t="s">
        <v>3653</v>
      </c>
      <c r="C5" s="980"/>
      <c r="D5" s="980"/>
      <c r="E5" s="980"/>
      <c r="F5" s="980"/>
      <c r="G5" s="980"/>
      <c r="H5" s="981"/>
      <c r="I5" s="982" t="s">
        <v>3654</v>
      </c>
      <c r="J5" s="980"/>
      <c r="K5" s="980"/>
      <c r="L5" s="980"/>
      <c r="M5" s="980"/>
      <c r="N5" s="980"/>
      <c r="O5" s="980"/>
      <c r="P5" s="980"/>
      <c r="Q5" s="980"/>
      <c r="R5" s="983" t="s">
        <v>825</v>
      </c>
      <c r="S5" s="985" t="s">
        <v>826</v>
      </c>
    </row>
    <row r="6" spans="1:19" ht="45" customHeight="1">
      <c r="B6" s="78" t="s">
        <v>828</v>
      </c>
      <c r="C6" s="987"/>
      <c r="D6" s="984"/>
      <c r="E6" s="984"/>
      <c r="F6" s="984"/>
      <c r="G6" s="984"/>
      <c r="H6" s="986"/>
      <c r="I6" s="102" t="s">
        <v>829</v>
      </c>
      <c r="J6" s="988" t="s">
        <v>830</v>
      </c>
      <c r="K6" s="984"/>
      <c r="L6" s="984"/>
      <c r="M6" s="984"/>
      <c r="N6" s="984"/>
      <c r="O6" s="984"/>
      <c r="P6" s="984"/>
      <c r="Q6" s="984"/>
      <c r="R6" s="984"/>
      <c r="S6" s="986"/>
    </row>
    <row r="7" spans="1:19" ht="27">
      <c r="B7" s="79" t="s">
        <v>831</v>
      </c>
      <c r="C7" s="80" t="s">
        <v>832</v>
      </c>
      <c r="D7" s="80" t="s">
        <v>833</v>
      </c>
      <c r="E7" s="80" t="s">
        <v>834</v>
      </c>
      <c r="F7" s="80" t="s">
        <v>835</v>
      </c>
      <c r="G7" s="80" t="s">
        <v>836</v>
      </c>
      <c r="H7" s="81" t="s">
        <v>837</v>
      </c>
      <c r="I7" s="103" t="s">
        <v>831</v>
      </c>
      <c r="J7" s="80" t="s">
        <v>832</v>
      </c>
      <c r="K7" s="80" t="s">
        <v>833</v>
      </c>
      <c r="L7" s="80" t="s">
        <v>834</v>
      </c>
      <c r="M7" s="80" t="s">
        <v>835</v>
      </c>
      <c r="N7" s="80" t="s">
        <v>836</v>
      </c>
      <c r="O7" s="80" t="s">
        <v>837</v>
      </c>
      <c r="P7" s="82" t="s">
        <v>838</v>
      </c>
      <c r="Q7" s="82" t="s">
        <v>839</v>
      </c>
      <c r="R7" s="984"/>
      <c r="S7" s="986"/>
    </row>
    <row r="8" spans="1:19">
      <c r="A8" s="73"/>
      <c r="B8" s="104">
        <v>1</v>
      </c>
      <c r="C8" s="22"/>
      <c r="D8" s="23"/>
      <c r="E8" s="22"/>
      <c r="F8" s="23"/>
      <c r="G8" s="24"/>
      <c r="H8" s="109"/>
      <c r="I8" s="110">
        <v>1</v>
      </c>
      <c r="J8" s="117" t="s">
        <v>3148</v>
      </c>
      <c r="K8" s="119" t="s">
        <v>2810</v>
      </c>
      <c r="L8" s="113" t="s">
        <v>1188</v>
      </c>
      <c r="M8" s="112">
        <v>100</v>
      </c>
      <c r="N8" s="114" t="s">
        <v>3655</v>
      </c>
      <c r="O8" s="114"/>
      <c r="P8" s="112"/>
      <c r="Q8" s="112"/>
      <c r="R8" s="114"/>
      <c r="S8" s="134"/>
    </row>
    <row r="9" spans="1:19">
      <c r="A9" s="73"/>
      <c r="B9" s="104">
        <v>2</v>
      </c>
      <c r="C9" s="22"/>
      <c r="D9" s="23"/>
      <c r="E9" s="22"/>
      <c r="F9" s="23"/>
      <c r="G9" s="24"/>
      <c r="H9" s="109"/>
      <c r="I9" s="110">
        <v>2</v>
      </c>
      <c r="J9" s="117" t="s">
        <v>3175</v>
      </c>
      <c r="K9" s="119"/>
      <c r="L9" s="113" t="s">
        <v>1188</v>
      </c>
      <c r="M9" s="112">
        <v>100</v>
      </c>
      <c r="N9" s="114" t="s">
        <v>3656</v>
      </c>
      <c r="O9" s="114"/>
      <c r="P9" s="112"/>
      <c r="Q9" s="112"/>
      <c r="R9" s="114"/>
      <c r="S9" s="134"/>
    </row>
    <row r="10" spans="1:19" ht="51.75" customHeight="1">
      <c r="A10" s="73"/>
      <c r="B10" s="104">
        <v>3</v>
      </c>
      <c r="C10" s="22"/>
      <c r="D10" s="23"/>
      <c r="E10" s="22"/>
      <c r="F10" s="23"/>
      <c r="G10" s="24"/>
      <c r="H10" s="109"/>
      <c r="I10" s="110">
        <v>3</v>
      </c>
      <c r="J10" s="118" t="s">
        <v>895</v>
      </c>
      <c r="K10" s="119"/>
      <c r="L10" s="113" t="s">
        <v>1188</v>
      </c>
      <c r="M10" s="112">
        <v>100</v>
      </c>
      <c r="N10" s="558" t="s">
        <v>3657</v>
      </c>
      <c r="O10" s="558" t="s">
        <v>3657</v>
      </c>
      <c r="P10" s="112"/>
      <c r="Q10" s="112"/>
      <c r="R10" s="114"/>
      <c r="S10" s="134"/>
    </row>
    <row r="11" spans="1:19">
      <c r="A11" s="73"/>
      <c r="B11" s="104">
        <v>4</v>
      </c>
      <c r="C11" s="22"/>
      <c r="D11" s="23"/>
      <c r="E11" s="22"/>
      <c r="F11" s="23"/>
      <c r="G11" s="24"/>
      <c r="H11" s="109"/>
      <c r="I11" s="110">
        <v>4</v>
      </c>
      <c r="J11" s="118"/>
      <c r="K11" s="119"/>
      <c r="L11" s="113"/>
      <c r="M11" s="112"/>
      <c r="N11" s="108"/>
      <c r="O11" s="108"/>
      <c r="P11" s="119"/>
      <c r="Q11" s="119"/>
      <c r="R11" s="108"/>
      <c r="S11" s="134"/>
    </row>
    <row r="12" spans="1:19">
      <c r="A12" s="73"/>
      <c r="B12" s="104">
        <v>5</v>
      </c>
      <c r="C12" s="22"/>
      <c r="D12" s="23"/>
      <c r="E12" s="22"/>
      <c r="F12" s="23"/>
      <c r="G12" s="24"/>
      <c r="H12" s="109"/>
      <c r="I12" s="110">
        <v>5</v>
      </c>
      <c r="J12" s="118"/>
      <c r="K12" s="119"/>
      <c r="L12" s="113"/>
      <c r="M12" s="112"/>
      <c r="N12" s="108"/>
      <c r="O12" s="108"/>
      <c r="P12" s="119"/>
      <c r="Q12" s="119"/>
      <c r="R12" s="108"/>
      <c r="S12" s="134"/>
    </row>
    <row r="13" spans="1:19">
      <c r="A13" s="73"/>
      <c r="B13" s="104">
        <v>6</v>
      </c>
      <c r="C13" s="22"/>
      <c r="D13" s="23"/>
      <c r="E13" s="22"/>
      <c r="F13" s="23"/>
      <c r="G13" s="24"/>
      <c r="H13" s="109"/>
      <c r="I13" s="110">
        <v>6</v>
      </c>
      <c r="J13" s="118"/>
      <c r="K13" s="106"/>
      <c r="L13" s="113"/>
      <c r="M13" s="112"/>
      <c r="N13" s="108"/>
      <c r="O13" s="108"/>
      <c r="P13" s="119"/>
      <c r="Q13" s="112"/>
      <c r="R13" s="114"/>
      <c r="S13" s="134"/>
    </row>
    <row r="14" spans="1:19">
      <c r="A14" s="73"/>
      <c r="B14" s="104">
        <v>7</v>
      </c>
      <c r="C14" s="25"/>
      <c r="D14" s="23"/>
      <c r="E14" s="25"/>
      <c r="F14" s="27"/>
      <c r="G14" s="26"/>
      <c r="H14" s="109"/>
      <c r="I14" s="110">
        <v>7</v>
      </c>
      <c r="J14" s="118"/>
      <c r="K14" s="106"/>
      <c r="L14" s="113"/>
      <c r="M14" s="112"/>
      <c r="N14" s="108"/>
      <c r="O14" s="108"/>
      <c r="P14" s="119"/>
      <c r="Q14" s="112"/>
      <c r="R14" s="114"/>
      <c r="S14" s="134"/>
    </row>
    <row r="15" spans="1:19">
      <c r="A15" s="73"/>
      <c r="B15" s="104">
        <v>8</v>
      </c>
      <c r="C15" s="105"/>
      <c r="D15" s="119"/>
      <c r="E15" s="107"/>
      <c r="F15" s="107"/>
      <c r="G15" s="108"/>
      <c r="H15" s="109"/>
      <c r="I15" s="110">
        <v>8</v>
      </c>
      <c r="J15" s="118"/>
      <c r="K15" s="106"/>
      <c r="L15" s="113"/>
      <c r="M15" s="112"/>
      <c r="N15" s="108"/>
      <c r="O15" s="108"/>
      <c r="P15" s="119"/>
      <c r="Q15" s="112"/>
      <c r="R15" s="114"/>
      <c r="S15" s="134"/>
    </row>
    <row r="16" spans="1:19">
      <c r="A16" s="73"/>
      <c r="B16" s="104">
        <v>9</v>
      </c>
      <c r="C16" s="105"/>
      <c r="D16" s="119"/>
      <c r="E16" s="107"/>
      <c r="F16" s="107"/>
      <c r="G16" s="108"/>
      <c r="H16" s="109"/>
      <c r="I16" s="110">
        <v>9</v>
      </c>
      <c r="J16" s="118"/>
      <c r="K16" s="106"/>
      <c r="L16" s="113"/>
      <c r="M16" s="112"/>
      <c r="N16" s="108"/>
      <c r="O16" s="108"/>
      <c r="P16" s="119"/>
      <c r="Q16" s="112"/>
      <c r="R16" s="114"/>
      <c r="S16" s="134"/>
    </row>
    <row r="17" spans="1:19">
      <c r="A17" s="73"/>
      <c r="B17" s="104">
        <v>10</v>
      </c>
      <c r="C17" s="105"/>
      <c r="D17" s="119"/>
      <c r="E17" s="107"/>
      <c r="F17" s="107"/>
      <c r="G17" s="108"/>
      <c r="H17" s="109"/>
      <c r="I17" s="110">
        <v>10</v>
      </c>
      <c r="J17" s="117"/>
      <c r="K17" s="120"/>
      <c r="L17" s="113"/>
      <c r="M17" s="112"/>
      <c r="N17" s="108"/>
      <c r="O17" s="108"/>
      <c r="P17" s="112"/>
      <c r="Q17" s="112"/>
      <c r="R17" s="114"/>
      <c r="S17" s="134"/>
    </row>
    <row r="18" spans="1:19">
      <c r="A18" s="73"/>
      <c r="B18" s="104">
        <v>11</v>
      </c>
      <c r="C18" s="105"/>
      <c r="D18" s="119"/>
      <c r="E18" s="107"/>
      <c r="F18" s="107"/>
      <c r="G18" s="108"/>
      <c r="H18" s="109"/>
      <c r="I18" s="110">
        <v>11</v>
      </c>
      <c r="J18" s="117"/>
      <c r="K18" s="112"/>
      <c r="L18" s="113"/>
      <c r="M18" s="112"/>
      <c r="N18" s="114"/>
      <c r="O18" s="114"/>
      <c r="P18" s="112"/>
      <c r="Q18" s="112"/>
      <c r="R18" s="114"/>
      <c r="S18" s="134"/>
    </row>
    <row r="19" spans="1:19">
      <c r="A19" s="73"/>
      <c r="B19" s="104">
        <v>12</v>
      </c>
      <c r="C19" s="121"/>
      <c r="D19" s="119"/>
      <c r="E19" s="107"/>
      <c r="F19" s="107"/>
      <c r="G19" s="108"/>
      <c r="H19" s="109"/>
      <c r="I19" s="110">
        <v>12</v>
      </c>
      <c r="J19" s="117"/>
      <c r="K19" s="120"/>
      <c r="L19" s="113"/>
      <c r="M19" s="112"/>
      <c r="N19" s="114"/>
      <c r="O19" s="114"/>
      <c r="P19" s="112"/>
      <c r="Q19" s="112"/>
      <c r="R19" s="114"/>
      <c r="S19" s="134"/>
    </row>
    <row r="20" spans="1:19">
      <c r="A20" s="73"/>
      <c r="B20" s="104">
        <v>13</v>
      </c>
      <c r="C20" s="121"/>
      <c r="D20" s="119"/>
      <c r="E20" s="107"/>
      <c r="F20" s="107"/>
      <c r="G20" s="108"/>
      <c r="H20" s="109"/>
      <c r="I20" s="110">
        <v>13</v>
      </c>
      <c r="J20" s="117"/>
      <c r="K20" s="120"/>
      <c r="L20" s="113"/>
      <c r="M20" s="112"/>
      <c r="N20" s="114"/>
      <c r="O20" s="114"/>
      <c r="P20" s="112"/>
      <c r="Q20" s="112"/>
      <c r="R20" s="114"/>
      <c r="S20" s="134"/>
    </row>
    <row r="21" spans="1:19">
      <c r="A21" s="73"/>
      <c r="B21" s="104">
        <v>14</v>
      </c>
      <c r="C21" s="121"/>
      <c r="D21" s="119"/>
      <c r="E21" s="107"/>
      <c r="F21" s="107"/>
      <c r="G21" s="108"/>
      <c r="H21" s="109"/>
      <c r="I21" s="110">
        <v>14</v>
      </c>
      <c r="J21" s="118"/>
      <c r="K21" s="119"/>
      <c r="L21" s="113"/>
      <c r="M21" s="112"/>
      <c r="N21" s="108"/>
      <c r="O21" s="108"/>
      <c r="P21" s="119"/>
      <c r="Q21" s="119"/>
      <c r="R21" s="108"/>
      <c r="S21" s="134"/>
    </row>
    <row r="22" spans="1:19">
      <c r="A22" s="73"/>
      <c r="B22" s="104">
        <v>15</v>
      </c>
      <c r="C22" s="121"/>
      <c r="D22" s="119"/>
      <c r="E22" s="107"/>
      <c r="F22" s="107"/>
      <c r="G22" s="108"/>
      <c r="H22" s="109"/>
      <c r="I22" s="110">
        <v>15</v>
      </c>
      <c r="J22" s="118"/>
      <c r="K22" s="119"/>
      <c r="L22" s="113"/>
      <c r="M22" s="112"/>
      <c r="N22" s="108"/>
      <c r="O22" s="108"/>
      <c r="P22" s="119"/>
      <c r="Q22" s="119"/>
      <c r="R22" s="108"/>
      <c r="S22" s="134"/>
    </row>
    <row r="23" spans="1:19">
      <c r="A23" s="73"/>
      <c r="B23" s="104">
        <v>16</v>
      </c>
      <c r="C23" s="121"/>
      <c r="D23" s="119"/>
      <c r="E23" s="107"/>
      <c r="F23" s="107"/>
      <c r="G23" s="108"/>
      <c r="H23" s="109"/>
      <c r="I23" s="110">
        <v>16</v>
      </c>
      <c r="J23" s="105"/>
      <c r="K23" s="119"/>
      <c r="L23" s="113"/>
      <c r="M23" s="112"/>
      <c r="N23" s="114"/>
      <c r="O23" s="114"/>
      <c r="P23" s="119"/>
      <c r="Q23" s="119"/>
      <c r="R23" s="108"/>
      <c r="S23" s="134"/>
    </row>
    <row r="24" spans="1:19">
      <c r="A24" s="73"/>
      <c r="B24" s="104">
        <v>17</v>
      </c>
      <c r="C24" s="121"/>
      <c r="D24" s="119"/>
      <c r="E24" s="107"/>
      <c r="F24" s="107"/>
      <c r="G24" s="108"/>
      <c r="H24" s="109"/>
      <c r="I24" s="110">
        <v>17</v>
      </c>
      <c r="J24" s="105"/>
      <c r="K24" s="119"/>
      <c r="L24" s="113"/>
      <c r="M24" s="112"/>
      <c r="N24" s="114"/>
      <c r="O24" s="114"/>
      <c r="P24" s="119"/>
      <c r="Q24" s="119"/>
      <c r="R24" s="108"/>
      <c r="S24" s="134"/>
    </row>
    <row r="25" spans="1:19">
      <c r="A25" s="73"/>
      <c r="B25" s="104">
        <v>18</v>
      </c>
      <c r="C25" s="121"/>
      <c r="D25" s="119"/>
      <c r="E25" s="107"/>
      <c r="F25" s="107"/>
      <c r="G25" s="108"/>
      <c r="H25" s="109"/>
      <c r="I25" s="110">
        <v>18</v>
      </c>
      <c r="J25" s="105"/>
      <c r="K25" s="119"/>
      <c r="L25" s="113"/>
      <c r="M25" s="112"/>
      <c r="N25" s="114"/>
      <c r="O25" s="114"/>
      <c r="P25" s="119"/>
      <c r="Q25" s="119"/>
      <c r="R25" s="108"/>
      <c r="S25" s="134"/>
    </row>
    <row r="26" spans="1:19">
      <c r="A26" s="73"/>
      <c r="B26" s="104">
        <v>19</v>
      </c>
      <c r="C26" s="121"/>
      <c r="D26" s="119"/>
      <c r="E26" s="107"/>
      <c r="F26" s="107"/>
      <c r="G26" s="108"/>
      <c r="H26" s="109"/>
      <c r="I26" s="110">
        <v>19</v>
      </c>
      <c r="J26" s="105"/>
      <c r="K26" s="119"/>
      <c r="L26" s="113"/>
      <c r="M26" s="112"/>
      <c r="N26" s="114"/>
      <c r="O26" s="114"/>
      <c r="P26" s="119"/>
      <c r="Q26" s="119"/>
      <c r="R26" s="108"/>
      <c r="S26" s="134"/>
    </row>
    <row r="27" spans="1:19">
      <c r="A27" s="73"/>
      <c r="B27" s="104">
        <v>20</v>
      </c>
      <c r="C27" s="121"/>
      <c r="D27" s="119"/>
      <c r="E27" s="107"/>
      <c r="F27" s="107"/>
      <c r="G27" s="108"/>
      <c r="H27" s="109"/>
      <c r="I27" s="110">
        <v>20</v>
      </c>
      <c r="J27" s="105"/>
      <c r="K27" s="119"/>
      <c r="L27" s="113"/>
      <c r="M27" s="112"/>
      <c r="N27" s="114"/>
      <c r="O27" s="114"/>
      <c r="P27" s="119"/>
      <c r="Q27" s="119"/>
      <c r="R27" s="108"/>
      <c r="S27" s="134"/>
    </row>
    <row r="28" spans="1:19">
      <c r="A28" s="73"/>
      <c r="B28" s="104">
        <v>21</v>
      </c>
      <c r="C28" s="121"/>
      <c r="D28" s="119"/>
      <c r="E28" s="107"/>
      <c r="F28" s="107"/>
      <c r="G28" s="108"/>
      <c r="H28" s="109"/>
      <c r="I28" s="110">
        <v>21</v>
      </c>
      <c r="J28" s="105"/>
      <c r="K28" s="119"/>
      <c r="L28" s="113"/>
      <c r="M28" s="112"/>
      <c r="N28" s="114"/>
      <c r="O28" s="114"/>
      <c r="P28" s="119"/>
      <c r="Q28" s="119"/>
      <c r="R28" s="108"/>
      <c r="S28" s="134"/>
    </row>
    <row r="29" spans="1:19">
      <c r="A29" s="73"/>
      <c r="B29" s="104">
        <v>22</v>
      </c>
      <c r="C29" s="121"/>
      <c r="D29" s="119"/>
      <c r="E29" s="107"/>
      <c r="F29" s="107"/>
      <c r="G29" s="108"/>
      <c r="H29" s="109"/>
      <c r="I29" s="110">
        <v>22</v>
      </c>
      <c r="J29" s="105"/>
      <c r="K29" s="119"/>
      <c r="L29" s="113"/>
      <c r="M29" s="112"/>
      <c r="N29" s="114"/>
      <c r="O29" s="114"/>
      <c r="P29" s="119"/>
      <c r="Q29" s="119"/>
      <c r="R29" s="108"/>
      <c r="S29" s="134"/>
    </row>
    <row r="30" spans="1:19">
      <c r="A30" s="73"/>
      <c r="B30" s="104">
        <v>23</v>
      </c>
      <c r="C30" s="121"/>
      <c r="D30" s="119"/>
      <c r="E30" s="107"/>
      <c r="F30" s="107"/>
      <c r="G30" s="108"/>
      <c r="H30" s="109"/>
      <c r="I30" s="110">
        <v>23</v>
      </c>
      <c r="J30" s="105"/>
      <c r="K30" s="119"/>
      <c r="L30" s="113"/>
      <c r="M30" s="112"/>
      <c r="N30" s="114"/>
      <c r="O30" s="114"/>
      <c r="P30" s="119"/>
      <c r="Q30" s="119"/>
      <c r="R30" s="108"/>
      <c r="S30" s="134"/>
    </row>
    <row r="31" spans="1:19">
      <c r="A31" s="73"/>
      <c r="B31" s="104">
        <v>24</v>
      </c>
      <c r="C31" s="121"/>
      <c r="D31" s="119"/>
      <c r="E31" s="107"/>
      <c r="F31" s="107"/>
      <c r="G31" s="108"/>
      <c r="H31" s="109"/>
      <c r="I31" s="110">
        <v>24</v>
      </c>
      <c r="J31" s="105"/>
      <c r="K31" s="119"/>
      <c r="L31" s="113"/>
      <c r="M31" s="112"/>
      <c r="N31" s="114"/>
      <c r="O31" s="114"/>
      <c r="P31" s="119"/>
      <c r="Q31" s="119"/>
      <c r="R31" s="108"/>
      <c r="S31" s="134"/>
    </row>
    <row r="32" spans="1:19">
      <c r="A32" s="73"/>
      <c r="B32" s="104">
        <v>25</v>
      </c>
      <c r="C32" s="121"/>
      <c r="D32" s="119"/>
      <c r="E32" s="107"/>
      <c r="F32" s="107"/>
      <c r="G32" s="108"/>
      <c r="H32" s="109"/>
      <c r="I32" s="110">
        <v>25</v>
      </c>
      <c r="J32" s="105"/>
      <c r="K32" s="119"/>
      <c r="L32" s="113"/>
      <c r="M32" s="112"/>
      <c r="N32" s="114"/>
      <c r="O32" s="114"/>
      <c r="P32" s="119"/>
      <c r="Q32" s="119"/>
      <c r="R32" s="108"/>
      <c r="S32" s="134"/>
    </row>
    <row r="33" spans="1:19">
      <c r="A33" s="73"/>
      <c r="B33" s="104">
        <v>26</v>
      </c>
      <c r="C33" s="121"/>
      <c r="D33" s="119"/>
      <c r="E33" s="107"/>
      <c r="F33" s="107"/>
      <c r="G33" s="108"/>
      <c r="H33" s="109"/>
      <c r="I33" s="110">
        <v>26</v>
      </c>
      <c r="J33" s="105"/>
      <c r="K33" s="119"/>
      <c r="L33" s="113"/>
      <c r="M33" s="112"/>
      <c r="N33" s="114"/>
      <c r="O33" s="114"/>
      <c r="P33" s="119"/>
      <c r="Q33" s="119"/>
      <c r="R33" s="108"/>
      <c r="S33" s="134"/>
    </row>
    <row r="34" spans="1:19">
      <c r="A34" s="73"/>
      <c r="B34" s="104">
        <v>27</v>
      </c>
      <c r="C34" s="121"/>
      <c r="D34" s="119"/>
      <c r="E34" s="107"/>
      <c r="F34" s="107"/>
      <c r="G34" s="108"/>
      <c r="H34" s="109"/>
      <c r="I34" s="110">
        <v>27</v>
      </c>
      <c r="J34" s="105"/>
      <c r="K34" s="119"/>
      <c r="L34" s="113"/>
      <c r="M34" s="112"/>
      <c r="N34" s="114"/>
      <c r="O34" s="114"/>
      <c r="P34" s="119"/>
      <c r="Q34" s="119"/>
      <c r="R34" s="108"/>
      <c r="S34" s="134"/>
    </row>
    <row r="35" spans="1:19">
      <c r="A35" s="73"/>
      <c r="B35" s="104">
        <v>28</v>
      </c>
      <c r="C35" s="121"/>
      <c r="D35" s="119"/>
      <c r="E35" s="107"/>
      <c r="F35" s="107"/>
      <c r="G35" s="108"/>
      <c r="H35" s="109"/>
      <c r="I35" s="110">
        <v>28</v>
      </c>
      <c r="J35" s="105"/>
      <c r="K35" s="119"/>
      <c r="L35" s="113"/>
      <c r="M35" s="112"/>
      <c r="N35" s="114"/>
      <c r="O35" s="114"/>
      <c r="P35" s="119"/>
      <c r="Q35" s="119"/>
      <c r="R35" s="108"/>
      <c r="S35" s="134"/>
    </row>
    <row r="36" spans="1:19">
      <c r="A36" s="73"/>
      <c r="B36" s="104">
        <v>29</v>
      </c>
      <c r="C36" s="121"/>
      <c r="D36" s="119"/>
      <c r="E36" s="107"/>
      <c r="F36" s="107"/>
      <c r="G36" s="108"/>
      <c r="H36" s="109"/>
      <c r="I36" s="110">
        <v>29</v>
      </c>
      <c r="J36" s="105"/>
      <c r="K36" s="119"/>
      <c r="L36" s="113"/>
      <c r="M36" s="112"/>
      <c r="N36" s="114"/>
      <c r="O36" s="114"/>
      <c r="P36" s="119"/>
      <c r="Q36" s="119"/>
      <c r="R36" s="108"/>
      <c r="S36" s="134"/>
    </row>
    <row r="37" spans="1:19">
      <c r="A37" s="73"/>
      <c r="B37" s="104">
        <v>30</v>
      </c>
      <c r="C37" s="121"/>
      <c r="D37" s="119"/>
      <c r="E37" s="107"/>
      <c r="F37" s="107"/>
      <c r="G37" s="108"/>
      <c r="H37" s="109"/>
      <c r="I37" s="110">
        <v>30</v>
      </c>
      <c r="J37" s="105"/>
      <c r="K37" s="119"/>
      <c r="L37" s="113"/>
      <c r="M37" s="112"/>
      <c r="N37" s="114"/>
      <c r="O37" s="114"/>
      <c r="P37" s="119"/>
      <c r="Q37" s="119"/>
      <c r="R37" s="108"/>
      <c r="S37" s="134"/>
    </row>
    <row r="38" spans="1:19">
      <c r="A38" s="73"/>
      <c r="B38" s="104">
        <v>31</v>
      </c>
      <c r="C38" s="121"/>
      <c r="D38" s="119"/>
      <c r="E38" s="107"/>
      <c r="F38" s="107"/>
      <c r="G38" s="108"/>
      <c r="H38" s="109"/>
      <c r="I38" s="110">
        <v>31</v>
      </c>
      <c r="J38" s="105"/>
      <c r="K38" s="119"/>
      <c r="L38" s="113"/>
      <c r="M38" s="112"/>
      <c r="N38" s="114"/>
      <c r="O38" s="114"/>
      <c r="P38" s="119"/>
      <c r="Q38" s="119"/>
      <c r="R38" s="108"/>
      <c r="S38" s="134"/>
    </row>
    <row r="39" spans="1:19" ht="17.25" thickBot="1">
      <c r="A39" s="73"/>
      <c r="B39" s="129"/>
      <c r="C39" s="130"/>
      <c r="D39" s="131"/>
      <c r="E39" s="131"/>
      <c r="F39" s="131"/>
      <c r="G39" s="131"/>
      <c r="H39" s="132"/>
      <c r="I39" s="135"/>
      <c r="J39" s="130"/>
      <c r="K39" s="131"/>
      <c r="L39" s="130"/>
      <c r="M39" s="131"/>
      <c r="N39" s="131"/>
      <c r="O39" s="131"/>
      <c r="P39" s="131"/>
      <c r="Q39" s="131"/>
      <c r="R39" s="131"/>
      <c r="S39" s="136"/>
    </row>
    <row r="40" spans="1:19">
      <c r="B40" s="100"/>
      <c r="C40" s="100"/>
      <c r="D40" s="100"/>
      <c r="E40" s="100"/>
      <c r="F40" s="100"/>
      <c r="G40" s="100"/>
      <c r="H40" s="100"/>
      <c r="I40" s="100"/>
      <c r="J40" s="100"/>
      <c r="K40" s="100"/>
      <c r="L40" s="100"/>
      <c r="M40" s="100"/>
      <c r="N40" s="133"/>
      <c r="O40" s="133"/>
      <c r="P40" s="100"/>
      <c r="Q40" s="133"/>
      <c r="R40" s="133"/>
      <c r="S40" s="100"/>
    </row>
    <row r="41" spans="1:19">
      <c r="B41" s="51" t="s">
        <v>1025</v>
      </c>
      <c r="C41" s="73"/>
      <c r="D41" s="73"/>
      <c r="E41" s="73"/>
      <c r="F41" s="73"/>
      <c r="G41" s="73"/>
      <c r="H41" s="73"/>
      <c r="I41" s="73"/>
      <c r="J41" s="73"/>
      <c r="K41" s="73"/>
      <c r="L41" s="73"/>
      <c r="M41" s="73"/>
      <c r="N41" s="75"/>
      <c r="O41" s="75"/>
      <c r="P41" s="73"/>
      <c r="Q41" s="75"/>
      <c r="R41" s="75"/>
      <c r="S41" s="73"/>
    </row>
    <row r="42" spans="1:19">
      <c r="B42" s="976" t="s">
        <v>826</v>
      </c>
      <c r="C42" s="976"/>
      <c r="D42" s="976" t="s">
        <v>1029</v>
      </c>
      <c r="E42" s="976"/>
      <c r="F42" s="976"/>
      <c r="G42" s="976"/>
      <c r="H42" s="976"/>
      <c r="I42" s="976"/>
      <c r="J42" s="976"/>
      <c r="K42" s="976"/>
      <c r="L42" s="976"/>
      <c r="M42" s="976"/>
      <c r="N42" s="976"/>
      <c r="O42" s="976"/>
      <c r="P42" s="976"/>
      <c r="Q42" s="976"/>
      <c r="R42" s="976"/>
      <c r="S42" s="976"/>
    </row>
    <row r="43" spans="1:19">
      <c r="B43" s="977" t="s">
        <v>1033</v>
      </c>
      <c r="C43" s="978"/>
      <c r="D43" s="1078"/>
      <c r="E43" s="1079"/>
      <c r="F43" s="1079"/>
      <c r="G43" s="1079"/>
      <c r="H43" s="1079"/>
      <c r="I43" s="1079"/>
      <c r="J43" s="1079"/>
      <c r="K43" s="1079"/>
      <c r="L43" s="1079"/>
      <c r="M43" s="1079"/>
      <c r="N43" s="1079"/>
      <c r="O43" s="1079"/>
      <c r="P43" s="1079"/>
      <c r="Q43" s="1079"/>
      <c r="R43" s="1079"/>
      <c r="S43" s="1080"/>
    </row>
    <row r="44" spans="1:19">
      <c r="B44" s="1008" t="s">
        <v>1038</v>
      </c>
      <c r="C44" s="1009"/>
      <c r="D44" s="1081"/>
      <c r="E44" s="1082"/>
      <c r="F44" s="1082"/>
      <c r="G44" s="1082"/>
      <c r="H44" s="1082"/>
      <c r="I44" s="1082"/>
      <c r="J44" s="1082"/>
      <c r="K44" s="1082"/>
      <c r="L44" s="1082"/>
      <c r="M44" s="1082"/>
      <c r="N44" s="1082"/>
      <c r="O44" s="1082"/>
      <c r="P44" s="1082"/>
      <c r="Q44" s="1082"/>
      <c r="R44" s="1082"/>
      <c r="S44" s="1083"/>
    </row>
    <row r="45" spans="1:19">
      <c r="B45" s="75"/>
      <c r="C45" s="75"/>
      <c r="D45" s="5"/>
      <c r="E45" s="5"/>
      <c r="F45" s="5"/>
      <c r="G45" s="5"/>
      <c r="H45" s="5"/>
      <c r="I45" s="5"/>
      <c r="J45" s="5"/>
      <c r="K45" s="5"/>
      <c r="L45" s="5"/>
      <c r="M45" s="5"/>
      <c r="N45" s="5"/>
      <c r="O45" s="5"/>
      <c r="P45" s="5"/>
      <c r="Q45" s="5"/>
      <c r="R45" s="5"/>
      <c r="S45" s="5"/>
    </row>
    <row r="46" spans="1:19">
      <c r="B46" s="51" t="s">
        <v>1045</v>
      </c>
      <c r="C46" s="73"/>
      <c r="D46" s="4"/>
      <c r="E46" s="4"/>
      <c r="F46" s="4"/>
      <c r="G46" s="4"/>
      <c r="H46" s="4"/>
      <c r="I46" s="4"/>
      <c r="J46" s="4"/>
      <c r="K46" s="4"/>
      <c r="L46" s="4"/>
      <c r="M46" s="4"/>
      <c r="N46" s="5"/>
      <c r="O46" s="5"/>
      <c r="P46" s="4"/>
      <c r="Q46" s="5"/>
      <c r="R46" s="5"/>
      <c r="S46" s="4"/>
    </row>
    <row r="47" spans="1:19">
      <c r="B47" s="1014" t="s">
        <v>1049</v>
      </c>
      <c r="C47" s="1014"/>
      <c r="D47" s="1085"/>
      <c r="E47" s="1084"/>
      <c r="F47" s="1084"/>
      <c r="G47" s="1084"/>
      <c r="H47" s="1084"/>
      <c r="I47" s="1084"/>
      <c r="J47" s="1084"/>
      <c r="K47" s="1084"/>
      <c r="L47" s="1084"/>
      <c r="M47" s="1084"/>
      <c r="N47" s="1084"/>
      <c r="O47" s="1084"/>
      <c r="P47" s="1084"/>
      <c r="Q47" s="1084"/>
      <c r="R47" s="1084"/>
      <c r="S47" s="1084"/>
    </row>
    <row r="48" spans="1:19">
      <c r="B48" s="976" t="s">
        <v>1053</v>
      </c>
      <c r="C48" s="976"/>
      <c r="D48" s="1084"/>
      <c r="E48" s="1084"/>
      <c r="F48" s="1084"/>
      <c r="G48" s="1084"/>
      <c r="H48" s="1084"/>
      <c r="I48" s="1084"/>
      <c r="J48" s="1084"/>
      <c r="K48" s="1084"/>
      <c r="L48" s="1084"/>
      <c r="M48" s="1084"/>
      <c r="N48" s="1084"/>
      <c r="O48" s="1084"/>
      <c r="P48" s="1084"/>
      <c r="Q48" s="1084"/>
      <c r="R48" s="1084"/>
      <c r="S48" s="1084"/>
    </row>
    <row r="49" spans="1:19">
      <c r="B49" s="976" t="s">
        <v>1057</v>
      </c>
      <c r="C49" s="976"/>
      <c r="D49" s="1084"/>
      <c r="E49" s="1084"/>
      <c r="F49" s="1084"/>
      <c r="G49" s="1084"/>
      <c r="H49" s="1084"/>
      <c r="I49" s="1084"/>
      <c r="J49" s="1084"/>
      <c r="K49" s="1084"/>
      <c r="L49" s="1084"/>
      <c r="M49" s="1084"/>
      <c r="N49" s="1084"/>
      <c r="O49" s="1084"/>
      <c r="P49" s="1084"/>
      <c r="Q49" s="1084"/>
      <c r="R49" s="1084"/>
      <c r="S49" s="1084"/>
    </row>
    <row r="50" spans="1:19">
      <c r="B50" s="976" t="s">
        <v>1061</v>
      </c>
      <c r="C50" s="976"/>
      <c r="D50" s="1084"/>
      <c r="E50" s="1084"/>
      <c r="F50" s="1084"/>
      <c r="G50" s="1084"/>
      <c r="H50" s="1084"/>
      <c r="I50" s="1084"/>
      <c r="J50" s="1084"/>
      <c r="K50" s="1084"/>
      <c r="L50" s="1084"/>
      <c r="M50" s="1084"/>
      <c r="N50" s="1084"/>
      <c r="O50" s="1084"/>
      <c r="P50" s="1084"/>
      <c r="Q50" s="1084"/>
      <c r="R50" s="1084"/>
      <c r="S50" s="1084"/>
    </row>
    <row r="51" spans="1:19">
      <c r="A51" s="73"/>
      <c r="B51" s="73"/>
      <c r="C51" s="73"/>
      <c r="D51" s="73"/>
      <c r="E51" s="73"/>
      <c r="F51" s="73"/>
      <c r="G51" s="73"/>
      <c r="H51" s="73"/>
      <c r="I51" s="73"/>
      <c r="J51" s="73"/>
      <c r="K51" s="73"/>
      <c r="L51" s="73"/>
      <c r="M51" s="73"/>
      <c r="N51" s="73"/>
      <c r="O51" s="73"/>
      <c r="P51" s="73"/>
      <c r="Q51" s="73"/>
      <c r="R51" s="73"/>
      <c r="S51" s="73"/>
    </row>
    <row r="52" spans="1:19">
      <c r="A52" s="50"/>
      <c r="B52" s="50" t="s">
        <v>2442</v>
      </c>
      <c r="C52" s="21"/>
      <c r="D52" s="20"/>
      <c r="E52" s="20"/>
      <c r="F52" s="20"/>
      <c r="G52" s="20"/>
      <c r="H52" s="20"/>
      <c r="I52" s="20"/>
      <c r="J52" s="20"/>
      <c r="K52" s="20"/>
      <c r="L52" s="20"/>
      <c r="M52" s="20"/>
      <c r="N52" s="20"/>
      <c r="O52" s="21"/>
      <c r="P52" s="21"/>
      <c r="Q52" s="20"/>
      <c r="R52" s="21"/>
      <c r="S52" s="21"/>
    </row>
    <row r="53" spans="1:19">
      <c r="A53" s="50"/>
      <c r="B53" s="50" t="s">
        <v>2443</v>
      </c>
      <c r="C53" s="21"/>
      <c r="D53" s="20"/>
      <c r="E53" s="20"/>
      <c r="F53" s="20"/>
      <c r="G53" s="20"/>
      <c r="H53" s="20"/>
      <c r="I53" s="20"/>
      <c r="J53" s="20"/>
      <c r="K53" s="20"/>
      <c r="L53" s="20"/>
      <c r="M53" s="20"/>
      <c r="N53" s="20"/>
      <c r="O53" s="21"/>
      <c r="P53" s="21"/>
      <c r="Q53" s="20"/>
      <c r="R53" s="21"/>
      <c r="S53" s="21"/>
    </row>
    <row r="54" spans="1:19">
      <c r="A54" s="50"/>
      <c r="B54" s="50" t="s">
        <v>2444</v>
      </c>
      <c r="C54" s="21"/>
      <c r="D54" s="20"/>
      <c r="E54" s="20"/>
      <c r="F54" s="20"/>
      <c r="G54" s="20"/>
      <c r="H54" s="20"/>
      <c r="I54" s="20"/>
      <c r="J54" s="20"/>
      <c r="K54" s="20"/>
      <c r="L54" s="20"/>
      <c r="M54" s="20"/>
      <c r="N54" s="20"/>
      <c r="O54" s="21"/>
      <c r="P54" s="21"/>
      <c r="Q54" s="20"/>
      <c r="R54" s="21"/>
      <c r="S54" s="21"/>
    </row>
    <row r="55" spans="1:19">
      <c r="A55" s="50"/>
      <c r="B55" s="50" t="s">
        <v>2445</v>
      </c>
      <c r="C55" s="21"/>
      <c r="D55" s="20"/>
      <c r="E55" s="20"/>
      <c r="F55" s="20"/>
      <c r="G55" s="20"/>
      <c r="H55" s="20"/>
      <c r="I55" s="20"/>
      <c r="J55" s="20"/>
      <c r="K55" s="20"/>
      <c r="L55" s="20"/>
      <c r="M55" s="20"/>
      <c r="N55" s="20"/>
      <c r="O55" s="21"/>
      <c r="P55" s="21"/>
      <c r="Q55" s="20"/>
      <c r="R55" s="21"/>
      <c r="S55" s="21"/>
    </row>
    <row r="56" spans="1:19">
      <c r="A56" s="50"/>
      <c r="B56" s="50" t="s">
        <v>2446</v>
      </c>
      <c r="C56" s="21"/>
      <c r="D56" s="20"/>
      <c r="E56" s="20"/>
      <c r="F56" s="20"/>
      <c r="G56" s="20"/>
      <c r="H56" s="20"/>
      <c r="I56" s="20"/>
      <c r="J56" s="20"/>
      <c r="K56" s="20"/>
      <c r="L56" s="20"/>
      <c r="M56" s="20"/>
      <c r="N56" s="20"/>
      <c r="O56" s="21"/>
      <c r="P56" s="21"/>
      <c r="Q56" s="20"/>
      <c r="R56" s="21"/>
      <c r="S56" s="21"/>
    </row>
    <row r="57" spans="1:19">
      <c r="A57" s="50"/>
      <c r="B57" s="50" t="s">
        <v>2447</v>
      </c>
      <c r="C57" s="50"/>
      <c r="D57" s="50"/>
      <c r="E57" s="50"/>
      <c r="F57" s="50"/>
      <c r="G57" s="50"/>
      <c r="H57" s="50"/>
      <c r="I57" s="50"/>
      <c r="J57" s="50"/>
      <c r="K57" s="50"/>
      <c r="L57" s="50"/>
      <c r="M57" s="50"/>
      <c r="N57" s="50"/>
      <c r="O57" s="50"/>
      <c r="P57" s="50"/>
      <c r="Q57" s="50"/>
      <c r="R57" s="50"/>
      <c r="S57" s="50"/>
    </row>
    <row r="58" spans="1:19">
      <c r="A58" s="50"/>
      <c r="B58" s="50" t="s">
        <v>2448</v>
      </c>
      <c r="C58" s="50"/>
      <c r="D58" s="50"/>
      <c r="E58" s="50"/>
      <c r="F58" s="50"/>
      <c r="G58" s="50"/>
      <c r="H58" s="50"/>
      <c r="I58" s="50"/>
      <c r="J58" s="50"/>
      <c r="K58" s="50"/>
      <c r="L58" s="50"/>
      <c r="M58" s="50"/>
      <c r="N58" s="50"/>
      <c r="O58" s="50"/>
      <c r="P58" s="50"/>
      <c r="Q58" s="50"/>
      <c r="R58" s="50"/>
      <c r="S58" s="50"/>
    </row>
    <row r="59" spans="1:19">
      <c r="A59" s="50"/>
      <c r="B59" s="50" t="s">
        <v>2449</v>
      </c>
      <c r="C59" s="50"/>
      <c r="D59" s="50"/>
      <c r="E59" s="50"/>
      <c r="F59" s="50"/>
      <c r="G59" s="50"/>
      <c r="H59" s="50"/>
      <c r="I59" s="50"/>
      <c r="J59" s="50"/>
      <c r="K59" s="50"/>
      <c r="L59" s="50"/>
      <c r="M59" s="50"/>
      <c r="N59" s="50"/>
      <c r="O59" s="50"/>
      <c r="P59" s="50"/>
      <c r="Q59" s="50"/>
      <c r="R59" s="50"/>
      <c r="S59" s="50"/>
    </row>
    <row r="60" spans="1:19">
      <c r="A60" s="50"/>
      <c r="B60" s="50" t="s">
        <v>2450</v>
      </c>
      <c r="C60" s="50"/>
      <c r="D60" s="50"/>
      <c r="E60" s="50"/>
      <c r="F60" s="50"/>
      <c r="G60" s="50"/>
      <c r="H60" s="50"/>
      <c r="I60" s="50"/>
      <c r="J60" s="50"/>
      <c r="K60" s="50"/>
      <c r="L60" s="50"/>
      <c r="M60" s="50"/>
      <c r="N60" s="50"/>
      <c r="O60" s="50"/>
      <c r="P60" s="50"/>
      <c r="Q60" s="50"/>
      <c r="R60" s="50"/>
      <c r="S60" s="50"/>
    </row>
    <row r="61" spans="1:19">
      <c r="A61" s="50"/>
      <c r="B61" s="50"/>
      <c r="C61" s="50"/>
      <c r="D61" s="50"/>
      <c r="E61" s="50"/>
      <c r="F61" s="50"/>
      <c r="G61" s="50"/>
      <c r="H61" s="50"/>
      <c r="I61" s="50"/>
      <c r="J61" s="50"/>
      <c r="K61" s="50"/>
      <c r="L61" s="50"/>
      <c r="M61" s="50"/>
      <c r="N61" s="50"/>
      <c r="O61" s="50"/>
      <c r="P61" s="50"/>
      <c r="Q61" s="50"/>
      <c r="R61" s="50"/>
      <c r="S61" s="50"/>
    </row>
    <row r="62" spans="1:19">
      <c r="A62" s="50"/>
      <c r="B62" s="50"/>
      <c r="C62" s="50"/>
      <c r="D62" s="50"/>
      <c r="E62" s="50"/>
      <c r="F62" s="50"/>
      <c r="G62" s="50"/>
      <c r="H62" s="50"/>
      <c r="I62" s="50"/>
      <c r="J62" s="50"/>
      <c r="K62" s="50"/>
      <c r="L62" s="50"/>
      <c r="M62" s="50"/>
      <c r="N62" s="50"/>
      <c r="O62" s="50"/>
      <c r="P62" s="50"/>
      <c r="Q62" s="50"/>
      <c r="R62" s="50"/>
      <c r="S62" s="50"/>
    </row>
  </sheetData>
  <mergeCells count="25">
    <mergeCell ref="B50:C50"/>
    <mergeCell ref="D50:S50"/>
    <mergeCell ref="D42:S42"/>
    <mergeCell ref="B43:C43"/>
    <mergeCell ref="D43:S43"/>
    <mergeCell ref="B44:C44"/>
    <mergeCell ref="D44:S44"/>
    <mergeCell ref="B47:C47"/>
    <mergeCell ref="D47:S47"/>
    <mergeCell ref="B49:C49"/>
    <mergeCell ref="D49:S49"/>
    <mergeCell ref="B2:I3"/>
    <mergeCell ref="K2:N2"/>
    <mergeCell ref="P2:S2"/>
    <mergeCell ref="K3:N3"/>
    <mergeCell ref="P3:S3"/>
    <mergeCell ref="B5:H5"/>
    <mergeCell ref="I5:Q5"/>
    <mergeCell ref="S5:S7"/>
    <mergeCell ref="B48:C48"/>
    <mergeCell ref="D48:S48"/>
    <mergeCell ref="C6:H6"/>
    <mergeCell ref="J6:Q6"/>
    <mergeCell ref="B42:C42"/>
    <mergeCell ref="R5:R7"/>
  </mergeCells>
  <phoneticPr fontId="4" type="noConversion"/>
  <hyperlinks>
    <hyperlink ref="A1" location="List!A1" display="Top" xr:uid="{ADF0F415-DE08-474D-9EDE-FADD8353E5D3}"/>
  </hyperlinks>
  <pageMargins left="0.7" right="0.7" top="0.75" bottom="0.75" header="0.3" footer="0.3"/>
  <pageSetup paperSize="9" orientation="portrait" r:id="rId1"/>
  <customProperties>
    <customPr name="_pios_id" r:id="rId2"/>
  </customProperties>
  <legacyDrawing r:id="rId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AFBC-C0E5-4DBD-AE06-E4BB15503308}">
  <sheetPr>
    <tabColor theme="5"/>
  </sheetPr>
  <dimension ref="A1:S82"/>
  <sheetViews>
    <sheetView workbookViewId="0">
      <selection activeCell="G22" sqref="G22"/>
    </sheetView>
  </sheetViews>
  <sheetFormatPr defaultRowHeight="16.5"/>
  <cols>
    <col min="1" max="1" width="13.375" bestFit="1" customWidth="1"/>
    <col min="2" max="2" width="5.125" customWidth="1"/>
    <col min="3" max="3" width="7.75" bestFit="1" customWidth="1"/>
    <col min="4" max="4" width="3.875" customWidth="1"/>
    <col min="5" max="5" width="9.125" customWidth="1"/>
    <col min="6" max="6" width="6.5" customWidth="1"/>
    <col min="7" max="7" width="25.125" customWidth="1"/>
    <col min="8" max="8" width="27.625" customWidth="1"/>
    <col min="9" max="9" width="5.625" customWidth="1"/>
    <col min="10" max="10" width="16.125" customWidth="1"/>
    <col min="11" max="11" width="4.625" customWidth="1"/>
    <col min="12" max="12" width="11" customWidth="1"/>
    <col min="13" max="13" width="5.625" customWidth="1"/>
    <col min="14" max="14" width="25.5" customWidth="1"/>
    <col min="15" max="15" width="26.375" customWidth="1"/>
    <col min="16" max="16" width="4.375" customWidth="1"/>
    <col min="17" max="17" width="3.875" customWidth="1"/>
    <col min="18" max="18" width="6" customWidth="1"/>
    <col min="19" max="19" width="7.5" customWidth="1"/>
  </cols>
  <sheetData>
    <row r="1" spans="1:19" ht="17.25" thickBot="1">
      <c r="A1" s="898" t="s">
        <v>814</v>
      </c>
    </row>
    <row r="2" spans="1:19">
      <c r="B2" s="992" t="s">
        <v>3658</v>
      </c>
      <c r="C2" s="993"/>
      <c r="D2" s="993"/>
      <c r="E2" s="993"/>
      <c r="F2" s="993"/>
      <c r="G2" s="993"/>
      <c r="H2" s="993"/>
      <c r="I2" s="994"/>
      <c r="J2" s="70" t="s">
        <v>816</v>
      </c>
      <c r="K2" s="998" t="s">
        <v>128</v>
      </c>
      <c r="L2" s="999"/>
      <c r="M2" s="999"/>
      <c r="N2" s="1000"/>
      <c r="O2" s="70" t="s">
        <v>817</v>
      </c>
      <c r="P2" s="1001" t="s">
        <v>3659</v>
      </c>
      <c r="Q2" s="1001"/>
      <c r="R2" s="1001"/>
      <c r="S2" s="1002"/>
    </row>
    <row r="3" spans="1:19" ht="17.25" thickBot="1">
      <c r="B3" s="995"/>
      <c r="C3" s="996"/>
      <c r="D3" s="996"/>
      <c r="E3" s="996"/>
      <c r="F3" s="996"/>
      <c r="G3" s="996"/>
      <c r="H3" s="996"/>
      <c r="I3" s="997"/>
      <c r="J3" s="72" t="s">
        <v>819</v>
      </c>
      <c r="K3" s="1003" t="s">
        <v>820</v>
      </c>
      <c r="L3" s="1004"/>
      <c r="M3" s="1004"/>
      <c r="N3" s="1005"/>
      <c r="O3" s="72" t="s">
        <v>821</v>
      </c>
      <c r="P3" s="1006">
        <v>0.1</v>
      </c>
      <c r="Q3" s="1006"/>
      <c r="R3" s="1006"/>
      <c r="S3" s="1007"/>
    </row>
    <row r="4" spans="1:19" ht="17.25" thickBot="1">
      <c r="B4" s="74" t="s">
        <v>822</v>
      </c>
      <c r="C4" s="73"/>
      <c r="D4" s="73"/>
      <c r="E4" s="73"/>
      <c r="F4" s="73"/>
      <c r="G4" s="73"/>
      <c r="H4" s="73"/>
      <c r="I4" s="73"/>
      <c r="J4" s="73"/>
      <c r="K4" s="73"/>
      <c r="L4" s="73"/>
      <c r="M4" s="73"/>
      <c r="N4" s="75"/>
      <c r="O4" s="75"/>
      <c r="P4" s="73"/>
      <c r="Q4" s="75"/>
      <c r="R4" s="75"/>
      <c r="S4" s="73"/>
    </row>
    <row r="5" spans="1:19">
      <c r="B5" s="979" t="s">
        <v>2690</v>
      </c>
      <c r="C5" s="980"/>
      <c r="D5" s="980"/>
      <c r="E5" s="980"/>
      <c r="F5" s="980"/>
      <c r="G5" s="980"/>
      <c r="H5" s="981"/>
      <c r="I5" s="982" t="s">
        <v>3660</v>
      </c>
      <c r="J5" s="980"/>
      <c r="K5" s="980"/>
      <c r="L5" s="980"/>
      <c r="M5" s="980"/>
      <c r="N5" s="980"/>
      <c r="O5" s="980"/>
      <c r="P5" s="980"/>
      <c r="Q5" s="980"/>
      <c r="R5" s="983" t="s">
        <v>825</v>
      </c>
      <c r="S5" s="985" t="s">
        <v>826</v>
      </c>
    </row>
    <row r="6" spans="1:19" ht="27">
      <c r="B6" s="78" t="s">
        <v>828</v>
      </c>
      <c r="C6" s="987"/>
      <c r="D6" s="984"/>
      <c r="E6" s="984"/>
      <c r="F6" s="984"/>
      <c r="G6" s="984"/>
      <c r="H6" s="986"/>
      <c r="I6" s="102" t="s">
        <v>829</v>
      </c>
      <c r="J6" s="988"/>
      <c r="K6" s="984"/>
      <c r="L6" s="984"/>
      <c r="M6" s="984"/>
      <c r="N6" s="984"/>
      <c r="O6" s="984"/>
      <c r="P6" s="984"/>
      <c r="Q6" s="984"/>
      <c r="R6" s="984"/>
      <c r="S6" s="986"/>
    </row>
    <row r="7" spans="1:19" ht="27">
      <c r="B7" s="79" t="s">
        <v>831</v>
      </c>
      <c r="C7" s="918" t="s">
        <v>832</v>
      </c>
      <c r="D7" s="918" t="s">
        <v>833</v>
      </c>
      <c r="E7" s="918" t="s">
        <v>834</v>
      </c>
      <c r="F7" s="918" t="s">
        <v>835</v>
      </c>
      <c r="G7" s="918" t="s">
        <v>836</v>
      </c>
      <c r="H7" s="919" t="s">
        <v>837</v>
      </c>
      <c r="I7" s="103" t="s">
        <v>831</v>
      </c>
      <c r="J7" s="80" t="s">
        <v>832</v>
      </c>
      <c r="K7" s="80" t="s">
        <v>833</v>
      </c>
      <c r="L7" s="80" t="s">
        <v>834</v>
      </c>
      <c r="M7" s="80" t="s">
        <v>835</v>
      </c>
      <c r="N7" s="80" t="s">
        <v>836</v>
      </c>
      <c r="O7" s="80" t="s">
        <v>837</v>
      </c>
      <c r="P7" s="82" t="s">
        <v>838</v>
      </c>
      <c r="Q7" s="82" t="s">
        <v>839</v>
      </c>
      <c r="R7" s="984"/>
      <c r="S7" s="986"/>
    </row>
    <row r="8" spans="1:19" s="73" customFormat="1">
      <c r="A8" s="68" t="s">
        <v>3661</v>
      </c>
      <c r="B8" s="917">
        <v>1</v>
      </c>
      <c r="C8" s="68" t="s">
        <v>3662</v>
      </c>
      <c r="D8" s="68" t="s">
        <v>42</v>
      </c>
      <c r="E8" s="106" t="s">
        <v>3663</v>
      </c>
      <c r="F8" s="68">
        <v>8</v>
      </c>
      <c r="G8" s="68" t="s">
        <v>3664</v>
      </c>
      <c r="H8" s="108"/>
      <c r="I8" s="110">
        <v>1</v>
      </c>
      <c r="J8" s="68" t="s">
        <v>3662</v>
      </c>
      <c r="K8" s="112" t="s">
        <v>2810</v>
      </c>
      <c r="L8" s="113" t="s">
        <v>2579</v>
      </c>
      <c r="M8" s="112">
        <v>1000</v>
      </c>
      <c r="N8" s="68" t="s">
        <v>3664</v>
      </c>
      <c r="O8" s="114"/>
      <c r="P8" s="112"/>
      <c r="Q8" s="112"/>
      <c r="R8" s="114"/>
      <c r="S8" s="134"/>
    </row>
    <row r="9" spans="1:19" s="73" customFormat="1">
      <c r="A9" s="68" t="s">
        <v>3665</v>
      </c>
      <c r="B9" s="917">
        <v>2</v>
      </c>
      <c r="C9" s="68" t="s">
        <v>3666</v>
      </c>
      <c r="D9" s="68"/>
      <c r="E9" s="106" t="s">
        <v>1225</v>
      </c>
      <c r="F9" s="68">
        <v>4</v>
      </c>
      <c r="G9" s="68" t="s">
        <v>3667</v>
      </c>
      <c r="H9" s="108"/>
      <c r="I9" s="110">
        <v>2</v>
      </c>
      <c r="J9" s="68" t="s">
        <v>3666</v>
      </c>
      <c r="K9" s="119"/>
      <c r="L9" s="113" t="s">
        <v>2579</v>
      </c>
      <c r="M9" s="112">
        <v>1000</v>
      </c>
      <c r="N9" s="68" t="s">
        <v>3667</v>
      </c>
      <c r="O9" s="114"/>
      <c r="P9" s="112"/>
      <c r="Q9" s="112"/>
      <c r="R9" s="114"/>
      <c r="S9" s="134"/>
    </row>
    <row r="10" spans="1:19" s="73" customFormat="1">
      <c r="A10" s="68" t="s">
        <v>3668</v>
      </c>
      <c r="B10" s="917">
        <v>3</v>
      </c>
      <c r="C10" s="68" t="s">
        <v>3669</v>
      </c>
      <c r="D10" s="68" t="s">
        <v>42</v>
      </c>
      <c r="E10" s="106" t="s">
        <v>1225</v>
      </c>
      <c r="F10" s="68">
        <v>10</v>
      </c>
      <c r="G10" s="68" t="s">
        <v>3670</v>
      </c>
      <c r="H10" s="108"/>
      <c r="I10" s="110">
        <v>3</v>
      </c>
      <c r="J10" s="68" t="s">
        <v>3669</v>
      </c>
      <c r="K10" s="119" t="s">
        <v>2810</v>
      </c>
      <c r="L10" s="113" t="s">
        <v>2579</v>
      </c>
      <c r="M10" s="112">
        <v>1000</v>
      </c>
      <c r="N10" s="68" t="s">
        <v>3670</v>
      </c>
      <c r="O10" s="114"/>
      <c r="P10" s="112"/>
      <c r="Q10" s="112"/>
      <c r="R10" s="114"/>
      <c r="S10" s="134"/>
    </row>
    <row r="11" spans="1:19" s="73" customFormat="1">
      <c r="A11" s="68" t="s">
        <v>3671</v>
      </c>
      <c r="B11" s="917">
        <v>4</v>
      </c>
      <c r="C11" s="68" t="s">
        <v>3672</v>
      </c>
      <c r="D11" s="68" t="s">
        <v>42</v>
      </c>
      <c r="E11" s="106" t="s">
        <v>1225</v>
      </c>
      <c r="F11" s="68">
        <v>6</v>
      </c>
      <c r="G11" s="68" t="s">
        <v>3673</v>
      </c>
      <c r="H11" s="108"/>
      <c r="I11" s="110">
        <v>4</v>
      </c>
      <c r="J11" s="68" t="s">
        <v>3672</v>
      </c>
      <c r="K11" s="119" t="s">
        <v>2810</v>
      </c>
      <c r="L11" s="113" t="s">
        <v>2579</v>
      </c>
      <c r="M11" s="112">
        <v>1000</v>
      </c>
      <c r="N11" s="68" t="s">
        <v>3673</v>
      </c>
      <c r="O11" s="108"/>
      <c r="P11" s="119"/>
      <c r="Q11" s="119"/>
      <c r="R11" s="108"/>
      <c r="S11" s="134"/>
    </row>
    <row r="12" spans="1:19" s="73" customFormat="1">
      <c r="A12" s="68" t="s">
        <v>3674</v>
      </c>
      <c r="B12" s="917">
        <v>5</v>
      </c>
      <c r="C12" s="68" t="s">
        <v>3675</v>
      </c>
      <c r="D12" s="68"/>
      <c r="E12" s="106" t="s">
        <v>1225</v>
      </c>
      <c r="F12" s="68">
        <v>4</v>
      </c>
      <c r="G12" s="68" t="s">
        <v>3190</v>
      </c>
      <c r="H12" s="108"/>
      <c r="I12" s="110">
        <v>5</v>
      </c>
      <c r="J12" s="68" t="s">
        <v>3675</v>
      </c>
      <c r="K12" s="119"/>
      <c r="L12" s="113" t="s">
        <v>2579</v>
      </c>
      <c r="M12" s="112">
        <v>1000</v>
      </c>
      <c r="N12" s="68" t="s">
        <v>3190</v>
      </c>
      <c r="O12" s="108"/>
      <c r="P12" s="119"/>
      <c r="Q12" s="119"/>
      <c r="R12" s="108"/>
      <c r="S12" s="134"/>
    </row>
    <row r="13" spans="1:19" s="73" customFormat="1">
      <c r="A13" s="68" t="s">
        <v>3676</v>
      </c>
      <c r="B13" s="917">
        <v>6</v>
      </c>
      <c r="C13" s="68" t="s">
        <v>3677</v>
      </c>
      <c r="D13" s="68"/>
      <c r="E13" s="106" t="s">
        <v>1225</v>
      </c>
      <c r="F13" s="68">
        <v>10</v>
      </c>
      <c r="G13" s="68" t="s">
        <v>3678</v>
      </c>
      <c r="H13" s="108"/>
      <c r="I13" s="110">
        <v>6</v>
      </c>
      <c r="J13" s="68" t="s">
        <v>3677</v>
      </c>
      <c r="K13" s="119"/>
      <c r="L13" s="113" t="s">
        <v>2579</v>
      </c>
      <c r="M13" s="112">
        <v>1000</v>
      </c>
      <c r="N13" s="68" t="s">
        <v>3678</v>
      </c>
      <c r="O13" s="108"/>
      <c r="P13" s="119"/>
      <c r="Q13" s="112"/>
      <c r="R13" s="114"/>
      <c r="S13" s="134"/>
    </row>
    <row r="14" spans="1:19" s="73" customFormat="1">
      <c r="A14" s="68" t="s">
        <v>3679</v>
      </c>
      <c r="B14" s="917">
        <v>7</v>
      </c>
      <c r="C14" s="68" t="s">
        <v>3680</v>
      </c>
      <c r="D14" s="68"/>
      <c r="E14" s="106" t="s">
        <v>1225</v>
      </c>
      <c r="F14" s="68">
        <v>4</v>
      </c>
      <c r="G14" s="68" t="s">
        <v>3681</v>
      </c>
      <c r="H14" s="108"/>
      <c r="I14" s="110">
        <v>7</v>
      </c>
      <c r="J14" s="68" t="s">
        <v>3680</v>
      </c>
      <c r="K14" s="106"/>
      <c r="L14" s="113" t="s">
        <v>2579</v>
      </c>
      <c r="M14" s="112">
        <v>1000</v>
      </c>
      <c r="N14" s="68" t="s">
        <v>3681</v>
      </c>
      <c r="O14" s="108"/>
      <c r="P14" s="119"/>
      <c r="Q14" s="112"/>
      <c r="R14" s="114"/>
      <c r="S14" s="134"/>
    </row>
    <row r="15" spans="1:19" s="73" customFormat="1">
      <c r="A15" s="68" t="s">
        <v>3682</v>
      </c>
      <c r="B15" s="917">
        <v>8</v>
      </c>
      <c r="C15" s="68" t="s">
        <v>3683</v>
      </c>
      <c r="D15" s="68"/>
      <c r="E15" s="106" t="s">
        <v>1225</v>
      </c>
      <c r="F15" s="68">
        <v>3</v>
      </c>
      <c r="G15" s="68" t="s">
        <v>3684</v>
      </c>
      <c r="H15" s="108"/>
      <c r="I15" s="110">
        <v>8</v>
      </c>
      <c r="J15" s="68" t="s">
        <v>3683</v>
      </c>
      <c r="K15" s="106"/>
      <c r="L15" s="113" t="s">
        <v>2579</v>
      </c>
      <c r="M15" s="112">
        <v>1000</v>
      </c>
      <c r="N15" s="68" t="s">
        <v>3684</v>
      </c>
      <c r="O15" s="108"/>
      <c r="P15" s="119"/>
      <c r="Q15" s="112"/>
      <c r="R15" s="114"/>
      <c r="S15" s="134"/>
    </row>
    <row r="16" spans="1:19" s="73" customFormat="1">
      <c r="A16" s="68" t="s">
        <v>3685</v>
      </c>
      <c r="B16" s="917">
        <v>9</v>
      </c>
      <c r="C16" s="68" t="s">
        <v>2090</v>
      </c>
      <c r="D16" s="68"/>
      <c r="E16" s="106" t="s">
        <v>1225</v>
      </c>
      <c r="F16" s="68">
        <v>4</v>
      </c>
      <c r="G16" s="68" t="s">
        <v>2091</v>
      </c>
      <c r="H16" s="108"/>
      <c r="I16" s="110">
        <v>9</v>
      </c>
      <c r="J16" s="68" t="s">
        <v>2090</v>
      </c>
      <c r="K16" s="106"/>
      <c r="L16" s="113" t="s">
        <v>2579</v>
      </c>
      <c r="M16" s="112">
        <v>1000</v>
      </c>
      <c r="N16" s="68" t="s">
        <v>2091</v>
      </c>
      <c r="O16" s="108"/>
      <c r="P16" s="119"/>
      <c r="Q16" s="112"/>
      <c r="R16" s="114"/>
      <c r="S16" s="134"/>
    </row>
    <row r="17" spans="1:19" s="73" customFormat="1">
      <c r="A17" s="68" t="s">
        <v>3686</v>
      </c>
      <c r="B17" s="917">
        <v>10</v>
      </c>
      <c r="C17" s="68" t="s">
        <v>2093</v>
      </c>
      <c r="D17" s="68"/>
      <c r="E17" s="106" t="s">
        <v>1225</v>
      </c>
      <c r="F17" s="68">
        <v>4</v>
      </c>
      <c r="G17" s="68" t="s">
        <v>3687</v>
      </c>
      <c r="H17" s="108"/>
      <c r="I17" s="110">
        <v>10</v>
      </c>
      <c r="J17" s="68" t="s">
        <v>2093</v>
      </c>
      <c r="K17" s="120"/>
      <c r="L17" s="113" t="s">
        <v>2579</v>
      </c>
      <c r="M17" s="112">
        <v>1000</v>
      </c>
      <c r="N17" s="68" t="s">
        <v>3687</v>
      </c>
      <c r="O17" s="108"/>
      <c r="P17" s="112"/>
      <c r="Q17" s="112"/>
      <c r="R17" s="114"/>
      <c r="S17" s="134"/>
    </row>
    <row r="18" spans="1:19" s="73" customFormat="1">
      <c r="A18" s="147" t="s">
        <v>3688</v>
      </c>
      <c r="B18" s="917">
        <v>11</v>
      </c>
      <c r="C18" s="105" t="s">
        <v>1068</v>
      </c>
      <c r="D18" s="68"/>
      <c r="E18" s="106" t="s">
        <v>1225</v>
      </c>
      <c r="F18" s="68">
        <v>18</v>
      </c>
      <c r="G18" s="68" t="s">
        <v>3689</v>
      </c>
      <c r="H18" s="108"/>
      <c r="I18" s="110">
        <v>11</v>
      </c>
      <c r="J18" s="105" t="s">
        <v>1068</v>
      </c>
      <c r="K18" s="112"/>
      <c r="L18" s="113" t="s">
        <v>2579</v>
      </c>
      <c r="M18" s="112">
        <v>1000</v>
      </c>
      <c r="N18" s="68" t="s">
        <v>3689</v>
      </c>
      <c r="O18" s="114"/>
      <c r="P18" s="112"/>
      <c r="Q18" s="112"/>
      <c r="R18" s="114"/>
      <c r="S18" s="134"/>
    </row>
    <row r="19" spans="1:19" s="73" customFormat="1">
      <c r="A19" s="68" t="s">
        <v>3690</v>
      </c>
      <c r="B19" s="917">
        <v>12</v>
      </c>
      <c r="C19" s="68" t="s">
        <v>3691</v>
      </c>
      <c r="D19" s="68"/>
      <c r="E19" s="106" t="s">
        <v>1225</v>
      </c>
      <c r="F19" s="68">
        <v>2</v>
      </c>
      <c r="G19" s="68" t="s">
        <v>3692</v>
      </c>
      <c r="H19" s="108"/>
      <c r="I19" s="110">
        <v>12</v>
      </c>
      <c r="J19" s="68" t="s">
        <v>3691</v>
      </c>
      <c r="K19" s="120"/>
      <c r="L19" s="113" t="s">
        <v>2579</v>
      </c>
      <c r="M19" s="112">
        <v>1000</v>
      </c>
      <c r="N19" s="68" t="s">
        <v>3692</v>
      </c>
      <c r="O19" s="114"/>
      <c r="P19" s="112"/>
      <c r="Q19" s="112"/>
      <c r="R19" s="114"/>
      <c r="S19" s="134"/>
    </row>
    <row r="20" spans="1:19" s="73" customFormat="1">
      <c r="A20" s="68" t="s">
        <v>3693</v>
      </c>
      <c r="B20" s="917">
        <v>13</v>
      </c>
      <c r="C20" s="68" t="s">
        <v>3694</v>
      </c>
      <c r="D20" s="68"/>
      <c r="E20" s="106" t="s">
        <v>3663</v>
      </c>
      <c r="F20" s="68">
        <v>8</v>
      </c>
      <c r="G20" s="68" t="s">
        <v>3695</v>
      </c>
      <c r="H20" s="108"/>
      <c r="I20" s="110">
        <v>13</v>
      </c>
      <c r="J20" s="68" t="s">
        <v>3694</v>
      </c>
      <c r="K20" s="120"/>
      <c r="L20" s="113" t="s">
        <v>2579</v>
      </c>
      <c r="M20" s="112">
        <v>1000</v>
      </c>
      <c r="N20" s="68" t="s">
        <v>3695</v>
      </c>
      <c r="O20" s="114"/>
      <c r="P20" s="112"/>
      <c r="Q20" s="112"/>
      <c r="R20" s="114"/>
      <c r="S20" s="134"/>
    </row>
    <row r="21" spans="1:19" s="73" customFormat="1">
      <c r="A21" s="68" t="s">
        <v>3696</v>
      </c>
      <c r="B21" s="917">
        <v>14</v>
      </c>
      <c r="C21" s="68" t="s">
        <v>3697</v>
      </c>
      <c r="D21" s="68"/>
      <c r="E21" s="106" t="s">
        <v>3663</v>
      </c>
      <c r="F21" s="68">
        <v>8</v>
      </c>
      <c r="G21" s="68" t="s">
        <v>3698</v>
      </c>
      <c r="H21" s="108"/>
      <c r="I21" s="110">
        <v>14</v>
      </c>
      <c r="J21" s="68" t="s">
        <v>3697</v>
      </c>
      <c r="K21" s="119"/>
      <c r="L21" s="113" t="s">
        <v>2579</v>
      </c>
      <c r="M21" s="112">
        <v>1000</v>
      </c>
      <c r="N21" s="68" t="s">
        <v>3698</v>
      </c>
      <c r="O21" s="108"/>
      <c r="P21" s="119"/>
      <c r="Q21" s="119"/>
      <c r="R21" s="108"/>
      <c r="S21" s="134"/>
    </row>
    <row r="22" spans="1:19" s="73" customFormat="1">
      <c r="A22" s="68" t="s">
        <v>3699</v>
      </c>
      <c r="B22" s="917">
        <v>15</v>
      </c>
      <c r="C22" s="68" t="s">
        <v>3700</v>
      </c>
      <c r="D22" s="68"/>
      <c r="E22" s="106" t="s">
        <v>3701</v>
      </c>
      <c r="F22" s="68">
        <v>13.3</v>
      </c>
      <c r="G22" s="68" t="s">
        <v>3702</v>
      </c>
      <c r="H22" s="108"/>
      <c r="I22" s="110">
        <v>15</v>
      </c>
      <c r="J22" s="68" t="s">
        <v>3700</v>
      </c>
      <c r="K22" s="119"/>
      <c r="L22" s="113" t="s">
        <v>2579</v>
      </c>
      <c r="M22" s="112">
        <v>1000</v>
      </c>
      <c r="N22" s="68" t="s">
        <v>3702</v>
      </c>
      <c r="O22" s="108"/>
      <c r="P22" s="119"/>
      <c r="Q22" s="119"/>
      <c r="R22" s="108"/>
      <c r="S22" s="134"/>
    </row>
    <row r="23" spans="1:19" s="73" customFormat="1" ht="13.5">
      <c r="B23" s="104">
        <v>16</v>
      </c>
      <c r="C23" s="920"/>
      <c r="D23" s="921"/>
      <c r="E23" s="922"/>
      <c r="F23" s="922"/>
      <c r="G23" s="923"/>
      <c r="H23" s="924"/>
      <c r="I23" s="110">
        <v>16</v>
      </c>
      <c r="J23" s="105"/>
      <c r="K23" s="119"/>
      <c r="L23" s="113"/>
      <c r="M23" s="112"/>
      <c r="N23" s="114"/>
      <c r="O23" s="114"/>
      <c r="P23" s="119"/>
      <c r="Q23" s="119"/>
      <c r="R23" s="108"/>
      <c r="S23" s="134"/>
    </row>
    <row r="24" spans="1:19" s="73" customFormat="1" ht="13.5">
      <c r="B24" s="104">
        <v>17</v>
      </c>
      <c r="C24" s="121"/>
      <c r="D24" s="119"/>
      <c r="E24" s="107"/>
      <c r="F24" s="107"/>
      <c r="G24" s="108"/>
      <c r="H24" s="109"/>
      <c r="I24" s="110">
        <v>17</v>
      </c>
      <c r="J24" s="105"/>
      <c r="K24" s="119"/>
      <c r="L24" s="113"/>
      <c r="M24" s="112"/>
      <c r="N24" s="114"/>
      <c r="O24" s="114"/>
      <c r="P24" s="119"/>
      <c r="Q24" s="119"/>
      <c r="R24" s="108"/>
      <c r="S24" s="134"/>
    </row>
    <row r="25" spans="1:19" s="73" customFormat="1" ht="13.5">
      <c r="B25" s="104">
        <v>18</v>
      </c>
      <c r="C25" s="121"/>
      <c r="D25" s="119"/>
      <c r="E25" s="107"/>
      <c r="F25" s="107"/>
      <c r="G25" s="108"/>
      <c r="H25" s="109"/>
      <c r="I25" s="110">
        <v>18</v>
      </c>
      <c r="J25" s="105"/>
      <c r="K25" s="119"/>
      <c r="L25" s="113"/>
      <c r="M25" s="112"/>
      <c r="N25" s="114"/>
      <c r="O25" s="114"/>
      <c r="P25" s="119"/>
      <c r="Q25" s="119"/>
      <c r="R25" s="108"/>
      <c r="S25" s="134"/>
    </row>
    <row r="26" spans="1:19" s="73" customFormat="1" ht="13.5">
      <c r="B26" s="104">
        <v>19</v>
      </c>
      <c r="C26" s="121"/>
      <c r="D26" s="119"/>
      <c r="E26" s="107"/>
      <c r="F26" s="107"/>
      <c r="G26" s="108"/>
      <c r="H26" s="109"/>
      <c r="I26" s="110">
        <v>19</v>
      </c>
      <c r="J26" s="105"/>
      <c r="K26" s="119"/>
      <c r="L26" s="113"/>
      <c r="M26" s="112"/>
      <c r="N26" s="114"/>
      <c r="O26" s="114"/>
      <c r="P26" s="119"/>
      <c r="Q26" s="119"/>
      <c r="R26" s="108"/>
      <c r="S26" s="134"/>
    </row>
    <row r="27" spans="1:19" s="73" customFormat="1" ht="13.5">
      <c r="B27" s="104">
        <v>20</v>
      </c>
      <c r="C27" s="121"/>
      <c r="D27" s="119"/>
      <c r="E27" s="107"/>
      <c r="F27" s="107"/>
      <c r="G27" s="108"/>
      <c r="H27" s="109"/>
      <c r="I27" s="110">
        <v>20</v>
      </c>
      <c r="J27" s="105"/>
      <c r="K27" s="119"/>
      <c r="L27" s="113"/>
      <c r="M27" s="112"/>
      <c r="N27" s="114"/>
      <c r="O27" s="114"/>
      <c r="P27" s="119"/>
      <c r="Q27" s="119"/>
      <c r="R27" s="108"/>
      <c r="S27" s="134"/>
    </row>
    <row r="28" spans="1:19" s="73" customFormat="1" ht="13.5">
      <c r="B28" s="104">
        <v>21</v>
      </c>
      <c r="C28" s="121"/>
      <c r="D28" s="119"/>
      <c r="E28" s="107"/>
      <c r="F28" s="107"/>
      <c r="G28" s="108"/>
      <c r="H28" s="109"/>
      <c r="I28" s="110">
        <v>21</v>
      </c>
      <c r="J28" s="105"/>
      <c r="K28" s="119"/>
      <c r="L28" s="113"/>
      <c r="M28" s="112"/>
      <c r="N28" s="114"/>
      <c r="O28" s="114"/>
      <c r="P28" s="119"/>
      <c r="Q28" s="119"/>
      <c r="R28" s="108"/>
      <c r="S28" s="134"/>
    </row>
    <row r="29" spans="1:19" s="73" customFormat="1" ht="13.5">
      <c r="B29" s="104">
        <v>22</v>
      </c>
      <c r="C29" s="121"/>
      <c r="D29" s="119"/>
      <c r="E29" s="107"/>
      <c r="F29" s="107"/>
      <c r="G29" s="108"/>
      <c r="H29" s="109"/>
      <c r="I29" s="110">
        <v>22</v>
      </c>
      <c r="J29" s="105"/>
      <c r="K29" s="119"/>
      <c r="L29" s="113"/>
      <c r="M29" s="112"/>
      <c r="N29" s="114"/>
      <c r="O29" s="114"/>
      <c r="P29" s="119"/>
      <c r="Q29" s="119"/>
      <c r="R29" s="108"/>
      <c r="S29" s="134"/>
    </row>
    <row r="30" spans="1:19" s="73" customFormat="1" ht="13.5">
      <c r="B30" s="104">
        <v>23</v>
      </c>
      <c r="C30" s="121"/>
      <c r="D30" s="119"/>
      <c r="E30" s="107"/>
      <c r="F30" s="107"/>
      <c r="G30" s="108"/>
      <c r="H30" s="109"/>
      <c r="I30" s="110">
        <v>23</v>
      </c>
      <c r="J30" s="105"/>
      <c r="K30" s="119"/>
      <c r="L30" s="113"/>
      <c r="M30" s="112"/>
      <c r="N30" s="114"/>
      <c r="O30" s="114"/>
      <c r="P30" s="119"/>
      <c r="Q30" s="119"/>
      <c r="R30" s="108"/>
      <c r="S30" s="134"/>
    </row>
    <row r="31" spans="1:19" s="73" customFormat="1" ht="13.5">
      <c r="B31" s="104">
        <v>24</v>
      </c>
      <c r="C31" s="121"/>
      <c r="D31" s="119"/>
      <c r="E31" s="107"/>
      <c r="F31" s="107"/>
      <c r="G31" s="108"/>
      <c r="H31" s="109"/>
      <c r="I31" s="110">
        <v>24</v>
      </c>
      <c r="J31" s="105"/>
      <c r="K31" s="119"/>
      <c r="L31" s="113"/>
      <c r="M31" s="112"/>
      <c r="N31" s="114"/>
      <c r="O31" s="114"/>
      <c r="P31" s="119"/>
      <c r="Q31" s="119"/>
      <c r="R31" s="108"/>
      <c r="S31" s="134"/>
    </row>
    <row r="32" spans="1: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c r="B40" s="100"/>
      <c r="C40" s="100"/>
      <c r="D40" s="100"/>
      <c r="E40" s="100"/>
      <c r="F40" s="100"/>
      <c r="G40" s="100"/>
      <c r="H40" s="100"/>
      <c r="I40" s="100"/>
      <c r="J40" s="100"/>
      <c r="K40" s="100"/>
      <c r="L40" s="100"/>
      <c r="M40" s="100"/>
      <c r="N40" s="133"/>
      <c r="O40" s="133"/>
      <c r="P40" s="100"/>
      <c r="Q40" s="133"/>
      <c r="R40" s="133"/>
      <c r="S40" s="100"/>
    </row>
    <row r="41" spans="2:19">
      <c r="B41" s="51" t="s">
        <v>1025</v>
      </c>
      <c r="C41" s="73"/>
      <c r="D41" s="73"/>
      <c r="E41" s="73"/>
      <c r="F41" s="73"/>
      <c r="G41" s="73"/>
      <c r="H41" s="73"/>
      <c r="I41" s="73"/>
      <c r="J41" s="73"/>
      <c r="K41" s="73"/>
      <c r="L41" s="73"/>
      <c r="M41" s="73"/>
      <c r="N41" s="75"/>
      <c r="O41" s="75"/>
      <c r="P41" s="73"/>
      <c r="Q41" s="75"/>
      <c r="R41" s="75"/>
      <c r="S41" s="73"/>
    </row>
    <row r="42" spans="2:19">
      <c r="B42" s="976" t="s">
        <v>826</v>
      </c>
      <c r="C42" s="976"/>
      <c r="D42" s="976" t="s">
        <v>1029</v>
      </c>
      <c r="E42" s="976"/>
      <c r="F42" s="976"/>
      <c r="G42" s="976"/>
      <c r="H42" s="976"/>
      <c r="I42" s="976"/>
      <c r="J42" s="976"/>
      <c r="K42" s="976"/>
      <c r="L42" s="976"/>
      <c r="M42" s="976"/>
      <c r="N42" s="976"/>
      <c r="O42" s="976"/>
      <c r="P42" s="976"/>
      <c r="Q42" s="976"/>
      <c r="R42" s="976"/>
      <c r="S42" s="976"/>
    </row>
    <row r="43" spans="2:19">
      <c r="B43" s="977" t="s">
        <v>1033</v>
      </c>
      <c r="C43" s="978"/>
      <c r="D43" s="989"/>
      <c r="E43" s="990"/>
      <c r="F43" s="990"/>
      <c r="G43" s="990"/>
      <c r="H43" s="990"/>
      <c r="I43" s="990"/>
      <c r="J43" s="990"/>
      <c r="K43" s="990"/>
      <c r="L43" s="990"/>
      <c r="M43" s="990"/>
      <c r="N43" s="990"/>
      <c r="O43" s="990"/>
      <c r="P43" s="990"/>
      <c r="Q43" s="990"/>
      <c r="R43" s="990"/>
      <c r="S43" s="991"/>
    </row>
    <row r="44" spans="2:19">
      <c r="B44" s="1008" t="s">
        <v>1038</v>
      </c>
      <c r="C44" s="1009"/>
      <c r="D44" s="1010"/>
      <c r="E44" s="1011"/>
      <c r="F44" s="1011"/>
      <c r="G44" s="1011"/>
      <c r="H44" s="1011"/>
      <c r="I44" s="1011"/>
      <c r="J44" s="1011"/>
      <c r="K44" s="1011"/>
      <c r="L44" s="1011"/>
      <c r="M44" s="1011"/>
      <c r="N44" s="1011"/>
      <c r="O44" s="1011"/>
      <c r="P44" s="1011"/>
      <c r="Q44" s="1011"/>
      <c r="R44" s="1011"/>
      <c r="S44" s="1012"/>
    </row>
    <row r="45" spans="2:19">
      <c r="B45" s="75"/>
      <c r="C45" s="75"/>
      <c r="D45" s="75"/>
      <c r="E45" s="75"/>
      <c r="F45" s="75"/>
      <c r="G45" s="75"/>
      <c r="H45" s="75"/>
      <c r="I45" s="75"/>
      <c r="J45" s="75"/>
      <c r="K45" s="75"/>
      <c r="L45" s="75"/>
      <c r="M45" s="75"/>
      <c r="N45" s="75"/>
      <c r="O45" s="75"/>
      <c r="P45" s="75"/>
      <c r="Q45" s="75"/>
      <c r="R45" s="75"/>
      <c r="S45" s="75"/>
    </row>
    <row r="46" spans="2:19">
      <c r="B46" s="51" t="s">
        <v>1045</v>
      </c>
      <c r="C46" s="73"/>
      <c r="D46" s="73"/>
      <c r="E46" s="73"/>
      <c r="F46" s="73"/>
      <c r="G46" s="73"/>
      <c r="H46" s="73"/>
      <c r="I46" s="73"/>
      <c r="J46" s="73"/>
      <c r="K46" s="73"/>
      <c r="L46" s="73"/>
      <c r="M46" s="73"/>
      <c r="N46" s="75"/>
      <c r="O46" s="75"/>
      <c r="P46" s="73"/>
      <c r="Q46" s="75"/>
      <c r="R46" s="75"/>
      <c r="S46" s="73"/>
    </row>
    <row r="47" spans="2:19">
      <c r="B47" s="1014" t="s">
        <v>1049</v>
      </c>
      <c r="C47" s="1014"/>
      <c r="D47" s="1013"/>
      <c r="E47" s="1013"/>
      <c r="F47" s="1013"/>
      <c r="G47" s="1013"/>
      <c r="H47" s="1013"/>
      <c r="I47" s="1013"/>
      <c r="J47" s="1013"/>
      <c r="K47" s="1013"/>
      <c r="L47" s="1013"/>
      <c r="M47" s="1013"/>
      <c r="N47" s="1013"/>
      <c r="O47" s="1013"/>
      <c r="P47" s="1013"/>
      <c r="Q47" s="1013"/>
      <c r="R47" s="1013"/>
      <c r="S47" s="1013"/>
    </row>
    <row r="48" spans="2:19">
      <c r="B48" s="976" t="s">
        <v>1053</v>
      </c>
      <c r="C48" s="976"/>
      <c r="D48" s="1013"/>
      <c r="E48" s="1013"/>
      <c r="F48" s="1013"/>
      <c r="G48" s="1013"/>
      <c r="H48" s="1013"/>
      <c r="I48" s="1013"/>
      <c r="J48" s="1013"/>
      <c r="K48" s="1013"/>
      <c r="L48" s="1013"/>
      <c r="M48" s="1013"/>
      <c r="N48" s="1013"/>
      <c r="O48" s="1013"/>
      <c r="P48" s="1013"/>
      <c r="Q48" s="1013"/>
      <c r="R48" s="1013"/>
      <c r="S48" s="1013"/>
    </row>
    <row r="49" spans="2:19">
      <c r="B49" s="976" t="s">
        <v>1057</v>
      </c>
      <c r="C49" s="976"/>
      <c r="D49" s="1013"/>
      <c r="E49" s="1013"/>
      <c r="F49" s="1013"/>
      <c r="G49" s="1013"/>
      <c r="H49" s="1013"/>
      <c r="I49" s="1013"/>
      <c r="J49" s="1013"/>
      <c r="K49" s="1013"/>
      <c r="L49" s="1013"/>
      <c r="M49" s="1013"/>
      <c r="N49" s="1013"/>
      <c r="O49" s="1013"/>
      <c r="P49" s="1013"/>
      <c r="Q49" s="1013"/>
      <c r="R49" s="1013"/>
      <c r="S49" s="1013"/>
    </row>
    <row r="50" spans="2:19">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3.5"/>
    <row r="52" spans="2:19">
      <c r="C52" s="21"/>
      <c r="D52" s="20"/>
      <c r="E52" s="20"/>
      <c r="F52" s="20"/>
      <c r="G52" s="20"/>
      <c r="H52" s="20"/>
      <c r="I52" s="20"/>
      <c r="J52" s="20"/>
      <c r="K52" s="20"/>
      <c r="L52" s="20"/>
      <c r="M52" s="20"/>
      <c r="N52" s="20"/>
      <c r="O52" s="21"/>
      <c r="P52" s="21"/>
      <c r="Q52" s="20"/>
      <c r="R52" s="21"/>
      <c r="S52" s="21"/>
    </row>
    <row r="53" spans="2:19">
      <c r="C53" s="21"/>
      <c r="D53" s="20"/>
      <c r="E53" s="20"/>
      <c r="F53" s="20"/>
      <c r="G53" s="20"/>
      <c r="H53" s="20"/>
      <c r="I53" s="20"/>
      <c r="J53" s="20"/>
      <c r="K53" s="20"/>
      <c r="L53" s="20"/>
      <c r="M53" s="20"/>
      <c r="N53" s="20"/>
      <c r="O53" s="21"/>
      <c r="P53" s="21"/>
      <c r="Q53" s="20"/>
      <c r="R53" s="21"/>
      <c r="S53" s="21"/>
    </row>
    <row r="54" spans="2:19">
      <c r="C54" s="21"/>
      <c r="D54" s="20"/>
      <c r="E54" s="20"/>
      <c r="F54" s="20"/>
      <c r="G54" s="20"/>
      <c r="H54" s="20"/>
      <c r="I54" s="20"/>
      <c r="J54" s="20"/>
      <c r="K54" s="20"/>
      <c r="L54" s="20"/>
      <c r="M54" s="20"/>
      <c r="N54" s="20"/>
      <c r="O54" s="21"/>
      <c r="P54" s="21"/>
      <c r="Q54" s="20"/>
      <c r="R54" s="21"/>
      <c r="S54" s="21"/>
    </row>
    <row r="55" spans="2:19" ht="19.5" customHeight="1"/>
    <row r="56" spans="2:19" ht="19.5" customHeight="1"/>
    <row r="57" spans="2:19" ht="19.5" customHeight="1"/>
    <row r="58" spans="2:19" ht="19.5" customHeight="1"/>
    <row r="59" spans="2:19" ht="15" customHeight="1"/>
    <row r="60" spans="2:19" ht="15" customHeight="1"/>
    <row r="61" spans="2:19" ht="15" customHeight="1"/>
    <row r="62" spans="2:19" ht="15" customHeight="1"/>
    <row r="63" spans="2:19" ht="15" customHeight="1"/>
    <row r="64" spans="2:19"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s="73" customFormat="1" ht="13.5"/>
    <row r="80" s="73" customFormat="1" ht="13.5"/>
    <row r="81" s="73" customFormat="1" ht="13.5"/>
    <row r="82" s="73" customFormat="1" ht="13.5"/>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6D1934AA-756D-4F46-BE5E-056208887136}"/>
  </hyperlinks>
  <pageMargins left="0.7" right="0.7" top="0.75" bottom="0.75" header="0.3" footer="0.3"/>
  <customProperties>
    <customPr name="_pios_id" r:id="rId1"/>
  </customPropertie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23D8-2B4E-4D83-A402-D887DB38AE18}">
  <sheetPr>
    <tabColor theme="5"/>
  </sheetPr>
  <dimension ref="A1:S82"/>
  <sheetViews>
    <sheetView workbookViewId="0">
      <selection activeCell="G14" sqref="G14"/>
    </sheetView>
  </sheetViews>
  <sheetFormatPr defaultRowHeight="16.5"/>
  <cols>
    <col min="1" max="1" width="2.125" customWidth="1"/>
    <col min="2" max="2" width="5.125" customWidth="1"/>
    <col min="3" max="3" width="23.375" bestFit="1" customWidth="1"/>
    <col min="4" max="4" width="3.875" customWidth="1"/>
    <col min="5" max="5" width="9.125" customWidth="1"/>
    <col min="6" max="6" width="6.5" customWidth="1"/>
    <col min="7" max="7" width="25.125" customWidth="1"/>
    <col min="8" max="8" width="27.625" customWidth="1"/>
    <col min="9" max="9" width="5.625" customWidth="1"/>
    <col min="10" max="10" width="16.125" customWidth="1"/>
    <col min="11" max="11" width="4.625" customWidth="1"/>
    <col min="12" max="12" width="11" customWidth="1"/>
    <col min="13" max="13" width="5.625" customWidth="1"/>
    <col min="14" max="14" width="25.5" customWidth="1"/>
    <col min="15" max="15" width="26.375" customWidth="1"/>
    <col min="16" max="16" width="4.375" customWidth="1"/>
    <col min="17" max="17" width="3.875" customWidth="1"/>
    <col min="18" max="18" width="6" customWidth="1"/>
    <col min="19" max="19" width="7.5" customWidth="1"/>
  </cols>
  <sheetData>
    <row r="1" spans="1:19" ht="17.25" thickBot="1">
      <c r="A1" s="898" t="s">
        <v>814</v>
      </c>
    </row>
    <row r="2" spans="1:19">
      <c r="B2" s="992" t="s">
        <v>3703</v>
      </c>
      <c r="C2" s="993"/>
      <c r="D2" s="993"/>
      <c r="E2" s="993"/>
      <c r="F2" s="993"/>
      <c r="G2" s="993"/>
      <c r="H2" s="993"/>
      <c r="I2" s="994"/>
      <c r="J2" s="70" t="s">
        <v>816</v>
      </c>
      <c r="K2" s="998" t="s">
        <v>128</v>
      </c>
      <c r="L2" s="999"/>
      <c r="M2" s="999"/>
      <c r="N2" s="1000"/>
      <c r="O2" s="70" t="s">
        <v>817</v>
      </c>
      <c r="P2" s="1001" t="s">
        <v>3659</v>
      </c>
      <c r="Q2" s="1001"/>
      <c r="R2" s="1001"/>
      <c r="S2" s="1002"/>
    </row>
    <row r="3" spans="1:19" ht="17.25" thickBot="1">
      <c r="B3" s="995"/>
      <c r="C3" s="996"/>
      <c r="D3" s="996"/>
      <c r="E3" s="996"/>
      <c r="F3" s="996"/>
      <c r="G3" s="996"/>
      <c r="H3" s="996"/>
      <c r="I3" s="997"/>
      <c r="J3" s="72" t="s">
        <v>819</v>
      </c>
      <c r="K3" s="1003" t="s">
        <v>820</v>
      </c>
      <c r="L3" s="1004"/>
      <c r="M3" s="1004"/>
      <c r="N3" s="1005"/>
      <c r="O3" s="72" t="s">
        <v>821</v>
      </c>
      <c r="P3" s="1006">
        <v>0.1</v>
      </c>
      <c r="Q3" s="1006"/>
      <c r="R3" s="1006"/>
      <c r="S3" s="1007"/>
    </row>
    <row r="4" spans="1:19" ht="17.25" thickBot="1">
      <c r="B4" s="74" t="s">
        <v>822</v>
      </c>
      <c r="C4" s="73"/>
      <c r="D4" s="73"/>
      <c r="E4" s="73"/>
      <c r="F4" s="73"/>
      <c r="G4" s="73"/>
      <c r="H4" s="73"/>
      <c r="I4" s="73"/>
      <c r="J4" s="73"/>
      <c r="K4" s="73"/>
      <c r="L4" s="73"/>
      <c r="M4" s="73"/>
      <c r="N4" s="75"/>
      <c r="O4" s="75"/>
      <c r="P4" s="73"/>
      <c r="Q4" s="75"/>
      <c r="R4" s="75"/>
      <c r="S4" s="73"/>
    </row>
    <row r="5" spans="1:19">
      <c r="B5" s="979" t="s">
        <v>2690</v>
      </c>
      <c r="C5" s="980"/>
      <c r="D5" s="980"/>
      <c r="E5" s="980"/>
      <c r="F5" s="980"/>
      <c r="G5" s="980"/>
      <c r="H5" s="981"/>
      <c r="I5" s="982" t="s">
        <v>3660</v>
      </c>
      <c r="J5" s="980"/>
      <c r="K5" s="980"/>
      <c r="L5" s="980"/>
      <c r="M5" s="980"/>
      <c r="N5" s="980"/>
      <c r="O5" s="980"/>
      <c r="P5" s="980"/>
      <c r="Q5" s="980"/>
      <c r="R5" s="983" t="s">
        <v>825</v>
      </c>
      <c r="S5" s="985" t="s">
        <v>826</v>
      </c>
    </row>
    <row r="6" spans="1:19" ht="27">
      <c r="B6" s="78" t="s">
        <v>828</v>
      </c>
      <c r="C6" s="987"/>
      <c r="D6" s="984"/>
      <c r="E6" s="984"/>
      <c r="F6" s="984"/>
      <c r="G6" s="984"/>
      <c r="H6" s="986"/>
      <c r="I6" s="102" t="s">
        <v>829</v>
      </c>
      <c r="J6" s="988"/>
      <c r="K6" s="984"/>
      <c r="L6" s="984"/>
      <c r="M6" s="984"/>
      <c r="N6" s="984"/>
      <c r="O6" s="984"/>
      <c r="P6" s="984"/>
      <c r="Q6" s="984"/>
      <c r="R6" s="984"/>
      <c r="S6" s="986"/>
    </row>
    <row r="7" spans="1:19" ht="27">
      <c r="B7" s="79" t="s">
        <v>831</v>
      </c>
      <c r="C7" s="80" t="s">
        <v>832</v>
      </c>
      <c r="D7" s="80" t="s">
        <v>833</v>
      </c>
      <c r="E7" s="80" t="s">
        <v>834</v>
      </c>
      <c r="F7" s="80" t="s">
        <v>835</v>
      </c>
      <c r="G7" s="80" t="s">
        <v>836</v>
      </c>
      <c r="H7" s="81"/>
      <c r="I7" s="103" t="s">
        <v>831</v>
      </c>
      <c r="J7" s="80" t="s">
        <v>832</v>
      </c>
      <c r="K7" s="80" t="s">
        <v>833</v>
      </c>
      <c r="L7" s="80" t="s">
        <v>834</v>
      </c>
      <c r="M7" s="80" t="s">
        <v>835</v>
      </c>
      <c r="N7" s="80" t="s">
        <v>836</v>
      </c>
      <c r="O7" s="80" t="s">
        <v>837</v>
      </c>
      <c r="P7" s="82" t="s">
        <v>838</v>
      </c>
      <c r="Q7" s="82" t="s">
        <v>839</v>
      </c>
      <c r="R7" s="984"/>
      <c r="S7" s="986"/>
    </row>
    <row r="8" spans="1:19" s="73" customFormat="1" ht="13.5">
      <c r="B8" s="119">
        <v>1</v>
      </c>
      <c r="C8" s="928" t="s">
        <v>1273</v>
      </c>
      <c r="D8" s="928" t="s">
        <v>42</v>
      </c>
      <c r="E8" s="928" t="s">
        <v>1225</v>
      </c>
      <c r="F8" s="928">
        <v>4</v>
      </c>
      <c r="G8" s="127" t="s">
        <v>2091</v>
      </c>
      <c r="H8" s="108"/>
      <c r="I8" s="110">
        <v>1</v>
      </c>
      <c r="J8" s="928" t="s">
        <v>2092</v>
      </c>
      <c r="K8" s="928" t="s">
        <v>42</v>
      </c>
      <c r="L8" s="928" t="s">
        <v>2579</v>
      </c>
      <c r="M8" s="112">
        <v>1000</v>
      </c>
      <c r="N8" s="127" t="s">
        <v>2091</v>
      </c>
      <c r="O8" s="114"/>
      <c r="P8" s="112"/>
      <c r="Q8" s="112"/>
      <c r="R8" s="114"/>
      <c r="S8" s="134"/>
    </row>
    <row r="9" spans="1:19" s="73" customFormat="1" ht="13.5">
      <c r="B9" s="926">
        <v>2</v>
      </c>
      <c r="C9" s="106" t="s">
        <v>1674</v>
      </c>
      <c r="D9" s="106" t="s">
        <v>42</v>
      </c>
      <c r="E9" s="106" t="s">
        <v>1225</v>
      </c>
      <c r="F9" s="106">
        <v>10</v>
      </c>
      <c r="G9" s="108" t="s">
        <v>2981</v>
      </c>
      <c r="H9" s="927"/>
      <c r="I9" s="110">
        <v>2</v>
      </c>
      <c r="J9" s="106" t="s">
        <v>3704</v>
      </c>
      <c r="K9" s="106" t="s">
        <v>42</v>
      </c>
      <c r="L9" s="928" t="s">
        <v>2579</v>
      </c>
      <c r="M9" s="112">
        <v>1000</v>
      </c>
      <c r="N9" s="108" t="s">
        <v>2981</v>
      </c>
      <c r="O9" s="114"/>
      <c r="P9" s="112"/>
      <c r="Q9" s="112"/>
      <c r="R9" s="114"/>
      <c r="S9" s="134"/>
    </row>
    <row r="10" spans="1:19" s="73" customFormat="1" ht="13.5">
      <c r="B10" s="926">
        <v>3</v>
      </c>
      <c r="C10" s="106" t="s">
        <v>1068</v>
      </c>
      <c r="D10" s="106" t="s">
        <v>42</v>
      </c>
      <c r="E10" s="106" t="s">
        <v>1225</v>
      </c>
      <c r="F10" s="106">
        <v>18</v>
      </c>
      <c r="G10" s="108" t="s">
        <v>2976</v>
      </c>
      <c r="H10" s="927"/>
      <c r="I10" s="110">
        <v>3</v>
      </c>
      <c r="J10" s="106" t="s">
        <v>2809</v>
      </c>
      <c r="K10" s="106" t="s">
        <v>42</v>
      </c>
      <c r="L10" s="928" t="s">
        <v>2579</v>
      </c>
      <c r="M10" s="112">
        <v>1000</v>
      </c>
      <c r="N10" s="108" t="s">
        <v>2976</v>
      </c>
      <c r="O10" s="114"/>
      <c r="P10" s="112"/>
      <c r="Q10" s="112"/>
      <c r="R10" s="114"/>
      <c r="S10" s="134"/>
    </row>
    <row r="11" spans="1:19" s="73" customFormat="1">
      <c r="B11" s="926">
        <v>4</v>
      </c>
      <c r="C11" s="930" t="s">
        <v>3705</v>
      </c>
      <c r="D11" s="930" t="s">
        <v>42</v>
      </c>
      <c r="E11" s="930" t="s">
        <v>1225</v>
      </c>
      <c r="F11" s="930">
        <v>10</v>
      </c>
      <c r="G11" s="925" t="s">
        <v>3706</v>
      </c>
      <c r="H11" s="927"/>
      <c r="I11" s="110">
        <v>4</v>
      </c>
      <c r="J11" s="957" t="s">
        <v>3707</v>
      </c>
      <c r="K11" s="957" t="s">
        <v>42</v>
      </c>
      <c r="L11" s="958" t="s">
        <v>2579</v>
      </c>
      <c r="M11" s="959">
        <v>1000</v>
      </c>
      <c r="N11" s="960" t="s">
        <v>3706</v>
      </c>
      <c r="O11" s="108"/>
      <c r="P11" s="119"/>
      <c r="Q11" s="119"/>
      <c r="R11" s="108"/>
      <c r="S11" s="134"/>
    </row>
    <row r="12" spans="1:19" s="73" customFormat="1" ht="13.5">
      <c r="B12" s="926">
        <v>5</v>
      </c>
      <c r="C12" s="106" t="s">
        <v>1622</v>
      </c>
      <c r="D12" s="106"/>
      <c r="E12" s="106" t="s">
        <v>3701</v>
      </c>
      <c r="F12" s="106">
        <v>13.3</v>
      </c>
      <c r="G12" s="108" t="s">
        <v>3708</v>
      </c>
      <c r="H12" s="927"/>
      <c r="I12" s="110">
        <v>5</v>
      </c>
      <c r="J12" s="106" t="s">
        <v>3709</v>
      </c>
      <c r="K12" s="106"/>
      <c r="L12" s="928" t="s">
        <v>2579</v>
      </c>
      <c r="M12" s="112">
        <v>1000</v>
      </c>
      <c r="N12" s="108" t="s">
        <v>3708</v>
      </c>
      <c r="O12" s="108"/>
      <c r="P12" s="119"/>
      <c r="Q12" s="119"/>
      <c r="R12" s="108"/>
      <c r="S12" s="134"/>
    </row>
    <row r="13" spans="1:19" s="73" customFormat="1">
      <c r="B13" s="926">
        <v>6</v>
      </c>
      <c r="C13" s="68"/>
      <c r="D13" s="119"/>
      <c r="E13" s="68"/>
      <c r="F13" s="68"/>
      <c r="G13" s="106"/>
      <c r="H13" s="927"/>
      <c r="I13" s="110">
        <v>6</v>
      </c>
      <c r="J13" s="118"/>
      <c r="K13" s="119"/>
      <c r="L13" s="113"/>
      <c r="M13" s="112"/>
      <c r="N13" s="108"/>
      <c r="O13" s="108"/>
      <c r="P13" s="119"/>
      <c r="Q13" s="112"/>
      <c r="R13" s="114"/>
      <c r="S13" s="134"/>
    </row>
    <row r="14" spans="1:19" s="73" customFormat="1">
      <c r="B14" s="926">
        <v>7</v>
      </c>
      <c r="C14" s="68"/>
      <c r="D14" s="119"/>
      <c r="E14" s="68"/>
      <c r="F14" s="68"/>
      <c r="G14" s="899" t="s">
        <v>3710</v>
      </c>
      <c r="H14" s="927" t="s">
        <v>3711</v>
      </c>
      <c r="I14" s="110">
        <v>7</v>
      </c>
      <c r="J14" s="118"/>
      <c r="K14" s="106"/>
      <c r="L14" s="113"/>
      <c r="M14" s="112"/>
      <c r="N14" s="108"/>
      <c r="O14" s="108"/>
      <c r="P14" s="119"/>
      <c r="Q14" s="112"/>
      <c r="R14" s="114"/>
      <c r="S14" s="134"/>
    </row>
    <row r="15" spans="1:19" s="73" customFormat="1">
      <c r="B15" s="926">
        <v>8</v>
      </c>
      <c r="C15" s="68"/>
      <c r="D15" s="119"/>
      <c r="E15" s="68"/>
      <c r="F15" s="68"/>
      <c r="G15" s="68"/>
      <c r="H15" s="927"/>
      <c r="I15" s="110">
        <v>8</v>
      </c>
      <c r="J15" s="118"/>
      <c r="K15" s="106"/>
      <c r="L15" s="113"/>
      <c r="M15" s="112"/>
      <c r="N15" s="108"/>
      <c r="O15" s="108"/>
      <c r="P15" s="119"/>
      <c r="Q15" s="112"/>
      <c r="R15" s="114"/>
      <c r="S15" s="134"/>
    </row>
    <row r="16" spans="1:19" s="73" customFormat="1">
      <c r="B16" s="119">
        <v>9</v>
      </c>
      <c r="C16" s="929"/>
      <c r="D16" s="921"/>
      <c r="E16" s="929"/>
      <c r="F16" s="929"/>
      <c r="G16" s="929"/>
      <c r="H16" s="108"/>
      <c r="I16" s="110">
        <v>9</v>
      </c>
      <c r="J16" s="118"/>
      <c r="K16" s="106"/>
      <c r="L16" s="113"/>
      <c r="M16" s="112"/>
      <c r="N16" s="108"/>
      <c r="O16" s="108"/>
      <c r="P16" s="119"/>
      <c r="Q16" s="112"/>
      <c r="R16" s="114"/>
      <c r="S16" s="134"/>
    </row>
    <row r="17" spans="2:19" s="73" customFormat="1">
      <c r="B17" s="119">
        <v>10</v>
      </c>
      <c r="C17" s="68"/>
      <c r="D17" s="119"/>
      <c r="E17" s="68"/>
      <c r="F17" s="68"/>
      <c r="G17" s="68"/>
      <c r="H17" s="108"/>
      <c r="I17" s="110">
        <v>10</v>
      </c>
      <c r="J17" s="117"/>
      <c r="K17" s="120"/>
      <c r="L17" s="113"/>
      <c r="M17" s="112"/>
      <c r="N17" s="108"/>
      <c r="O17" s="108"/>
      <c r="P17" s="112"/>
      <c r="Q17" s="112"/>
      <c r="R17" s="114"/>
      <c r="S17" s="134"/>
    </row>
    <row r="18" spans="2:19" s="73" customFormat="1">
      <c r="B18" s="119">
        <v>11</v>
      </c>
      <c r="C18" s="105"/>
      <c r="D18" s="119"/>
      <c r="E18" s="68"/>
      <c r="F18" s="68"/>
      <c r="G18" s="68"/>
      <c r="H18" s="108"/>
      <c r="I18" s="110">
        <v>11</v>
      </c>
      <c r="J18" s="117"/>
      <c r="K18" s="112"/>
      <c r="L18" s="113"/>
      <c r="M18" s="112"/>
      <c r="N18" s="114"/>
      <c r="O18" s="114"/>
      <c r="P18" s="112"/>
      <c r="Q18" s="112"/>
      <c r="R18" s="114"/>
      <c r="S18" s="134"/>
    </row>
    <row r="19" spans="2:19" s="73" customFormat="1">
      <c r="B19" s="119">
        <v>12</v>
      </c>
      <c r="C19" s="68"/>
      <c r="D19" s="119"/>
      <c r="E19" s="68"/>
      <c r="F19" s="68"/>
      <c r="G19" s="68"/>
      <c r="H19" s="108"/>
      <c r="I19" s="110">
        <v>12</v>
      </c>
      <c r="J19" s="117"/>
      <c r="K19" s="120"/>
      <c r="L19" s="113"/>
      <c r="M19" s="112"/>
      <c r="N19" s="114"/>
      <c r="O19" s="114"/>
      <c r="P19" s="112"/>
      <c r="Q19" s="112"/>
      <c r="R19" s="114"/>
      <c r="S19" s="134"/>
    </row>
    <row r="20" spans="2:19" s="73" customFormat="1">
      <c r="B20" s="119">
        <v>13</v>
      </c>
      <c r="C20" s="68"/>
      <c r="D20" s="119"/>
      <c r="E20" s="68"/>
      <c r="F20" s="68"/>
      <c r="G20" s="68"/>
      <c r="H20" s="108"/>
      <c r="I20" s="110">
        <v>13</v>
      </c>
      <c r="J20" s="117"/>
      <c r="K20" s="120"/>
      <c r="L20" s="113"/>
      <c r="M20" s="112"/>
      <c r="N20" s="114"/>
      <c r="O20" s="114"/>
      <c r="P20" s="112"/>
      <c r="Q20" s="112"/>
      <c r="R20" s="114"/>
      <c r="S20" s="134"/>
    </row>
    <row r="21" spans="2:19" s="73" customFormat="1">
      <c r="B21" s="119">
        <v>14</v>
      </c>
      <c r="C21" s="68"/>
      <c r="D21" s="119"/>
      <c r="E21" s="68"/>
      <c r="F21" s="68"/>
      <c r="G21" s="68"/>
      <c r="H21" s="108"/>
      <c r="I21" s="110">
        <v>14</v>
      </c>
      <c r="J21" s="118"/>
      <c r="K21" s="119"/>
      <c r="L21" s="113"/>
      <c r="M21" s="112"/>
      <c r="N21" s="108"/>
      <c r="O21" s="108"/>
      <c r="P21" s="119"/>
      <c r="Q21" s="119"/>
      <c r="R21" s="108"/>
      <c r="S21" s="134"/>
    </row>
    <row r="22" spans="2:19" s="73" customFormat="1">
      <c r="B22" s="119">
        <v>15</v>
      </c>
      <c r="C22" s="68"/>
      <c r="D22" s="119"/>
      <c r="E22" s="68"/>
      <c r="F22" s="68"/>
      <c r="G22" s="68"/>
      <c r="H22" s="108"/>
      <c r="I22" s="110">
        <v>15</v>
      </c>
      <c r="J22" s="118"/>
      <c r="K22" s="119"/>
      <c r="L22" s="113"/>
      <c r="M22" s="112"/>
      <c r="N22" s="108"/>
      <c r="O22" s="108"/>
      <c r="P22" s="119"/>
      <c r="Q22" s="119"/>
      <c r="R22" s="108"/>
      <c r="S22" s="134"/>
    </row>
    <row r="23" spans="2:19" s="73" customFormat="1" ht="13.5">
      <c r="B23" s="104">
        <v>16</v>
      </c>
      <c r="C23" s="121"/>
      <c r="D23" s="119"/>
      <c r="E23" s="107"/>
      <c r="F23" s="107"/>
      <c r="G23" s="108"/>
      <c r="H23" s="109"/>
      <c r="I23" s="110">
        <v>16</v>
      </c>
      <c r="J23" s="105"/>
      <c r="K23" s="119"/>
      <c r="L23" s="113"/>
      <c r="M23" s="112"/>
      <c r="N23" s="114"/>
      <c r="O23" s="114"/>
      <c r="P23" s="119"/>
      <c r="Q23" s="119"/>
      <c r="R23" s="108"/>
      <c r="S23" s="134"/>
    </row>
    <row r="24" spans="2:19" s="73" customFormat="1" ht="13.5">
      <c r="B24" s="104">
        <v>17</v>
      </c>
      <c r="C24" s="121"/>
      <c r="D24" s="119"/>
      <c r="E24" s="107"/>
      <c r="F24" s="107"/>
      <c r="G24" s="108"/>
      <c r="H24" s="109"/>
      <c r="I24" s="110">
        <v>17</v>
      </c>
      <c r="J24" s="105"/>
      <c r="K24" s="119"/>
      <c r="L24" s="113"/>
      <c r="M24" s="112"/>
      <c r="N24" s="114"/>
      <c r="O24" s="114"/>
      <c r="P24" s="119"/>
      <c r="Q24" s="119"/>
      <c r="R24" s="108"/>
      <c r="S24" s="134"/>
    </row>
    <row r="25" spans="2:19" s="73" customFormat="1" ht="13.5">
      <c r="B25" s="104">
        <v>18</v>
      </c>
      <c r="C25" s="121"/>
      <c r="D25" s="119"/>
      <c r="E25" s="107"/>
      <c r="F25" s="107"/>
      <c r="G25" s="108"/>
      <c r="H25" s="109"/>
      <c r="I25" s="110">
        <v>18</v>
      </c>
      <c r="J25" s="105"/>
      <c r="K25" s="119"/>
      <c r="L25" s="113"/>
      <c r="M25" s="112"/>
      <c r="N25" s="114"/>
      <c r="O25" s="114"/>
      <c r="P25" s="119"/>
      <c r="Q25" s="119"/>
      <c r="R25" s="108"/>
      <c r="S25" s="134"/>
    </row>
    <row r="26" spans="2:19" s="73" customFormat="1" ht="13.5">
      <c r="B26" s="104">
        <v>19</v>
      </c>
      <c r="C26" s="121"/>
      <c r="D26" s="119"/>
      <c r="E26" s="107"/>
      <c r="F26" s="107"/>
      <c r="G26" s="108"/>
      <c r="H26" s="109"/>
      <c r="I26" s="110">
        <v>19</v>
      </c>
      <c r="J26" s="105"/>
      <c r="K26" s="119"/>
      <c r="L26" s="113"/>
      <c r="M26" s="112"/>
      <c r="N26" s="114"/>
      <c r="O26" s="114"/>
      <c r="P26" s="119"/>
      <c r="Q26" s="119"/>
      <c r="R26" s="108"/>
      <c r="S26" s="134"/>
    </row>
    <row r="27" spans="2:19" s="73" customFormat="1" ht="13.5">
      <c r="B27" s="104">
        <v>20</v>
      </c>
      <c r="C27" s="121"/>
      <c r="D27" s="119"/>
      <c r="E27" s="107"/>
      <c r="F27" s="107"/>
      <c r="G27" s="108"/>
      <c r="H27" s="109"/>
      <c r="I27" s="110">
        <v>20</v>
      </c>
      <c r="J27" s="105"/>
      <c r="K27" s="119"/>
      <c r="L27" s="113"/>
      <c r="M27" s="112"/>
      <c r="N27" s="114"/>
      <c r="O27" s="114"/>
      <c r="P27" s="119"/>
      <c r="Q27" s="119"/>
      <c r="R27" s="108"/>
      <c r="S27" s="134"/>
    </row>
    <row r="28" spans="2:19" s="73" customFormat="1" ht="13.5">
      <c r="B28" s="104">
        <v>21</v>
      </c>
      <c r="C28" s="121"/>
      <c r="D28" s="119"/>
      <c r="E28" s="107"/>
      <c r="F28" s="107"/>
      <c r="G28" s="108"/>
      <c r="H28" s="109"/>
      <c r="I28" s="110">
        <v>21</v>
      </c>
      <c r="J28" s="105"/>
      <c r="K28" s="119"/>
      <c r="L28" s="113"/>
      <c r="M28" s="112"/>
      <c r="N28" s="114"/>
      <c r="O28" s="114"/>
      <c r="P28" s="119"/>
      <c r="Q28" s="119"/>
      <c r="R28" s="108"/>
      <c r="S28" s="134"/>
    </row>
    <row r="29" spans="2:19" s="73" customFormat="1" ht="13.5">
      <c r="B29" s="104">
        <v>22</v>
      </c>
      <c r="C29" s="121"/>
      <c r="D29" s="119"/>
      <c r="E29" s="107"/>
      <c r="F29" s="107"/>
      <c r="G29" s="108"/>
      <c r="H29" s="109"/>
      <c r="I29" s="110">
        <v>22</v>
      </c>
      <c r="J29" s="105"/>
      <c r="K29" s="119"/>
      <c r="L29" s="113"/>
      <c r="M29" s="112"/>
      <c r="N29" s="114"/>
      <c r="O29" s="114"/>
      <c r="P29" s="119"/>
      <c r="Q29" s="119"/>
      <c r="R29" s="108"/>
      <c r="S29" s="134"/>
    </row>
    <row r="30" spans="2:19" s="73" customFormat="1" ht="13.5">
      <c r="B30" s="104">
        <v>23</v>
      </c>
      <c r="C30" s="121"/>
      <c r="D30" s="119"/>
      <c r="E30" s="107"/>
      <c r="F30" s="107"/>
      <c r="G30" s="108"/>
      <c r="H30" s="109"/>
      <c r="I30" s="110">
        <v>23</v>
      </c>
      <c r="J30" s="105"/>
      <c r="K30" s="119"/>
      <c r="L30" s="113"/>
      <c r="M30" s="112"/>
      <c r="N30" s="114"/>
      <c r="O30" s="114"/>
      <c r="P30" s="119"/>
      <c r="Q30" s="119"/>
      <c r="R30" s="108"/>
      <c r="S30" s="134"/>
    </row>
    <row r="31" spans="2:19" s="73" customFormat="1" ht="13.5">
      <c r="B31" s="104">
        <v>24</v>
      </c>
      <c r="C31" s="121"/>
      <c r="D31" s="119"/>
      <c r="E31" s="107"/>
      <c r="F31" s="107"/>
      <c r="G31" s="108"/>
      <c r="H31" s="109"/>
      <c r="I31" s="110">
        <v>24</v>
      </c>
      <c r="J31" s="105"/>
      <c r="K31" s="119"/>
      <c r="L31" s="113"/>
      <c r="M31" s="112"/>
      <c r="N31" s="114"/>
      <c r="O31" s="114"/>
      <c r="P31" s="119"/>
      <c r="Q31" s="119"/>
      <c r="R31" s="108"/>
      <c r="S31" s="134"/>
    </row>
    <row r="32" spans="2:19" s="73" customFormat="1" ht="13.5">
      <c r="B32" s="104">
        <v>25</v>
      </c>
      <c r="C32" s="121"/>
      <c r="D32" s="119"/>
      <c r="E32" s="107"/>
      <c r="F32" s="107"/>
      <c r="G32" s="108"/>
      <c r="H32" s="109"/>
      <c r="I32" s="110">
        <v>25</v>
      </c>
      <c r="J32" s="105"/>
      <c r="K32" s="119"/>
      <c r="L32" s="113"/>
      <c r="M32" s="112"/>
      <c r="N32" s="114"/>
      <c r="O32" s="114"/>
      <c r="P32" s="119"/>
      <c r="Q32" s="119"/>
      <c r="R32" s="108"/>
      <c r="S32" s="134"/>
    </row>
    <row r="33" spans="2:19" s="73" customFormat="1" ht="13.5">
      <c r="B33" s="104">
        <v>26</v>
      </c>
      <c r="C33" s="121"/>
      <c r="D33" s="119"/>
      <c r="E33" s="107"/>
      <c r="F33" s="107"/>
      <c r="G33" s="108"/>
      <c r="H33" s="109"/>
      <c r="I33" s="110">
        <v>26</v>
      </c>
      <c r="J33" s="105"/>
      <c r="K33" s="119"/>
      <c r="L33" s="113"/>
      <c r="M33" s="112"/>
      <c r="N33" s="114"/>
      <c r="O33" s="114"/>
      <c r="P33" s="119"/>
      <c r="Q33" s="119"/>
      <c r="R33" s="108"/>
      <c r="S33" s="134"/>
    </row>
    <row r="34" spans="2:19" s="73" customFormat="1" ht="13.5">
      <c r="B34" s="104">
        <v>27</v>
      </c>
      <c r="C34" s="121"/>
      <c r="D34" s="119"/>
      <c r="E34" s="107"/>
      <c r="F34" s="107"/>
      <c r="G34" s="108"/>
      <c r="H34" s="109"/>
      <c r="I34" s="110">
        <v>27</v>
      </c>
      <c r="J34" s="105"/>
      <c r="K34" s="119"/>
      <c r="L34" s="113"/>
      <c r="M34" s="112"/>
      <c r="N34" s="114"/>
      <c r="O34" s="114"/>
      <c r="P34" s="119"/>
      <c r="Q34" s="119"/>
      <c r="R34" s="108"/>
      <c r="S34" s="134"/>
    </row>
    <row r="35" spans="2:19" s="73" customFormat="1" ht="13.5">
      <c r="B35" s="104">
        <v>28</v>
      </c>
      <c r="C35" s="121"/>
      <c r="D35" s="119"/>
      <c r="E35" s="107"/>
      <c r="F35" s="107"/>
      <c r="G35" s="108"/>
      <c r="H35" s="109"/>
      <c r="I35" s="110">
        <v>28</v>
      </c>
      <c r="J35" s="105"/>
      <c r="K35" s="119"/>
      <c r="L35" s="113"/>
      <c r="M35" s="112"/>
      <c r="N35" s="114"/>
      <c r="O35" s="114"/>
      <c r="P35" s="119"/>
      <c r="Q35" s="119"/>
      <c r="R35" s="108"/>
      <c r="S35" s="134"/>
    </row>
    <row r="36" spans="2:19" s="73" customFormat="1" ht="13.5">
      <c r="B36" s="104">
        <v>29</v>
      </c>
      <c r="C36" s="121"/>
      <c r="D36" s="119"/>
      <c r="E36" s="107"/>
      <c r="F36" s="107"/>
      <c r="G36" s="108"/>
      <c r="H36" s="109"/>
      <c r="I36" s="110">
        <v>29</v>
      </c>
      <c r="J36" s="105"/>
      <c r="K36" s="119"/>
      <c r="L36" s="113"/>
      <c r="M36" s="112"/>
      <c r="N36" s="114"/>
      <c r="O36" s="114"/>
      <c r="P36" s="119"/>
      <c r="Q36" s="119"/>
      <c r="R36" s="108"/>
      <c r="S36" s="134"/>
    </row>
    <row r="37" spans="2:19" s="73" customFormat="1" ht="13.5">
      <c r="B37" s="104">
        <v>30</v>
      </c>
      <c r="C37" s="121"/>
      <c r="D37" s="119"/>
      <c r="E37" s="107"/>
      <c r="F37" s="107"/>
      <c r="G37" s="108"/>
      <c r="H37" s="109"/>
      <c r="I37" s="110">
        <v>30</v>
      </c>
      <c r="J37" s="105"/>
      <c r="K37" s="119"/>
      <c r="L37" s="113"/>
      <c r="M37" s="112"/>
      <c r="N37" s="114"/>
      <c r="O37" s="114"/>
      <c r="P37" s="119"/>
      <c r="Q37" s="119"/>
      <c r="R37" s="108"/>
      <c r="S37" s="134"/>
    </row>
    <row r="38" spans="2:19" s="73" customFormat="1" ht="13.5">
      <c r="B38" s="104">
        <v>31</v>
      </c>
      <c r="C38" s="121"/>
      <c r="D38" s="119"/>
      <c r="E38" s="107"/>
      <c r="F38" s="107"/>
      <c r="G38" s="108"/>
      <c r="H38" s="109"/>
      <c r="I38" s="110">
        <v>31</v>
      </c>
      <c r="J38" s="105"/>
      <c r="K38" s="119"/>
      <c r="L38" s="113"/>
      <c r="M38" s="112"/>
      <c r="N38" s="114"/>
      <c r="O38" s="114"/>
      <c r="P38" s="119"/>
      <c r="Q38" s="119"/>
      <c r="R38" s="108"/>
      <c r="S38" s="134"/>
    </row>
    <row r="39" spans="2:19" s="73" customFormat="1" ht="14.25" thickBot="1">
      <c r="B39" s="129"/>
      <c r="C39" s="130"/>
      <c r="D39" s="131"/>
      <c r="E39" s="131"/>
      <c r="F39" s="131"/>
      <c r="G39" s="131"/>
      <c r="H39" s="132"/>
      <c r="I39" s="135"/>
      <c r="J39" s="130"/>
      <c r="K39" s="131"/>
      <c r="L39" s="130"/>
      <c r="M39" s="131"/>
      <c r="N39" s="131"/>
      <c r="O39" s="131"/>
      <c r="P39" s="131"/>
      <c r="Q39" s="131"/>
      <c r="R39" s="131"/>
      <c r="S39" s="136"/>
    </row>
    <row r="40" spans="2:19">
      <c r="B40" s="100"/>
      <c r="C40" s="100"/>
      <c r="D40" s="100"/>
      <c r="E40" s="100"/>
      <c r="F40" s="100"/>
      <c r="G40" s="100"/>
      <c r="H40" s="100"/>
      <c r="I40" s="100"/>
      <c r="J40" s="100"/>
      <c r="K40" s="100"/>
      <c r="L40" s="100"/>
      <c r="M40" s="100"/>
      <c r="N40" s="133"/>
      <c r="O40" s="133"/>
      <c r="P40" s="100"/>
      <c r="Q40" s="133"/>
      <c r="R40" s="133"/>
      <c r="S40" s="100"/>
    </row>
    <row r="41" spans="2:19">
      <c r="B41" s="51" t="s">
        <v>1025</v>
      </c>
      <c r="C41" s="73"/>
      <c r="D41" s="73"/>
      <c r="E41" s="73"/>
      <c r="F41" s="73"/>
      <c r="G41" s="73"/>
      <c r="H41" s="73"/>
      <c r="I41" s="73"/>
      <c r="J41" s="73"/>
      <c r="K41" s="73"/>
      <c r="L41" s="73"/>
      <c r="M41" s="73"/>
      <c r="N41" s="75"/>
      <c r="O41" s="75"/>
      <c r="P41" s="73"/>
      <c r="Q41" s="75"/>
      <c r="R41" s="75"/>
      <c r="S41" s="73"/>
    </row>
    <row r="42" spans="2:19">
      <c r="B42" s="976" t="s">
        <v>826</v>
      </c>
      <c r="C42" s="976"/>
      <c r="D42" s="976" t="s">
        <v>1029</v>
      </c>
      <c r="E42" s="976"/>
      <c r="F42" s="976"/>
      <c r="G42" s="976"/>
      <c r="H42" s="976"/>
      <c r="I42" s="976"/>
      <c r="J42" s="976"/>
      <c r="K42" s="976"/>
      <c r="L42" s="976"/>
      <c r="M42" s="976"/>
      <c r="N42" s="976"/>
      <c r="O42" s="976"/>
      <c r="P42" s="976"/>
      <c r="Q42" s="976"/>
      <c r="R42" s="976"/>
      <c r="S42" s="976"/>
    </row>
    <row r="43" spans="2:19">
      <c r="B43" s="977" t="s">
        <v>1033</v>
      </c>
      <c r="C43" s="978"/>
      <c r="D43" s="989"/>
      <c r="E43" s="990"/>
      <c r="F43" s="990"/>
      <c r="G43" s="990"/>
      <c r="H43" s="990"/>
      <c r="I43" s="990"/>
      <c r="J43" s="990"/>
      <c r="K43" s="990"/>
      <c r="L43" s="990"/>
      <c r="M43" s="990"/>
      <c r="N43" s="990"/>
      <c r="O43" s="990"/>
      <c r="P43" s="990"/>
      <c r="Q43" s="990"/>
      <c r="R43" s="990"/>
      <c r="S43" s="991"/>
    </row>
    <row r="44" spans="2:19">
      <c r="B44" s="1008" t="s">
        <v>1038</v>
      </c>
      <c r="C44" s="1009"/>
      <c r="D44" s="1010"/>
      <c r="E44" s="1011"/>
      <c r="F44" s="1011"/>
      <c r="G44" s="1011"/>
      <c r="H44" s="1011"/>
      <c r="I44" s="1011"/>
      <c r="J44" s="1011"/>
      <c r="K44" s="1011"/>
      <c r="L44" s="1011"/>
      <c r="M44" s="1011"/>
      <c r="N44" s="1011"/>
      <c r="O44" s="1011"/>
      <c r="P44" s="1011"/>
      <c r="Q44" s="1011"/>
      <c r="R44" s="1011"/>
      <c r="S44" s="1012"/>
    </row>
    <row r="45" spans="2:19">
      <c r="B45" s="75"/>
      <c r="C45" s="75"/>
      <c r="D45" s="75"/>
      <c r="E45" s="75"/>
      <c r="F45" s="75"/>
      <c r="G45" s="75"/>
      <c r="H45" s="75"/>
      <c r="I45" s="75"/>
      <c r="J45" s="75"/>
      <c r="K45" s="75"/>
      <c r="L45" s="75"/>
      <c r="M45" s="75"/>
      <c r="N45" s="75"/>
      <c r="O45" s="75"/>
      <c r="P45" s="75"/>
      <c r="Q45" s="75"/>
      <c r="R45" s="75"/>
      <c r="S45" s="75"/>
    </row>
    <row r="46" spans="2:19">
      <c r="B46" s="51" t="s">
        <v>1045</v>
      </c>
      <c r="C46" s="73"/>
      <c r="D46" s="73"/>
      <c r="E46" s="73"/>
      <c r="F46" s="73"/>
      <c r="G46" s="73"/>
      <c r="H46" s="73"/>
      <c r="I46" s="73"/>
      <c r="J46" s="73"/>
      <c r="K46" s="73"/>
      <c r="L46" s="73"/>
      <c r="M46" s="73"/>
      <c r="N46" s="75"/>
      <c r="O46" s="75"/>
      <c r="P46" s="73"/>
      <c r="Q46" s="75"/>
      <c r="R46" s="75"/>
      <c r="S46" s="73"/>
    </row>
    <row r="47" spans="2:19">
      <c r="B47" s="1014" t="s">
        <v>1049</v>
      </c>
      <c r="C47" s="1014"/>
      <c r="D47" s="1013"/>
      <c r="E47" s="1013"/>
      <c r="F47" s="1013"/>
      <c r="G47" s="1013"/>
      <c r="H47" s="1013"/>
      <c r="I47" s="1013"/>
      <c r="J47" s="1013"/>
      <c r="K47" s="1013"/>
      <c r="L47" s="1013"/>
      <c r="M47" s="1013"/>
      <c r="N47" s="1013"/>
      <c r="O47" s="1013"/>
      <c r="P47" s="1013"/>
      <c r="Q47" s="1013"/>
      <c r="R47" s="1013"/>
      <c r="S47" s="1013"/>
    </row>
    <row r="48" spans="2:19">
      <c r="B48" s="976" t="s">
        <v>1053</v>
      </c>
      <c r="C48" s="976"/>
      <c r="D48" s="1013"/>
      <c r="E48" s="1013"/>
      <c r="F48" s="1013"/>
      <c r="G48" s="1013"/>
      <c r="H48" s="1013"/>
      <c r="I48" s="1013"/>
      <c r="J48" s="1013"/>
      <c r="K48" s="1013"/>
      <c r="L48" s="1013"/>
      <c r="M48" s="1013"/>
      <c r="N48" s="1013"/>
      <c r="O48" s="1013"/>
      <c r="P48" s="1013"/>
      <c r="Q48" s="1013"/>
      <c r="R48" s="1013"/>
      <c r="S48" s="1013"/>
    </row>
    <row r="49" spans="2:19">
      <c r="B49" s="976" t="s">
        <v>1057</v>
      </c>
      <c r="C49" s="976"/>
      <c r="D49" s="1013"/>
      <c r="E49" s="1013"/>
      <c r="F49" s="1013"/>
      <c r="G49" s="1013"/>
      <c r="H49" s="1013"/>
      <c r="I49" s="1013"/>
      <c r="J49" s="1013"/>
      <c r="K49" s="1013"/>
      <c r="L49" s="1013"/>
      <c r="M49" s="1013"/>
      <c r="N49" s="1013"/>
      <c r="O49" s="1013"/>
      <c r="P49" s="1013"/>
      <c r="Q49" s="1013"/>
      <c r="R49" s="1013"/>
      <c r="S49" s="1013"/>
    </row>
    <row r="50" spans="2:19">
      <c r="B50" s="976" t="s">
        <v>1061</v>
      </c>
      <c r="C50" s="976"/>
      <c r="D50" s="1013"/>
      <c r="E50" s="1013"/>
      <c r="F50" s="1013"/>
      <c r="G50" s="1013"/>
      <c r="H50" s="1013"/>
      <c r="I50" s="1013"/>
      <c r="J50" s="1013"/>
      <c r="K50" s="1013"/>
      <c r="L50" s="1013"/>
      <c r="M50" s="1013"/>
      <c r="N50" s="1013"/>
      <c r="O50" s="1013"/>
      <c r="P50" s="1013"/>
      <c r="Q50" s="1013"/>
      <c r="R50" s="1013"/>
      <c r="S50" s="1013"/>
    </row>
    <row r="51" spans="2:19" s="73" customFormat="1" ht="13.5"/>
    <row r="52" spans="2:19">
      <c r="C52" s="21"/>
      <c r="D52" s="20"/>
      <c r="E52" s="20"/>
      <c r="F52" s="20"/>
      <c r="G52" s="20"/>
      <c r="H52" s="20"/>
      <c r="I52" s="20"/>
      <c r="J52" s="20"/>
      <c r="K52" s="20"/>
      <c r="L52" s="20"/>
      <c r="M52" s="20"/>
      <c r="N52" s="20"/>
      <c r="O52" s="21"/>
      <c r="P52" s="21"/>
      <c r="Q52" s="20"/>
      <c r="R52" s="21"/>
      <c r="S52" s="21"/>
    </row>
    <row r="53" spans="2:19">
      <c r="C53" s="21"/>
      <c r="D53" s="20"/>
      <c r="E53" s="20"/>
      <c r="F53" s="20"/>
      <c r="G53" s="20"/>
      <c r="H53" s="20"/>
      <c r="I53" s="20"/>
      <c r="J53" s="20"/>
      <c r="K53" s="20"/>
      <c r="L53" s="20"/>
      <c r="M53" s="20"/>
      <c r="N53" s="20"/>
      <c r="O53" s="21"/>
      <c r="P53" s="21"/>
      <c r="Q53" s="20"/>
      <c r="R53" s="21"/>
      <c r="S53" s="21"/>
    </row>
    <row r="54" spans="2:19">
      <c r="C54" s="21"/>
      <c r="D54" s="20"/>
      <c r="E54" s="20"/>
      <c r="F54" s="20"/>
      <c r="G54" s="20"/>
      <c r="H54" s="20"/>
      <c r="I54" s="20"/>
      <c r="J54" s="20"/>
      <c r="K54" s="20"/>
      <c r="L54" s="20"/>
      <c r="M54" s="20"/>
      <c r="N54" s="20"/>
      <c r="O54" s="21"/>
      <c r="P54" s="21"/>
      <c r="Q54" s="20"/>
      <c r="R54" s="21"/>
      <c r="S54" s="21"/>
    </row>
    <row r="55" spans="2:19" ht="19.5" customHeight="1"/>
    <row r="56" spans="2:19" ht="19.5" customHeight="1"/>
    <row r="57" spans="2:19" ht="19.5" customHeight="1"/>
    <row r="58" spans="2:19" ht="19.5" customHeight="1"/>
    <row r="59" spans="2:19" ht="15" customHeight="1"/>
    <row r="60" spans="2:19" ht="15" customHeight="1"/>
    <row r="61" spans="2:19" ht="15" customHeight="1"/>
    <row r="62" spans="2:19" ht="15" customHeight="1"/>
    <row r="63" spans="2:19" ht="15" customHeight="1"/>
    <row r="64" spans="2:19"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s="73" customFormat="1" ht="13.5"/>
    <row r="80" s="73" customFormat="1" ht="13.5"/>
    <row r="81" s="73" customFormat="1" ht="13.5"/>
    <row r="82" s="73" customFormat="1" ht="13.5"/>
  </sheetData>
  <mergeCells count="25">
    <mergeCell ref="B44:C44"/>
    <mergeCell ref="D44:S44"/>
    <mergeCell ref="B50:C50"/>
    <mergeCell ref="D50:S50"/>
    <mergeCell ref="B47:C47"/>
    <mergeCell ref="D47:S47"/>
    <mergeCell ref="B48:C48"/>
    <mergeCell ref="D48:S48"/>
    <mergeCell ref="B49:C49"/>
    <mergeCell ref="D49:S49"/>
    <mergeCell ref="B2:I3"/>
    <mergeCell ref="K2:N2"/>
    <mergeCell ref="P2:S2"/>
    <mergeCell ref="K3:N3"/>
    <mergeCell ref="P3:S3"/>
    <mergeCell ref="B42:C42"/>
    <mergeCell ref="D42:S42"/>
    <mergeCell ref="B43:C43"/>
    <mergeCell ref="B5:H5"/>
    <mergeCell ref="I5:Q5"/>
    <mergeCell ref="R5:R7"/>
    <mergeCell ref="S5:S7"/>
    <mergeCell ref="C6:H6"/>
    <mergeCell ref="J6:Q6"/>
    <mergeCell ref="D43:S43"/>
  </mergeCells>
  <phoneticPr fontId="4" type="noConversion"/>
  <hyperlinks>
    <hyperlink ref="A1" location="List!A1" display="Top" xr:uid="{C84B68C6-8353-424B-8569-C02A38136021}"/>
  </hyperlinks>
  <pageMargins left="0.7" right="0.7" top="0.75" bottom="0.75" header="0.3" footer="0.3"/>
  <customProperties>
    <customPr name="_pios_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xbe44__xace0_ xmlns="31d7177c-7877-4b83-ba14-a696d723af92"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5ECCED5B0C48549BE5CE26E9B9E2F83" ma:contentTypeVersion="10" ma:contentTypeDescription="Create a new document." ma:contentTypeScope="" ma:versionID="a163f8eac52f6fac058652cc1ac5c095">
  <xsd:schema xmlns:xsd="http://www.w3.org/2001/XMLSchema" xmlns:xs="http://www.w3.org/2001/XMLSchema" xmlns:p="http://schemas.microsoft.com/office/2006/metadata/properties" xmlns:ns1="http://schemas.microsoft.com/sharepoint/v3" xmlns:ns2="31d7177c-7877-4b83-ba14-a696d723af92" targetNamespace="http://schemas.microsoft.com/office/2006/metadata/properties" ma:root="true" ma:fieldsID="0dc84c946fd22f5637e9b8a49bf4c13f" ns1:_="" ns2:_="">
    <xsd:import namespace="http://schemas.microsoft.com/sharepoint/v3"/>
    <xsd:import namespace="31d7177c-7877-4b83-ba14-a696d723af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_xbe44__xace0_" minOccurs="0"/>
                <xsd:element ref="ns1:_ip_UnifiedCompliancePolicyProperties" minOccurs="0"/>
                <xsd:element ref="ns1:_ip_UnifiedCompliancePolicyUIAction"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d7177c-7877-4b83-ba14-a696d723af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_xbe44__xace0_" ma:index="11" nillable="true" ma:displayName="비고" ma:format="Dropdown" ma:internalName="_xbe44__xace0_">
      <xsd:simpleType>
        <xsd:restriction base="dms:Text">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pplication xmlns="http://www.sap.com/cof/excel/application">
  <Version>2</Version>
  <Revision>2.8.000.92058</Revision>
</Application>
</file>

<file path=customXml/itemProps1.xml><?xml version="1.0" encoding="utf-8"?>
<ds:datastoreItem xmlns:ds="http://schemas.openxmlformats.org/officeDocument/2006/customXml" ds:itemID="{E83B295B-E6E6-4411-ADC9-B19A6E50E91A}">
  <ds:schemaRefs>
    <ds:schemaRef ds:uri="http://schemas.openxmlformats.org/package/2006/metadata/core-properties"/>
    <ds:schemaRef ds:uri="31d7177c-7877-4b83-ba14-a696d723af92"/>
    <ds:schemaRef ds:uri="http://purl.org/dc/terms/"/>
    <ds:schemaRef ds:uri="http://schemas.microsoft.com/sharepoint/v3"/>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ADF64E0E-E66C-48BB-9E4D-8E2308E0F1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1d7177c-7877-4b83-ba14-a696d723af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85D3F7-D273-4883-AE58-503E8D6CCC45}">
  <ds:schemaRefs>
    <ds:schemaRef ds:uri="http://schemas.microsoft.com/sharepoint/v3/contenttype/forms"/>
  </ds:schemaRefs>
</ds:datastoreItem>
</file>

<file path=customXml/itemProps4.xml><?xml version="1.0" encoding="utf-8"?>
<ds:datastoreItem xmlns:ds="http://schemas.openxmlformats.org/officeDocument/2006/customXml" ds:itemID="{C9F84056-E309-4E42-AD77-23D6F717C9AD}">
  <ds:schemaRefs>
    <ds:schemaRef ds:uri="http://www.sap.com/cof/excel/applic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72</vt:i4>
      </vt:variant>
    </vt:vector>
  </HeadingPairs>
  <TitlesOfParts>
    <vt:vector size="72" baseType="lpstr">
      <vt:lpstr>List</vt:lpstr>
      <vt:lpstr>개요</vt:lpstr>
      <vt:lpstr>Inbound</vt:lpstr>
      <vt:lpstr>조직도</vt:lpstr>
      <vt:lpstr>자재마스터(영업조직)</vt:lpstr>
      <vt:lpstr>자재마스터(플랜트)</vt:lpstr>
      <vt:lpstr>자재단가(판가)</vt:lpstr>
      <vt:lpstr>NPD자재목록</vt:lpstr>
      <vt:lpstr>제품허가정보</vt:lpstr>
      <vt:lpstr>단종품의완료</vt:lpstr>
      <vt:lpstr>SKU현황</vt:lpstr>
      <vt:lpstr>SKU_IN일정</vt:lpstr>
      <vt:lpstr>자재대체단위</vt:lpstr>
      <vt:lpstr>재고</vt:lpstr>
      <vt:lpstr>자재원가</vt:lpstr>
      <vt:lpstr>거래처</vt:lpstr>
      <vt:lpstr>CP-40.재고(계획용)</vt:lpstr>
      <vt:lpstr>기준환율</vt:lpstr>
      <vt:lpstr>수출진행모니터링</vt:lpstr>
      <vt:lpstr>거래처재고</vt:lpstr>
      <vt:lpstr>기타수요</vt:lpstr>
      <vt:lpstr>BOM</vt:lpstr>
      <vt:lpstr>생산오더</vt:lpstr>
      <vt:lpstr>구매오더</vt:lpstr>
      <vt:lpstr>구매오더 (ODM 원부자재)</vt:lpstr>
      <vt:lpstr>협력사마스터</vt:lpstr>
      <vt:lpstr>가용화입고실적</vt:lpstr>
      <vt:lpstr>협력사재고(원부자재)</vt:lpstr>
      <vt:lpstr>SOP잔량(선적잔량)</vt:lpstr>
      <vt:lpstr>반제품_포장재_재고</vt:lpstr>
      <vt:lpstr>Role권한승인</vt:lpstr>
      <vt:lpstr>계정승인</vt:lpstr>
      <vt:lpstr>CP코드마스터</vt:lpstr>
      <vt:lpstr>공장달력 인터페이스</vt:lpstr>
      <vt:lpstr>유통사 판매 재고</vt:lpstr>
      <vt:lpstr>유통사 판매 재고_월</vt:lpstr>
      <vt:lpstr>유통사 오더수량</vt:lpstr>
      <vt:lpstr>재고 Aging 상태</vt:lpstr>
      <vt:lpstr>엔진상품리스트</vt:lpstr>
      <vt:lpstr>DP-42-1.자재정보추가_BW</vt:lpstr>
      <vt:lpstr>DP-42-2.자재정보추가_BW</vt:lpstr>
      <vt:lpstr>DP-42-3.자재정보추가_BW</vt:lpstr>
      <vt:lpstr>DP-43-1.거래처정보추가_BW</vt:lpstr>
      <vt:lpstr>DP-43-2.거래처정보추가_BW</vt:lpstr>
      <vt:lpstr>DP-43-3.거래처정보추가_BW</vt:lpstr>
      <vt:lpstr>DP-43-4.거래처정보추가_BW</vt:lpstr>
      <vt:lpstr>DP-43-5.거래처정보추가_BW</vt:lpstr>
      <vt:lpstr>DP-44.마감계획_BW</vt:lpstr>
      <vt:lpstr>DP-46.판매실적_거래처&amp;SKU</vt:lpstr>
      <vt:lpstr>DP-48.주문실적_거래처&amp;SKU</vt:lpstr>
      <vt:lpstr>DP-49.목표&amp;예상이익</vt:lpstr>
      <vt:lpstr>DP-49-2.SKU 수익성</vt:lpstr>
      <vt:lpstr>SP-41. 저장위치리스트</vt:lpstr>
      <vt:lpstr>DP-45. 판매실적_SKU</vt:lpstr>
      <vt:lpstr>DP-53.  신제품추정단가</vt:lpstr>
      <vt:lpstr>SP-43.  라우팅관리(SAP)</vt:lpstr>
      <vt:lpstr>SP-44.  라우팅관리(SAP)2</vt:lpstr>
      <vt:lpstr>SP-45. 영업저장위치관리</vt:lpstr>
      <vt:lpstr>DP-55. SAP압축품의 정보</vt:lpstr>
      <vt:lpstr>SP-46. SAP재고에이징데이터(중국)</vt:lpstr>
      <vt:lpstr>DP-57. BW 코드별 네이밍 마스터</vt:lpstr>
      <vt:lpstr>DP-56. 수출포장모듈</vt:lpstr>
      <vt:lpstr>플랜트저장위치마스터</vt:lpstr>
      <vt:lpstr>PG_거래처매핑</vt:lpstr>
      <vt:lpstr>주문결품정보</vt:lpstr>
      <vt:lpstr>판매실적</vt:lpstr>
      <vt:lpstr>SKU목표</vt:lpstr>
      <vt:lpstr>작업장마스터</vt:lpstr>
      <vt:lpstr>ROS</vt:lpstr>
      <vt:lpstr>GPS채널 마스터정보</vt:lpstr>
      <vt:lpstr>오픈SO(계획용)</vt:lpstr>
      <vt:lpstr>판매처별 위탁재고</vt:lpstr>
    </vt:vector>
  </TitlesOfParts>
  <Manager/>
  <Company>Team AMOREPACIFIC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김남형/BI매트릭스/Namhyung Kim</dc:creator>
  <cp:keywords/>
  <dc:description/>
  <cp:lastModifiedBy>윤희영/ERP 플랫폼서비스팀/Huiyeong Yun</cp:lastModifiedBy>
  <cp:revision/>
  <dcterms:created xsi:type="dcterms:W3CDTF">2025-08-28T23:42:34Z</dcterms:created>
  <dcterms:modified xsi:type="dcterms:W3CDTF">2025-12-18T00:57:00Z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0x010100A5ECCED5B0C48549BE5CE26E9B9E2F83</vt:lpwstr>
  </property>
  <property fmtid="{D5CDD505-2E9C-101B-9397-08002B2CF9AE}" pid="3" name="CustomUiType">
    <vt:lpwstr>2</vt:lpwstr>
  </property>
</Properties>
</file>